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Online Projects\the-long-math\"/>
    </mc:Choice>
  </mc:AlternateContent>
  <xr:revisionPtr revIDLastSave="0" documentId="8_{663C5D5C-B57D-441F-9A53-BAFF2C655CE5}" xr6:coauthVersionLast="47" xr6:coauthVersionMax="47" xr10:uidLastSave="{00000000-0000-0000-0000-000000000000}"/>
  <bookViews>
    <workbookView xWindow="-108" yWindow="-108" windowWidth="23256" windowHeight="12576" activeTab="5" xr2:uid="{99C962BD-476E-4A86-A65B-A6E01D78C037}"/>
  </bookViews>
  <sheets>
    <sheet name="4K" sheetId="1" r:id="rId1"/>
    <sheet name="5K" sheetId="2" r:id="rId2"/>
    <sheet name="6k" sheetId="3" r:id="rId3"/>
    <sheet name="7K" sheetId="4" r:id="rId4"/>
    <sheet name="8K" sheetId="5" r:id="rId5"/>
    <sheet name="Final Tally" sheetId="6"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6" i="6" l="1"/>
  <c r="W35" i="6" s="1"/>
  <c r="V26" i="6"/>
  <c r="V35" i="6" s="1"/>
  <c r="U26" i="6"/>
  <c r="U35" i="6" s="1"/>
  <c r="T26" i="6"/>
  <c r="T35" i="6" s="1"/>
  <c r="S26" i="6"/>
  <c r="S35" i="6" s="1"/>
  <c r="R26" i="6"/>
  <c r="R35" i="6" s="1"/>
  <c r="Q26" i="6"/>
  <c r="Q35" i="6" s="1"/>
  <c r="P26" i="6"/>
  <c r="P35" i="6" s="1"/>
  <c r="J26" i="6"/>
  <c r="J35" i="6" s="1"/>
  <c r="I26" i="6"/>
  <c r="I35" i="6" s="1"/>
  <c r="H26" i="6"/>
  <c r="H35" i="6" s="1"/>
  <c r="G26" i="6"/>
  <c r="G35" i="6" s="1"/>
  <c r="F26" i="6"/>
  <c r="F35" i="6" s="1"/>
  <c r="E26" i="6"/>
  <c r="E35" i="6" s="1"/>
  <c r="D26" i="6"/>
  <c r="D35" i="6" s="1"/>
  <c r="C26" i="6"/>
  <c r="C35" i="6" s="1"/>
  <c r="W25" i="6"/>
  <c r="W34" i="6" s="1"/>
  <c r="V25" i="6"/>
  <c r="V34" i="6" s="1"/>
  <c r="U25" i="6"/>
  <c r="U34" i="6" s="1"/>
  <c r="T25" i="6"/>
  <c r="T34" i="6" s="1"/>
  <c r="S25" i="6"/>
  <c r="S34" i="6" s="1"/>
  <c r="R25" i="6"/>
  <c r="R34" i="6" s="1"/>
  <c r="Q25" i="6"/>
  <c r="Q34" i="6" s="1"/>
  <c r="P25" i="6"/>
  <c r="P34" i="6" s="1"/>
  <c r="J25" i="6"/>
  <c r="J34" i="6" s="1"/>
  <c r="I25" i="6"/>
  <c r="I34" i="6" s="1"/>
  <c r="H25" i="6"/>
  <c r="H34" i="6" s="1"/>
  <c r="G25" i="6"/>
  <c r="G34" i="6" s="1"/>
  <c r="F25" i="6"/>
  <c r="F34" i="6" s="1"/>
  <c r="E25" i="6"/>
  <c r="E34" i="6" s="1"/>
  <c r="D25" i="6"/>
  <c r="D34" i="6" s="1"/>
  <c r="C25" i="6"/>
  <c r="C34" i="6" s="1"/>
  <c r="W24" i="6"/>
  <c r="W33" i="6" s="1"/>
  <c r="V24" i="6"/>
  <c r="V33" i="6" s="1"/>
  <c r="U24" i="6"/>
  <c r="U33" i="6" s="1"/>
  <c r="T24" i="6"/>
  <c r="T33" i="6" s="1"/>
  <c r="S24" i="6"/>
  <c r="S33" i="6" s="1"/>
  <c r="R24" i="6"/>
  <c r="R33" i="6" s="1"/>
  <c r="Q24" i="6"/>
  <c r="Q33" i="6" s="1"/>
  <c r="P24" i="6"/>
  <c r="P33" i="6" s="1"/>
  <c r="J24" i="6"/>
  <c r="J33" i="6" s="1"/>
  <c r="I24" i="6"/>
  <c r="I33" i="6" s="1"/>
  <c r="H24" i="6"/>
  <c r="H33" i="6" s="1"/>
  <c r="G24" i="6"/>
  <c r="G33" i="6" s="1"/>
  <c r="F24" i="6"/>
  <c r="F33" i="6" s="1"/>
  <c r="E24" i="6"/>
  <c r="E33" i="6" s="1"/>
  <c r="D24" i="6"/>
  <c r="D33" i="6" s="1"/>
  <c r="C24" i="6"/>
  <c r="C33" i="6" s="1"/>
  <c r="W23" i="6"/>
  <c r="W32" i="6" s="1"/>
  <c r="V23" i="6"/>
  <c r="V32" i="6" s="1"/>
  <c r="U23" i="6"/>
  <c r="U32" i="6" s="1"/>
  <c r="T23" i="6"/>
  <c r="T32" i="6" s="1"/>
  <c r="S23" i="6"/>
  <c r="S32" i="6" s="1"/>
  <c r="R23" i="6"/>
  <c r="R32" i="6" s="1"/>
  <c r="Q23" i="6"/>
  <c r="Q32" i="6" s="1"/>
  <c r="P23" i="6"/>
  <c r="P32" i="6" s="1"/>
  <c r="J23" i="6"/>
  <c r="J32" i="6" s="1"/>
  <c r="I23" i="6"/>
  <c r="I32" i="6" s="1"/>
  <c r="H23" i="6"/>
  <c r="H32" i="6" s="1"/>
  <c r="G23" i="6"/>
  <c r="G32" i="6" s="1"/>
  <c r="F23" i="6"/>
  <c r="F32" i="6" s="1"/>
  <c r="E23" i="6"/>
  <c r="E32" i="6" s="1"/>
  <c r="D23" i="6"/>
  <c r="D32" i="6" s="1"/>
  <c r="C23" i="6"/>
  <c r="C32" i="6" s="1"/>
  <c r="P6" i="6"/>
  <c r="C6" i="6"/>
  <c r="BG28" i="5"/>
  <c r="AB28" i="5"/>
  <c r="BG28" i="4"/>
  <c r="AB28" i="4"/>
  <c r="AB28" i="2"/>
  <c r="BG29" i="2"/>
  <c r="AB29" i="2"/>
  <c r="BG28" i="2"/>
  <c r="BG28" i="3"/>
  <c r="AB28" i="3"/>
  <c r="AI75" i="5"/>
  <c r="AI76" i="5" s="1"/>
  <c r="AI77" i="5" s="1"/>
  <c r="AI78" i="5" s="1"/>
  <c r="AI79" i="5" s="1"/>
  <c r="AI80" i="5" s="1"/>
  <c r="AI81" i="5" s="1"/>
  <c r="AI82" i="5" s="1"/>
  <c r="AI83" i="5" s="1"/>
  <c r="AI84" i="5" s="1"/>
  <c r="AI85" i="5" s="1"/>
  <c r="AI86" i="5" s="1"/>
  <c r="AJ75" i="5" s="1"/>
  <c r="AJ76" i="5" s="1"/>
  <c r="AJ77" i="5" s="1"/>
  <c r="AJ78" i="5" s="1"/>
  <c r="AJ79" i="5" s="1"/>
  <c r="AJ80" i="5" s="1"/>
  <c r="AJ81" i="5" s="1"/>
  <c r="AJ82" i="5" s="1"/>
  <c r="AJ83" i="5" s="1"/>
  <c r="AJ84" i="5" s="1"/>
  <c r="AJ85" i="5" s="1"/>
  <c r="AJ86" i="5" s="1"/>
  <c r="AK75" i="5" s="1"/>
  <c r="AK76" i="5" s="1"/>
  <c r="AK77" i="5" s="1"/>
  <c r="AK78" i="5" s="1"/>
  <c r="AK79" i="5" s="1"/>
  <c r="AK80" i="5" s="1"/>
  <c r="AK81" i="5" s="1"/>
  <c r="AK82" i="5" s="1"/>
  <c r="AK83" i="5" s="1"/>
  <c r="AK84" i="5" s="1"/>
  <c r="AK85" i="5" s="1"/>
  <c r="AK86" i="5" s="1"/>
  <c r="AL75" i="5" s="1"/>
  <c r="AL76" i="5" s="1"/>
  <c r="AL77" i="5" s="1"/>
  <c r="AL78" i="5" s="1"/>
  <c r="AL79" i="5" s="1"/>
  <c r="AL80" i="5" s="1"/>
  <c r="AL81" i="5" s="1"/>
  <c r="AL82" i="5" s="1"/>
  <c r="AL83" i="5" s="1"/>
  <c r="AL84" i="5" s="1"/>
  <c r="AL85" i="5" s="1"/>
  <c r="AL86" i="5" s="1"/>
  <c r="AM75" i="5" s="1"/>
  <c r="AM76" i="5" s="1"/>
  <c r="AM77" i="5" s="1"/>
  <c r="AM78" i="5" s="1"/>
  <c r="AM79" i="5" s="1"/>
  <c r="AM80" i="5" s="1"/>
  <c r="AM81" i="5" s="1"/>
  <c r="AM82" i="5" s="1"/>
  <c r="AM83" i="5" s="1"/>
  <c r="AM84" i="5" s="1"/>
  <c r="AM85" i="5" s="1"/>
  <c r="AM86" i="5" s="1"/>
  <c r="AN75" i="5" s="1"/>
  <c r="AN76" i="5" s="1"/>
  <c r="AN77" i="5" s="1"/>
  <c r="AN78" i="5" s="1"/>
  <c r="AN79" i="5" s="1"/>
  <c r="AN80" i="5" s="1"/>
  <c r="AN81" i="5" s="1"/>
  <c r="AN82" i="5" s="1"/>
  <c r="AN83" i="5" s="1"/>
  <c r="AN84" i="5" s="1"/>
  <c r="AN85" i="5" s="1"/>
  <c r="AN86" i="5" s="1"/>
  <c r="AO75" i="5" s="1"/>
  <c r="AO76" i="5" s="1"/>
  <c r="AO77" i="5" s="1"/>
  <c r="AO78" i="5" s="1"/>
  <c r="AO79" i="5" s="1"/>
  <c r="AO80" i="5" s="1"/>
  <c r="AO81" i="5" s="1"/>
  <c r="AO82" i="5" s="1"/>
  <c r="AO83" i="5" s="1"/>
  <c r="AO84" i="5" s="1"/>
  <c r="AO85" i="5" s="1"/>
  <c r="AO86" i="5" s="1"/>
  <c r="AP75" i="5" s="1"/>
  <c r="AP76" i="5" s="1"/>
  <c r="AP77" i="5" s="1"/>
  <c r="AP78" i="5" s="1"/>
  <c r="AP79" i="5" s="1"/>
  <c r="AP80" i="5" s="1"/>
  <c r="AP81" i="5" s="1"/>
  <c r="AP82" i="5" s="1"/>
  <c r="AP83" i="5" s="1"/>
  <c r="AP84" i="5" s="1"/>
  <c r="AP85" i="5" s="1"/>
  <c r="AP86" i="5" s="1"/>
  <c r="AQ75" i="5" s="1"/>
  <c r="AQ76" i="5" s="1"/>
  <c r="AQ77" i="5" s="1"/>
  <c r="AQ78" i="5" s="1"/>
  <c r="AQ79" i="5" s="1"/>
  <c r="AQ80" i="5" s="1"/>
  <c r="AQ81" i="5" s="1"/>
  <c r="AQ82" i="5" s="1"/>
  <c r="AQ83" i="5" s="1"/>
  <c r="AQ84" i="5" s="1"/>
  <c r="AQ85" i="5" s="1"/>
  <c r="AQ86" i="5" s="1"/>
  <c r="AR75" i="5" s="1"/>
  <c r="AR76" i="5" s="1"/>
  <c r="AR77" i="5" s="1"/>
  <c r="AR78" i="5" s="1"/>
  <c r="AR79" i="5" s="1"/>
  <c r="AR80" i="5" s="1"/>
  <c r="AR81" i="5" s="1"/>
  <c r="AR82" i="5" s="1"/>
  <c r="AR83" i="5" s="1"/>
  <c r="AR84" i="5" s="1"/>
  <c r="AR85" i="5" s="1"/>
  <c r="AR86" i="5" s="1"/>
  <c r="AS75" i="5" s="1"/>
  <c r="AS76" i="5" s="1"/>
  <c r="AS77" i="5" s="1"/>
  <c r="AS78" i="5" s="1"/>
  <c r="AS79" i="5" s="1"/>
  <c r="AS80" i="5" s="1"/>
  <c r="AS81" i="5" s="1"/>
  <c r="AS82" i="5" s="1"/>
  <c r="AS83" i="5" s="1"/>
  <c r="AS84" i="5" s="1"/>
  <c r="AS85" i="5" s="1"/>
  <c r="AS86" i="5" s="1"/>
  <c r="AT75" i="5" s="1"/>
  <c r="AT76" i="5" s="1"/>
  <c r="AT77" i="5" s="1"/>
  <c r="AT78" i="5" s="1"/>
  <c r="AT79" i="5" s="1"/>
  <c r="AT80" i="5" s="1"/>
  <c r="AT81" i="5" s="1"/>
  <c r="AT82" i="5" s="1"/>
  <c r="AT83" i="5" s="1"/>
  <c r="AT84" i="5" s="1"/>
  <c r="AT85" i="5" s="1"/>
  <c r="AT86" i="5" s="1"/>
  <c r="AU75" i="5" s="1"/>
  <c r="AU76" i="5" s="1"/>
  <c r="AU77" i="5" s="1"/>
  <c r="AU78" i="5" s="1"/>
  <c r="AU79" i="5" s="1"/>
  <c r="AU80" i="5" s="1"/>
  <c r="AU81" i="5" s="1"/>
  <c r="AU82" i="5" s="1"/>
  <c r="AU83" i="5" s="1"/>
  <c r="AU84" i="5" s="1"/>
  <c r="AU85" i="5" s="1"/>
  <c r="AU86" i="5" s="1"/>
  <c r="AV75" i="5" s="1"/>
  <c r="AV76" i="5" s="1"/>
  <c r="AV77" i="5" s="1"/>
  <c r="AV78" i="5" s="1"/>
  <c r="AV79" i="5" s="1"/>
  <c r="AV80" i="5" s="1"/>
  <c r="AV81" i="5" s="1"/>
  <c r="AV82" i="5" s="1"/>
  <c r="AV83" i="5" s="1"/>
  <c r="AV84" i="5" s="1"/>
  <c r="AV85" i="5" s="1"/>
  <c r="AV86" i="5" s="1"/>
  <c r="AW75" i="5" s="1"/>
  <c r="AW76" i="5" s="1"/>
  <c r="AW77" i="5" s="1"/>
  <c r="AW78" i="5" s="1"/>
  <c r="AW79" i="5" s="1"/>
  <c r="AW80" i="5" s="1"/>
  <c r="AW81" i="5" s="1"/>
  <c r="AW82" i="5" s="1"/>
  <c r="AW83" i="5" s="1"/>
  <c r="AW84" i="5" s="1"/>
  <c r="AW85" i="5" s="1"/>
  <c r="AW86" i="5" s="1"/>
  <c r="AX75" i="5" s="1"/>
  <c r="AX76" i="5" s="1"/>
  <c r="AX77" i="5" s="1"/>
  <c r="AX78" i="5" s="1"/>
  <c r="AX79" i="5" s="1"/>
  <c r="AX80" i="5" s="1"/>
  <c r="AX81" i="5" s="1"/>
  <c r="AX82" i="5" s="1"/>
  <c r="AX83" i="5" s="1"/>
  <c r="AX84" i="5" s="1"/>
  <c r="AX85" i="5" s="1"/>
  <c r="AX86" i="5" s="1"/>
  <c r="AY75" i="5" s="1"/>
  <c r="AY76" i="5" s="1"/>
  <c r="AY77" i="5" s="1"/>
  <c r="AY78" i="5" s="1"/>
  <c r="AY79" i="5" s="1"/>
  <c r="AY80" i="5" s="1"/>
  <c r="AY81" i="5" s="1"/>
  <c r="AY82" i="5" s="1"/>
  <c r="AY83" i="5" s="1"/>
  <c r="AY84" i="5" s="1"/>
  <c r="AY85" i="5" s="1"/>
  <c r="AY86" i="5" s="1"/>
  <c r="AZ75" i="5" s="1"/>
  <c r="AZ76" i="5" s="1"/>
  <c r="AZ77" i="5" s="1"/>
  <c r="AZ78" i="5" s="1"/>
  <c r="AZ79" i="5" s="1"/>
  <c r="AZ80" i="5" s="1"/>
  <c r="AZ81" i="5" s="1"/>
  <c r="AZ82" i="5" s="1"/>
  <c r="AZ83" i="5" s="1"/>
  <c r="AZ84" i="5" s="1"/>
  <c r="AZ85" i="5" s="1"/>
  <c r="AZ86" i="5" s="1"/>
  <c r="BA75" i="5" s="1"/>
  <c r="BA76" i="5" s="1"/>
  <c r="BA77" i="5" s="1"/>
  <c r="BA78" i="5" s="1"/>
  <c r="BA79" i="5" s="1"/>
  <c r="BA80" i="5" s="1"/>
  <c r="BA81" i="5" s="1"/>
  <c r="BA82" i="5" s="1"/>
  <c r="BA83" i="5" s="1"/>
  <c r="BA84" i="5" s="1"/>
  <c r="BA85" i="5" s="1"/>
  <c r="BA86" i="5" s="1"/>
  <c r="BB75" i="5" s="1"/>
  <c r="BB76" i="5" s="1"/>
  <c r="BB77" i="5" s="1"/>
  <c r="BB78" i="5" s="1"/>
  <c r="BB79" i="5" s="1"/>
  <c r="BB80" i="5" s="1"/>
  <c r="BB81" i="5" s="1"/>
  <c r="BB82" i="5" s="1"/>
  <c r="BB83" i="5" s="1"/>
  <c r="BB84" i="5" s="1"/>
  <c r="BB85" i="5" s="1"/>
  <c r="BB86" i="5" s="1"/>
  <c r="BC75" i="5" s="1"/>
  <c r="BC76" i="5" s="1"/>
  <c r="BC77" i="5" s="1"/>
  <c r="BC78" i="5" s="1"/>
  <c r="BC79" i="5" s="1"/>
  <c r="BC80" i="5" s="1"/>
  <c r="BC81" i="5" s="1"/>
  <c r="BC82" i="5" s="1"/>
  <c r="BC83" i="5" s="1"/>
  <c r="BC84" i="5" s="1"/>
  <c r="BC85" i="5" s="1"/>
  <c r="BC86" i="5" s="1"/>
  <c r="BD75" i="5" s="1"/>
  <c r="BD76" i="5" s="1"/>
  <c r="BD77" i="5" s="1"/>
  <c r="BD78" i="5" s="1"/>
  <c r="BD79" i="5" s="1"/>
  <c r="BD80" i="5" s="1"/>
  <c r="BD81" i="5" s="1"/>
  <c r="BD82" i="5" s="1"/>
  <c r="BD83" i="5" s="1"/>
  <c r="BD84" i="5" s="1"/>
  <c r="BD85" i="5" s="1"/>
  <c r="BD86" i="5" s="1"/>
  <c r="BE75" i="5" s="1"/>
  <c r="BE76" i="5" s="1"/>
  <c r="BE77" i="5" s="1"/>
  <c r="BE78" i="5" s="1"/>
  <c r="BE79" i="5" s="1"/>
  <c r="BE80" i="5" s="1"/>
  <c r="BE81" i="5" s="1"/>
  <c r="BE82" i="5" s="1"/>
  <c r="BE83" i="5" s="1"/>
  <c r="BE84" i="5" s="1"/>
  <c r="BE85" i="5" s="1"/>
  <c r="BE86" i="5" s="1"/>
  <c r="BF75" i="5" s="1"/>
  <c r="BF76" i="5" s="1"/>
  <c r="BF77" i="5" s="1"/>
  <c r="BF78" i="5" s="1"/>
  <c r="BF79" i="5" s="1"/>
  <c r="BF80" i="5" s="1"/>
  <c r="BF81" i="5" s="1"/>
  <c r="BF82" i="5" s="1"/>
  <c r="BF83" i="5" s="1"/>
  <c r="BF84" i="5" s="1"/>
  <c r="BF85" i="5" s="1"/>
  <c r="BF86" i="5" s="1"/>
  <c r="BG75" i="5" s="1"/>
  <c r="BG76" i="5" s="1"/>
  <c r="BG77" i="5" s="1"/>
  <c r="BG78" i="5" s="1"/>
  <c r="BG79" i="5" s="1"/>
  <c r="BG80" i="5" s="1"/>
  <c r="BG81" i="5" s="1"/>
  <c r="BG82" i="5" s="1"/>
  <c r="BG83" i="5" s="1"/>
  <c r="BG84" i="5" s="1"/>
  <c r="BG85" i="5" s="1"/>
  <c r="BG86" i="5" s="1"/>
  <c r="BH75" i="5" s="1"/>
  <c r="BH76" i="5" s="1"/>
  <c r="BH77" i="5" s="1"/>
  <c r="BH78" i="5" s="1"/>
  <c r="BH79" i="5" s="1"/>
  <c r="BH80" i="5" s="1"/>
  <c r="BH81" i="5" s="1"/>
  <c r="BH82" i="5" s="1"/>
  <c r="BH83" i="5" s="1"/>
  <c r="BH84" i="5" s="1"/>
  <c r="BH85" i="5" s="1"/>
  <c r="BH86" i="5" s="1"/>
  <c r="BI75" i="5" s="1"/>
  <c r="BI76" i="5" s="1"/>
  <c r="BI77" i="5" s="1"/>
  <c r="BI78" i="5" s="1"/>
  <c r="BI79" i="5" s="1"/>
  <c r="BI80" i="5" s="1"/>
  <c r="BI81" i="5" s="1"/>
  <c r="BI82" i="5" s="1"/>
  <c r="BI83" i="5" s="1"/>
  <c r="BI84" i="5" s="1"/>
  <c r="BI85" i="5" s="1"/>
  <c r="BI86" i="5" s="1"/>
  <c r="BJ75" i="5" s="1"/>
  <c r="BJ76" i="5" s="1"/>
  <c r="BJ77" i="5" s="1"/>
  <c r="BJ78" i="5" s="1"/>
  <c r="BJ79" i="5" s="1"/>
  <c r="BJ80" i="5" s="1"/>
  <c r="BJ81" i="5" s="1"/>
  <c r="BJ82" i="5" s="1"/>
  <c r="BJ83" i="5" s="1"/>
  <c r="BJ84" i="5" s="1"/>
  <c r="BJ85" i="5" s="1"/>
  <c r="BJ86" i="5" s="1"/>
  <c r="D75" i="5"/>
  <c r="D76" i="5" s="1"/>
  <c r="D77" i="5" s="1"/>
  <c r="D78" i="5" s="1"/>
  <c r="D79" i="5" s="1"/>
  <c r="D80" i="5" s="1"/>
  <c r="D81" i="5" s="1"/>
  <c r="D82" i="5" s="1"/>
  <c r="D83" i="5" s="1"/>
  <c r="D84" i="5" s="1"/>
  <c r="D85" i="5" s="1"/>
  <c r="D86" i="5" s="1"/>
  <c r="E75" i="5" s="1"/>
  <c r="E76" i="5" s="1"/>
  <c r="E77" i="5" s="1"/>
  <c r="E78" i="5" s="1"/>
  <c r="E79" i="5" s="1"/>
  <c r="E80" i="5" s="1"/>
  <c r="E81" i="5" s="1"/>
  <c r="E82" i="5" s="1"/>
  <c r="E83" i="5" s="1"/>
  <c r="E84" i="5" s="1"/>
  <c r="E85" i="5" s="1"/>
  <c r="E86" i="5" s="1"/>
  <c r="F75" i="5" s="1"/>
  <c r="F76" i="5" s="1"/>
  <c r="F77" i="5" s="1"/>
  <c r="F78" i="5" s="1"/>
  <c r="F79" i="5" s="1"/>
  <c r="F80" i="5" s="1"/>
  <c r="F81" i="5" s="1"/>
  <c r="F82" i="5" s="1"/>
  <c r="F83" i="5" s="1"/>
  <c r="F84" i="5" s="1"/>
  <c r="F85" i="5" s="1"/>
  <c r="F86" i="5" s="1"/>
  <c r="G75" i="5" s="1"/>
  <c r="G76" i="5" s="1"/>
  <c r="G77" i="5" s="1"/>
  <c r="G78" i="5" s="1"/>
  <c r="G79" i="5" s="1"/>
  <c r="G80" i="5" s="1"/>
  <c r="G81" i="5" s="1"/>
  <c r="G82" i="5" s="1"/>
  <c r="G83" i="5" s="1"/>
  <c r="G84" i="5" s="1"/>
  <c r="G85" i="5" s="1"/>
  <c r="G86" i="5" s="1"/>
  <c r="H75" i="5" s="1"/>
  <c r="H76" i="5" s="1"/>
  <c r="H77" i="5" s="1"/>
  <c r="H78" i="5" s="1"/>
  <c r="H79" i="5" s="1"/>
  <c r="H80" i="5" s="1"/>
  <c r="H81" i="5" s="1"/>
  <c r="H82" i="5" s="1"/>
  <c r="H83" i="5" s="1"/>
  <c r="H84" i="5" s="1"/>
  <c r="H85" i="5" s="1"/>
  <c r="H86" i="5" s="1"/>
  <c r="I75" i="5" s="1"/>
  <c r="I76" i="5" s="1"/>
  <c r="I77" i="5" s="1"/>
  <c r="I78" i="5" s="1"/>
  <c r="I79" i="5" s="1"/>
  <c r="I80" i="5" s="1"/>
  <c r="I81" i="5" s="1"/>
  <c r="I82" i="5" s="1"/>
  <c r="I83" i="5" s="1"/>
  <c r="I84" i="5" s="1"/>
  <c r="I85" i="5" s="1"/>
  <c r="I86" i="5" s="1"/>
  <c r="J75" i="5" s="1"/>
  <c r="J76" i="5" s="1"/>
  <c r="J77" i="5" s="1"/>
  <c r="J78" i="5" s="1"/>
  <c r="J79" i="5" s="1"/>
  <c r="J80" i="5" s="1"/>
  <c r="J81" i="5" s="1"/>
  <c r="J82" i="5" s="1"/>
  <c r="J83" i="5" s="1"/>
  <c r="J84" i="5" s="1"/>
  <c r="J85" i="5" s="1"/>
  <c r="J86" i="5" s="1"/>
  <c r="K75" i="5" s="1"/>
  <c r="K76" i="5" s="1"/>
  <c r="K77" i="5" s="1"/>
  <c r="K78" i="5" s="1"/>
  <c r="K79" i="5" s="1"/>
  <c r="K80" i="5" s="1"/>
  <c r="K81" i="5" s="1"/>
  <c r="K82" i="5" s="1"/>
  <c r="K83" i="5" s="1"/>
  <c r="K84" i="5" s="1"/>
  <c r="K85" i="5" s="1"/>
  <c r="K86" i="5" s="1"/>
  <c r="L75" i="5" s="1"/>
  <c r="L76" i="5" s="1"/>
  <c r="L77" i="5" s="1"/>
  <c r="L78" i="5" s="1"/>
  <c r="L79" i="5" s="1"/>
  <c r="L80" i="5" s="1"/>
  <c r="L81" i="5" s="1"/>
  <c r="L82" i="5" s="1"/>
  <c r="L83" i="5" s="1"/>
  <c r="L84" i="5" s="1"/>
  <c r="L85" i="5" s="1"/>
  <c r="L86" i="5" s="1"/>
  <c r="M75" i="5" s="1"/>
  <c r="M76" i="5" s="1"/>
  <c r="M77" i="5" s="1"/>
  <c r="M78" i="5" s="1"/>
  <c r="M79" i="5" s="1"/>
  <c r="M80" i="5" s="1"/>
  <c r="M81" i="5" s="1"/>
  <c r="M82" i="5" s="1"/>
  <c r="M83" i="5" s="1"/>
  <c r="M84" i="5" s="1"/>
  <c r="M85" i="5" s="1"/>
  <c r="M86" i="5" s="1"/>
  <c r="N75" i="5" s="1"/>
  <c r="N76" i="5" s="1"/>
  <c r="N77" i="5" s="1"/>
  <c r="N78" i="5" s="1"/>
  <c r="N79" i="5" s="1"/>
  <c r="N80" i="5" s="1"/>
  <c r="N81" i="5" s="1"/>
  <c r="N82" i="5" s="1"/>
  <c r="N83" i="5" s="1"/>
  <c r="N84" i="5" s="1"/>
  <c r="N85" i="5" s="1"/>
  <c r="N86" i="5" s="1"/>
  <c r="O75" i="5" s="1"/>
  <c r="O76" i="5" s="1"/>
  <c r="O77" i="5" s="1"/>
  <c r="O78" i="5" s="1"/>
  <c r="O79" i="5" s="1"/>
  <c r="O80" i="5" s="1"/>
  <c r="O81" i="5" s="1"/>
  <c r="O82" i="5" s="1"/>
  <c r="O83" i="5" s="1"/>
  <c r="O84" i="5" s="1"/>
  <c r="O85" i="5" s="1"/>
  <c r="O86" i="5" s="1"/>
  <c r="P75" i="5" s="1"/>
  <c r="P76" i="5" s="1"/>
  <c r="P77" i="5" s="1"/>
  <c r="P78" i="5" s="1"/>
  <c r="P79" i="5" s="1"/>
  <c r="P80" i="5" s="1"/>
  <c r="P81" i="5" s="1"/>
  <c r="P82" i="5" s="1"/>
  <c r="P83" i="5" s="1"/>
  <c r="P84" i="5" s="1"/>
  <c r="P85" i="5" s="1"/>
  <c r="P86" i="5" s="1"/>
  <c r="Q75" i="5" s="1"/>
  <c r="Q76" i="5" s="1"/>
  <c r="Q77" i="5" s="1"/>
  <c r="Q78" i="5" s="1"/>
  <c r="Q79" i="5" s="1"/>
  <c r="Q80" i="5" s="1"/>
  <c r="Q81" i="5" s="1"/>
  <c r="Q82" i="5" s="1"/>
  <c r="Q83" i="5" s="1"/>
  <c r="Q84" i="5" s="1"/>
  <c r="Q85" i="5" s="1"/>
  <c r="Q86" i="5" s="1"/>
  <c r="R75" i="5" s="1"/>
  <c r="R76" i="5" s="1"/>
  <c r="R77" i="5" s="1"/>
  <c r="R78" i="5" s="1"/>
  <c r="R79" i="5" s="1"/>
  <c r="R80" i="5" s="1"/>
  <c r="R81" i="5" s="1"/>
  <c r="R82" i="5" s="1"/>
  <c r="R83" i="5" s="1"/>
  <c r="R84" i="5" s="1"/>
  <c r="R85" i="5" s="1"/>
  <c r="R86" i="5" s="1"/>
  <c r="S75" i="5" s="1"/>
  <c r="S76" i="5" s="1"/>
  <c r="S77" i="5" s="1"/>
  <c r="S78" i="5" s="1"/>
  <c r="S79" i="5" s="1"/>
  <c r="S80" i="5" s="1"/>
  <c r="S81" i="5" s="1"/>
  <c r="S82" i="5" s="1"/>
  <c r="S83" i="5" s="1"/>
  <c r="S84" i="5" s="1"/>
  <c r="S85" i="5" s="1"/>
  <c r="S86" i="5" s="1"/>
  <c r="T75" i="5" s="1"/>
  <c r="T76" i="5" s="1"/>
  <c r="T77" i="5" s="1"/>
  <c r="T78" i="5" s="1"/>
  <c r="T79" i="5" s="1"/>
  <c r="T80" i="5" s="1"/>
  <c r="T81" i="5" s="1"/>
  <c r="T82" i="5" s="1"/>
  <c r="T83" i="5" s="1"/>
  <c r="T84" i="5" s="1"/>
  <c r="T85" i="5" s="1"/>
  <c r="T86" i="5" s="1"/>
  <c r="U75" i="5" s="1"/>
  <c r="U76" i="5" s="1"/>
  <c r="U77" i="5" s="1"/>
  <c r="U78" i="5" s="1"/>
  <c r="U79" i="5" s="1"/>
  <c r="U80" i="5" s="1"/>
  <c r="U81" i="5" s="1"/>
  <c r="U82" i="5" s="1"/>
  <c r="U83" i="5" s="1"/>
  <c r="U84" i="5" s="1"/>
  <c r="U85" i="5" s="1"/>
  <c r="U86" i="5" s="1"/>
  <c r="V75" i="5" s="1"/>
  <c r="V76" i="5" s="1"/>
  <c r="V77" i="5" s="1"/>
  <c r="V78" i="5" s="1"/>
  <c r="V79" i="5" s="1"/>
  <c r="V80" i="5" s="1"/>
  <c r="V81" i="5" s="1"/>
  <c r="V82" i="5" s="1"/>
  <c r="V83" i="5" s="1"/>
  <c r="V84" i="5" s="1"/>
  <c r="V85" i="5" s="1"/>
  <c r="V86" i="5" s="1"/>
  <c r="W75" i="5" s="1"/>
  <c r="W76" i="5" s="1"/>
  <c r="W77" i="5" s="1"/>
  <c r="W78" i="5" s="1"/>
  <c r="W79" i="5" s="1"/>
  <c r="W80" i="5" s="1"/>
  <c r="W81" i="5" s="1"/>
  <c r="W82" i="5" s="1"/>
  <c r="W83" i="5" s="1"/>
  <c r="W84" i="5" s="1"/>
  <c r="W85" i="5" s="1"/>
  <c r="W86" i="5" s="1"/>
  <c r="X75" i="5" s="1"/>
  <c r="X76" i="5" s="1"/>
  <c r="X77" i="5" s="1"/>
  <c r="X78" i="5" s="1"/>
  <c r="X79" i="5" s="1"/>
  <c r="X80" i="5" s="1"/>
  <c r="X81" i="5" s="1"/>
  <c r="X82" i="5" s="1"/>
  <c r="X83" i="5" s="1"/>
  <c r="X84" i="5" s="1"/>
  <c r="X85" i="5" s="1"/>
  <c r="X86" i="5" s="1"/>
  <c r="Y75" i="5" s="1"/>
  <c r="Y76" i="5" s="1"/>
  <c r="Y77" i="5" s="1"/>
  <c r="Y78" i="5" s="1"/>
  <c r="Y79" i="5" s="1"/>
  <c r="Y80" i="5" s="1"/>
  <c r="Y81" i="5" s="1"/>
  <c r="Y82" i="5" s="1"/>
  <c r="Y83" i="5" s="1"/>
  <c r="Y84" i="5" s="1"/>
  <c r="Y85" i="5" s="1"/>
  <c r="Y86" i="5" s="1"/>
  <c r="Z75" i="5" s="1"/>
  <c r="Z76" i="5" s="1"/>
  <c r="Z77" i="5" s="1"/>
  <c r="Z78" i="5" s="1"/>
  <c r="Z79" i="5" s="1"/>
  <c r="Z80" i="5" s="1"/>
  <c r="Z81" i="5" s="1"/>
  <c r="Z82" i="5" s="1"/>
  <c r="Z83" i="5" s="1"/>
  <c r="Z84" i="5" s="1"/>
  <c r="Z85" i="5" s="1"/>
  <c r="Z86" i="5" s="1"/>
  <c r="AA75" i="5" s="1"/>
  <c r="AA76" i="5" s="1"/>
  <c r="AA77" i="5" s="1"/>
  <c r="AA78" i="5" s="1"/>
  <c r="AA79" i="5" s="1"/>
  <c r="AA80" i="5" s="1"/>
  <c r="AA81" i="5" s="1"/>
  <c r="AA82" i="5" s="1"/>
  <c r="AA83" i="5" s="1"/>
  <c r="AA84" i="5" s="1"/>
  <c r="AA85" i="5" s="1"/>
  <c r="AA86" i="5" s="1"/>
  <c r="AB75" i="5" s="1"/>
  <c r="AB76" i="5" s="1"/>
  <c r="AB77" i="5" s="1"/>
  <c r="AB78" i="5" s="1"/>
  <c r="AB79" i="5" s="1"/>
  <c r="AB80" i="5" s="1"/>
  <c r="AB81" i="5" s="1"/>
  <c r="AB82" i="5" s="1"/>
  <c r="AB83" i="5" s="1"/>
  <c r="AB84" i="5" s="1"/>
  <c r="AB85" i="5" s="1"/>
  <c r="AB86" i="5" s="1"/>
  <c r="AC75" i="5" s="1"/>
  <c r="AC76" i="5" s="1"/>
  <c r="AC77" i="5" s="1"/>
  <c r="AC78" i="5" s="1"/>
  <c r="AC79" i="5" s="1"/>
  <c r="AC80" i="5" s="1"/>
  <c r="AC81" i="5" s="1"/>
  <c r="AC82" i="5" s="1"/>
  <c r="AC83" i="5" s="1"/>
  <c r="AC84" i="5" s="1"/>
  <c r="AC85" i="5" s="1"/>
  <c r="AC86" i="5" s="1"/>
  <c r="AD75" i="5" s="1"/>
  <c r="AD76" i="5" s="1"/>
  <c r="AD77" i="5" s="1"/>
  <c r="AD78" i="5" s="1"/>
  <c r="AD79" i="5" s="1"/>
  <c r="AD80" i="5" s="1"/>
  <c r="AD81" i="5" s="1"/>
  <c r="AD82" i="5" s="1"/>
  <c r="AD83" i="5" s="1"/>
  <c r="AD84" i="5" s="1"/>
  <c r="AD85" i="5" s="1"/>
  <c r="AD86" i="5" s="1"/>
  <c r="AE75" i="5" s="1"/>
  <c r="AE76" i="5" s="1"/>
  <c r="AE77" i="5" s="1"/>
  <c r="AE78" i="5" s="1"/>
  <c r="AE79" i="5" s="1"/>
  <c r="AE80" i="5" s="1"/>
  <c r="AE81" i="5" s="1"/>
  <c r="AE82" i="5" s="1"/>
  <c r="AE83" i="5" s="1"/>
  <c r="AE84" i="5" s="1"/>
  <c r="AE85" i="5" s="1"/>
  <c r="AE86" i="5" s="1"/>
  <c r="AI75" i="4"/>
  <c r="AI76" i="4" s="1"/>
  <c r="AI77" i="4" s="1"/>
  <c r="AI78" i="4" s="1"/>
  <c r="AI79" i="4" s="1"/>
  <c r="AI80" i="4" s="1"/>
  <c r="AI81" i="4" s="1"/>
  <c r="AI82" i="4" s="1"/>
  <c r="AI83" i="4" s="1"/>
  <c r="AI84" i="4" s="1"/>
  <c r="AI85" i="4" s="1"/>
  <c r="AI86" i="4" s="1"/>
  <c r="AJ75" i="4" s="1"/>
  <c r="AJ76" i="4" s="1"/>
  <c r="AJ77" i="4" s="1"/>
  <c r="AJ78" i="4" s="1"/>
  <c r="AJ79" i="4" s="1"/>
  <c r="AJ80" i="4" s="1"/>
  <c r="AJ81" i="4" s="1"/>
  <c r="AJ82" i="4" s="1"/>
  <c r="AJ83" i="4" s="1"/>
  <c r="AJ84" i="4" s="1"/>
  <c r="AJ85" i="4" s="1"/>
  <c r="AJ86" i="4" s="1"/>
  <c r="AK75" i="4" s="1"/>
  <c r="AK76" i="4" s="1"/>
  <c r="AK77" i="4" s="1"/>
  <c r="AK78" i="4" s="1"/>
  <c r="AK79" i="4" s="1"/>
  <c r="AK80" i="4" s="1"/>
  <c r="AK81" i="4" s="1"/>
  <c r="AK82" i="4" s="1"/>
  <c r="AK83" i="4" s="1"/>
  <c r="AK84" i="4" s="1"/>
  <c r="AK85" i="4" s="1"/>
  <c r="AK86" i="4" s="1"/>
  <c r="AL75" i="4" s="1"/>
  <c r="AL76" i="4" s="1"/>
  <c r="AL77" i="4" s="1"/>
  <c r="AL78" i="4" s="1"/>
  <c r="AL79" i="4" s="1"/>
  <c r="AL80" i="4" s="1"/>
  <c r="AL81" i="4" s="1"/>
  <c r="AL82" i="4" s="1"/>
  <c r="AL83" i="4" s="1"/>
  <c r="AL84" i="4" s="1"/>
  <c r="AL85" i="4" s="1"/>
  <c r="AL86" i="4" s="1"/>
  <c r="AM75" i="4" s="1"/>
  <c r="AM76" i="4" s="1"/>
  <c r="AM77" i="4" s="1"/>
  <c r="AM78" i="4" s="1"/>
  <c r="AM79" i="4" s="1"/>
  <c r="AM80" i="4" s="1"/>
  <c r="AM81" i="4" s="1"/>
  <c r="AM82" i="4" s="1"/>
  <c r="AM83" i="4" s="1"/>
  <c r="AM84" i="4" s="1"/>
  <c r="AM85" i="4" s="1"/>
  <c r="AM86" i="4" s="1"/>
  <c r="AN75" i="4" s="1"/>
  <c r="AN76" i="4" s="1"/>
  <c r="AN77" i="4" s="1"/>
  <c r="AN78" i="4" s="1"/>
  <c r="AN79" i="4" s="1"/>
  <c r="AN80" i="4" s="1"/>
  <c r="AN81" i="4" s="1"/>
  <c r="AN82" i="4" s="1"/>
  <c r="AN83" i="4" s="1"/>
  <c r="AN84" i="4" s="1"/>
  <c r="AN85" i="4" s="1"/>
  <c r="AN86" i="4" s="1"/>
  <c r="AO75" i="4" s="1"/>
  <c r="AO76" i="4" s="1"/>
  <c r="AO77" i="4" s="1"/>
  <c r="AO78" i="4" s="1"/>
  <c r="AO79" i="4" s="1"/>
  <c r="AO80" i="4" s="1"/>
  <c r="AO81" i="4" s="1"/>
  <c r="AO82" i="4" s="1"/>
  <c r="AO83" i="4" s="1"/>
  <c r="AO84" i="4" s="1"/>
  <c r="AO85" i="4" s="1"/>
  <c r="AO86" i="4" s="1"/>
  <c r="AP75" i="4" s="1"/>
  <c r="AP76" i="4" s="1"/>
  <c r="AP77" i="4" s="1"/>
  <c r="AP78" i="4" s="1"/>
  <c r="AP79" i="4" s="1"/>
  <c r="AP80" i="4" s="1"/>
  <c r="AP81" i="4" s="1"/>
  <c r="AP82" i="4" s="1"/>
  <c r="AP83" i="4" s="1"/>
  <c r="AP84" i="4" s="1"/>
  <c r="AP85" i="4" s="1"/>
  <c r="AP86" i="4" s="1"/>
  <c r="AQ75" i="4" s="1"/>
  <c r="AQ76" i="4" s="1"/>
  <c r="AQ77" i="4" s="1"/>
  <c r="AQ78" i="4" s="1"/>
  <c r="AQ79" i="4" s="1"/>
  <c r="AQ80" i="4" s="1"/>
  <c r="AQ81" i="4" s="1"/>
  <c r="AQ82" i="4" s="1"/>
  <c r="AQ83" i="4" s="1"/>
  <c r="AQ84" i="4" s="1"/>
  <c r="AQ85" i="4" s="1"/>
  <c r="AQ86" i="4" s="1"/>
  <c r="AR75" i="4" s="1"/>
  <c r="AR76" i="4" s="1"/>
  <c r="AR77" i="4" s="1"/>
  <c r="AR78" i="4" s="1"/>
  <c r="AR79" i="4" s="1"/>
  <c r="AR80" i="4" s="1"/>
  <c r="AR81" i="4" s="1"/>
  <c r="AR82" i="4" s="1"/>
  <c r="AR83" i="4" s="1"/>
  <c r="AR84" i="4" s="1"/>
  <c r="AR85" i="4" s="1"/>
  <c r="AR86" i="4" s="1"/>
  <c r="AS75" i="4" s="1"/>
  <c r="AS76" i="4" s="1"/>
  <c r="AS77" i="4" s="1"/>
  <c r="AS78" i="4" s="1"/>
  <c r="AS79" i="4" s="1"/>
  <c r="AS80" i="4" s="1"/>
  <c r="AS81" i="4" s="1"/>
  <c r="AS82" i="4" s="1"/>
  <c r="AS83" i="4" s="1"/>
  <c r="AS84" i="4" s="1"/>
  <c r="AS85" i="4" s="1"/>
  <c r="AS86" i="4" s="1"/>
  <c r="AT75" i="4" s="1"/>
  <c r="AT76" i="4" s="1"/>
  <c r="AT77" i="4" s="1"/>
  <c r="AT78" i="4" s="1"/>
  <c r="AT79" i="4" s="1"/>
  <c r="AT80" i="4" s="1"/>
  <c r="AT81" i="4" s="1"/>
  <c r="AT82" i="4" s="1"/>
  <c r="AT83" i="4" s="1"/>
  <c r="AT84" i="4" s="1"/>
  <c r="AT85" i="4" s="1"/>
  <c r="AT86" i="4" s="1"/>
  <c r="AU75" i="4" s="1"/>
  <c r="AU76" i="4" s="1"/>
  <c r="AU77" i="4" s="1"/>
  <c r="AU78" i="4" s="1"/>
  <c r="AU79" i="4" s="1"/>
  <c r="AU80" i="4" s="1"/>
  <c r="AU81" i="4" s="1"/>
  <c r="AU82" i="4" s="1"/>
  <c r="AU83" i="4" s="1"/>
  <c r="AU84" i="4" s="1"/>
  <c r="AU85" i="4" s="1"/>
  <c r="AU86" i="4" s="1"/>
  <c r="AV75" i="4" s="1"/>
  <c r="AV76" i="4" s="1"/>
  <c r="AV77" i="4" s="1"/>
  <c r="AV78" i="4" s="1"/>
  <c r="AV79" i="4" s="1"/>
  <c r="AV80" i="4" s="1"/>
  <c r="AV81" i="4" s="1"/>
  <c r="AV82" i="4" s="1"/>
  <c r="AV83" i="4" s="1"/>
  <c r="AV84" i="4" s="1"/>
  <c r="AV85" i="4" s="1"/>
  <c r="AV86" i="4" s="1"/>
  <c r="AW75" i="4" s="1"/>
  <c r="AW76" i="4" s="1"/>
  <c r="AW77" i="4" s="1"/>
  <c r="AW78" i="4" s="1"/>
  <c r="AW79" i="4" s="1"/>
  <c r="AW80" i="4" s="1"/>
  <c r="AW81" i="4" s="1"/>
  <c r="AW82" i="4" s="1"/>
  <c r="AW83" i="4" s="1"/>
  <c r="AW84" i="4" s="1"/>
  <c r="AW85" i="4" s="1"/>
  <c r="AW86" i="4" s="1"/>
  <c r="AX75" i="4" s="1"/>
  <c r="AX76" i="4" s="1"/>
  <c r="AX77" i="4" s="1"/>
  <c r="AX78" i="4" s="1"/>
  <c r="AX79" i="4" s="1"/>
  <c r="AX80" i="4" s="1"/>
  <c r="AX81" i="4" s="1"/>
  <c r="AX82" i="4" s="1"/>
  <c r="AX83" i="4" s="1"/>
  <c r="AX84" i="4" s="1"/>
  <c r="AX85" i="4" s="1"/>
  <c r="AX86" i="4" s="1"/>
  <c r="AY75" i="4" s="1"/>
  <c r="AY76" i="4" s="1"/>
  <c r="AY77" i="4" s="1"/>
  <c r="AY78" i="4" s="1"/>
  <c r="AY79" i="4" s="1"/>
  <c r="AY80" i="4" s="1"/>
  <c r="AY81" i="4" s="1"/>
  <c r="AY82" i="4" s="1"/>
  <c r="AY83" i="4" s="1"/>
  <c r="AY84" i="4" s="1"/>
  <c r="AY85" i="4" s="1"/>
  <c r="AY86" i="4" s="1"/>
  <c r="AZ75" i="4" s="1"/>
  <c r="AZ76" i="4" s="1"/>
  <c r="AZ77" i="4" s="1"/>
  <c r="AZ78" i="4" s="1"/>
  <c r="AZ79" i="4" s="1"/>
  <c r="AZ80" i="4" s="1"/>
  <c r="AZ81" i="4" s="1"/>
  <c r="AZ82" i="4" s="1"/>
  <c r="AZ83" i="4" s="1"/>
  <c r="AZ84" i="4" s="1"/>
  <c r="AZ85" i="4" s="1"/>
  <c r="AZ86" i="4" s="1"/>
  <c r="BA75" i="4" s="1"/>
  <c r="BA76" i="4" s="1"/>
  <c r="BA77" i="4" s="1"/>
  <c r="BA78" i="4" s="1"/>
  <c r="BA79" i="4" s="1"/>
  <c r="BA80" i="4" s="1"/>
  <c r="BA81" i="4" s="1"/>
  <c r="BA82" i="4" s="1"/>
  <c r="BA83" i="4" s="1"/>
  <c r="BA84" i="4" s="1"/>
  <c r="BA85" i="4" s="1"/>
  <c r="BA86" i="4" s="1"/>
  <c r="BB75" i="4" s="1"/>
  <c r="BB76" i="4" s="1"/>
  <c r="BB77" i="4" s="1"/>
  <c r="BB78" i="4" s="1"/>
  <c r="BB79" i="4" s="1"/>
  <c r="BB80" i="4" s="1"/>
  <c r="BB81" i="4" s="1"/>
  <c r="BB82" i="4" s="1"/>
  <c r="BB83" i="4" s="1"/>
  <c r="BB84" i="4" s="1"/>
  <c r="BB85" i="4" s="1"/>
  <c r="BB86" i="4" s="1"/>
  <c r="BC75" i="4" s="1"/>
  <c r="BC76" i="4" s="1"/>
  <c r="BC77" i="4" s="1"/>
  <c r="BC78" i="4" s="1"/>
  <c r="BC79" i="4" s="1"/>
  <c r="BC80" i="4" s="1"/>
  <c r="BC81" i="4" s="1"/>
  <c r="BC82" i="4" s="1"/>
  <c r="BC83" i="4" s="1"/>
  <c r="BC84" i="4" s="1"/>
  <c r="BC85" i="4" s="1"/>
  <c r="BC86" i="4" s="1"/>
  <c r="BD75" i="4" s="1"/>
  <c r="BD76" i="4" s="1"/>
  <c r="BD77" i="4" s="1"/>
  <c r="BD78" i="4" s="1"/>
  <c r="BD79" i="4" s="1"/>
  <c r="BD80" i="4" s="1"/>
  <c r="BD81" i="4" s="1"/>
  <c r="BD82" i="4" s="1"/>
  <c r="BD83" i="4" s="1"/>
  <c r="BD84" i="4" s="1"/>
  <c r="BD85" i="4" s="1"/>
  <c r="BD86" i="4" s="1"/>
  <c r="BE75" i="4" s="1"/>
  <c r="BE76" i="4" s="1"/>
  <c r="BE77" i="4" s="1"/>
  <c r="BE78" i="4" s="1"/>
  <c r="BE79" i="4" s="1"/>
  <c r="BE80" i="4" s="1"/>
  <c r="BE81" i="4" s="1"/>
  <c r="BE82" i="4" s="1"/>
  <c r="BE83" i="4" s="1"/>
  <c r="BE84" i="4" s="1"/>
  <c r="BE85" i="4" s="1"/>
  <c r="BE86" i="4" s="1"/>
  <c r="BF75" i="4" s="1"/>
  <c r="BF76" i="4" s="1"/>
  <c r="BF77" i="4" s="1"/>
  <c r="BF78" i="4" s="1"/>
  <c r="BF79" i="4" s="1"/>
  <c r="BF80" i="4" s="1"/>
  <c r="BF81" i="4" s="1"/>
  <c r="BF82" i="4" s="1"/>
  <c r="BF83" i="4" s="1"/>
  <c r="BF84" i="4" s="1"/>
  <c r="BF85" i="4" s="1"/>
  <c r="BF86" i="4" s="1"/>
  <c r="BG75" i="4" s="1"/>
  <c r="BG76" i="4" s="1"/>
  <c r="BG77" i="4" s="1"/>
  <c r="BG78" i="4" s="1"/>
  <c r="BG79" i="4" s="1"/>
  <c r="BG80" i="4" s="1"/>
  <c r="BG81" i="4" s="1"/>
  <c r="BG82" i="4" s="1"/>
  <c r="BG83" i="4" s="1"/>
  <c r="BG84" i="4" s="1"/>
  <c r="BG85" i="4" s="1"/>
  <c r="BG86" i="4" s="1"/>
  <c r="BH75" i="4" s="1"/>
  <c r="BH76" i="4" s="1"/>
  <c r="BH77" i="4" s="1"/>
  <c r="BH78" i="4" s="1"/>
  <c r="BH79" i="4" s="1"/>
  <c r="BH80" i="4" s="1"/>
  <c r="BH81" i="4" s="1"/>
  <c r="BH82" i="4" s="1"/>
  <c r="BH83" i="4" s="1"/>
  <c r="BH84" i="4" s="1"/>
  <c r="BH85" i="4" s="1"/>
  <c r="BH86" i="4" s="1"/>
  <c r="BI75" i="4" s="1"/>
  <c r="BI76" i="4" s="1"/>
  <c r="BI77" i="4" s="1"/>
  <c r="BI78" i="4" s="1"/>
  <c r="BI79" i="4" s="1"/>
  <c r="BI80" i="4" s="1"/>
  <c r="BI81" i="4" s="1"/>
  <c r="BI82" i="4" s="1"/>
  <c r="BI83" i="4" s="1"/>
  <c r="BI84" i="4" s="1"/>
  <c r="BI85" i="4" s="1"/>
  <c r="BI86" i="4" s="1"/>
  <c r="BJ75" i="4" s="1"/>
  <c r="BJ76" i="4" s="1"/>
  <c r="BJ77" i="4" s="1"/>
  <c r="BJ78" i="4" s="1"/>
  <c r="BJ79" i="4" s="1"/>
  <c r="BJ80" i="4" s="1"/>
  <c r="BJ81" i="4" s="1"/>
  <c r="BJ82" i="4" s="1"/>
  <c r="BJ83" i="4" s="1"/>
  <c r="BJ84" i="4" s="1"/>
  <c r="BJ85" i="4" s="1"/>
  <c r="BJ86" i="4" s="1"/>
  <c r="D75" i="4"/>
  <c r="D76" i="4" s="1"/>
  <c r="D77" i="4" s="1"/>
  <c r="D78" i="4" s="1"/>
  <c r="D79" i="4" s="1"/>
  <c r="D80" i="4" s="1"/>
  <c r="D81" i="4" s="1"/>
  <c r="D82" i="4" s="1"/>
  <c r="D83" i="4" s="1"/>
  <c r="D84" i="4" s="1"/>
  <c r="D85" i="4" s="1"/>
  <c r="D86" i="4" s="1"/>
  <c r="E75" i="4" s="1"/>
  <c r="E76" i="4" s="1"/>
  <c r="E77" i="4" s="1"/>
  <c r="E78" i="4" s="1"/>
  <c r="E79" i="4" s="1"/>
  <c r="E80" i="4" s="1"/>
  <c r="E81" i="4" s="1"/>
  <c r="E82" i="4" s="1"/>
  <c r="E83" i="4" s="1"/>
  <c r="E84" i="4" s="1"/>
  <c r="E85" i="4" s="1"/>
  <c r="E86" i="4" s="1"/>
  <c r="F75" i="4" s="1"/>
  <c r="F76" i="4" s="1"/>
  <c r="F77" i="4" s="1"/>
  <c r="F78" i="4" s="1"/>
  <c r="F79" i="4" s="1"/>
  <c r="F80" i="4" s="1"/>
  <c r="F81" i="4" s="1"/>
  <c r="F82" i="4" s="1"/>
  <c r="F83" i="4" s="1"/>
  <c r="F84" i="4" s="1"/>
  <c r="F85" i="4" s="1"/>
  <c r="F86" i="4" s="1"/>
  <c r="G75" i="4" s="1"/>
  <c r="G76" i="4" s="1"/>
  <c r="G77" i="4" s="1"/>
  <c r="G78" i="4" s="1"/>
  <c r="G79" i="4" s="1"/>
  <c r="G80" i="4" s="1"/>
  <c r="G81" i="4" s="1"/>
  <c r="G82" i="4" s="1"/>
  <c r="G83" i="4" s="1"/>
  <c r="G84" i="4" s="1"/>
  <c r="G85" i="4" s="1"/>
  <c r="G86" i="4" s="1"/>
  <c r="H75" i="4" s="1"/>
  <c r="H76" i="4" s="1"/>
  <c r="H77" i="4" s="1"/>
  <c r="H78" i="4" s="1"/>
  <c r="H79" i="4" s="1"/>
  <c r="H80" i="4" s="1"/>
  <c r="H81" i="4" s="1"/>
  <c r="H82" i="4" s="1"/>
  <c r="H83" i="4" s="1"/>
  <c r="H84" i="4" s="1"/>
  <c r="H85" i="4" s="1"/>
  <c r="H86" i="4" s="1"/>
  <c r="I75" i="4" s="1"/>
  <c r="I76" i="4" s="1"/>
  <c r="I77" i="4" s="1"/>
  <c r="I78" i="4" s="1"/>
  <c r="I79" i="4" s="1"/>
  <c r="I80" i="4" s="1"/>
  <c r="I81" i="4" s="1"/>
  <c r="I82" i="4" s="1"/>
  <c r="I83" i="4" s="1"/>
  <c r="I84" i="4" s="1"/>
  <c r="I85" i="4" s="1"/>
  <c r="I86" i="4" s="1"/>
  <c r="J75" i="4" s="1"/>
  <c r="J76" i="4" s="1"/>
  <c r="J77" i="4" s="1"/>
  <c r="J78" i="4" s="1"/>
  <c r="J79" i="4" s="1"/>
  <c r="J80" i="4" s="1"/>
  <c r="J81" i="4" s="1"/>
  <c r="J82" i="4" s="1"/>
  <c r="J83" i="4" s="1"/>
  <c r="J84" i="4" s="1"/>
  <c r="J85" i="4" s="1"/>
  <c r="J86" i="4" s="1"/>
  <c r="K75" i="4" s="1"/>
  <c r="K76" i="4" s="1"/>
  <c r="K77" i="4" s="1"/>
  <c r="K78" i="4" s="1"/>
  <c r="K79" i="4" s="1"/>
  <c r="K80" i="4" s="1"/>
  <c r="K81" i="4" s="1"/>
  <c r="K82" i="4" s="1"/>
  <c r="K83" i="4" s="1"/>
  <c r="K84" i="4" s="1"/>
  <c r="K85" i="4" s="1"/>
  <c r="K86" i="4" s="1"/>
  <c r="L75" i="4" s="1"/>
  <c r="L76" i="4" s="1"/>
  <c r="L77" i="4" s="1"/>
  <c r="L78" i="4" s="1"/>
  <c r="L79" i="4" s="1"/>
  <c r="L80" i="4" s="1"/>
  <c r="L81" i="4" s="1"/>
  <c r="L82" i="4" s="1"/>
  <c r="L83" i="4" s="1"/>
  <c r="L84" i="4" s="1"/>
  <c r="L85" i="4" s="1"/>
  <c r="L86" i="4" s="1"/>
  <c r="M75" i="4" s="1"/>
  <c r="M76" i="4" s="1"/>
  <c r="M77" i="4" s="1"/>
  <c r="M78" i="4" s="1"/>
  <c r="M79" i="4" s="1"/>
  <c r="M80" i="4" s="1"/>
  <c r="M81" i="4" s="1"/>
  <c r="M82" i="4" s="1"/>
  <c r="M83" i="4" s="1"/>
  <c r="M84" i="4" s="1"/>
  <c r="M85" i="4" s="1"/>
  <c r="M86" i="4" s="1"/>
  <c r="N75" i="4" s="1"/>
  <c r="N76" i="4" s="1"/>
  <c r="N77" i="4" s="1"/>
  <c r="N78" i="4" s="1"/>
  <c r="N79" i="4" s="1"/>
  <c r="N80" i="4" s="1"/>
  <c r="N81" i="4" s="1"/>
  <c r="N82" i="4" s="1"/>
  <c r="N83" i="4" s="1"/>
  <c r="N84" i="4" s="1"/>
  <c r="N85" i="4" s="1"/>
  <c r="N86" i="4" s="1"/>
  <c r="O75" i="4" s="1"/>
  <c r="O76" i="4" s="1"/>
  <c r="O77" i="4" s="1"/>
  <c r="O78" i="4" s="1"/>
  <c r="O79" i="4" s="1"/>
  <c r="O80" i="4" s="1"/>
  <c r="O81" i="4" s="1"/>
  <c r="O82" i="4" s="1"/>
  <c r="O83" i="4" s="1"/>
  <c r="O84" i="4" s="1"/>
  <c r="O85" i="4" s="1"/>
  <c r="O86" i="4" s="1"/>
  <c r="P75" i="4" s="1"/>
  <c r="P76" i="4" s="1"/>
  <c r="P77" i="4" s="1"/>
  <c r="P78" i="4" s="1"/>
  <c r="P79" i="4" s="1"/>
  <c r="P80" i="4" s="1"/>
  <c r="P81" i="4" s="1"/>
  <c r="P82" i="4" s="1"/>
  <c r="P83" i="4" s="1"/>
  <c r="P84" i="4" s="1"/>
  <c r="P85" i="4" s="1"/>
  <c r="P86" i="4" s="1"/>
  <c r="Q75" i="4" s="1"/>
  <c r="AI75" i="3"/>
  <c r="AI76" i="3" s="1"/>
  <c r="AI77" i="3" s="1"/>
  <c r="AI78" i="3" s="1"/>
  <c r="AI79" i="3" s="1"/>
  <c r="AI80" i="3" s="1"/>
  <c r="AI81" i="3" s="1"/>
  <c r="AI82" i="3" s="1"/>
  <c r="AI83" i="3" s="1"/>
  <c r="AI84" i="3" s="1"/>
  <c r="AI85" i="3" s="1"/>
  <c r="AI86" i="3" s="1"/>
  <c r="AJ75" i="3" s="1"/>
  <c r="AJ76" i="3" s="1"/>
  <c r="AJ77" i="3" s="1"/>
  <c r="AJ78" i="3" s="1"/>
  <c r="AJ79" i="3" s="1"/>
  <c r="AJ80" i="3" s="1"/>
  <c r="AJ81" i="3" s="1"/>
  <c r="AJ82" i="3" s="1"/>
  <c r="AJ83" i="3" s="1"/>
  <c r="AJ84" i="3" s="1"/>
  <c r="AJ85" i="3" s="1"/>
  <c r="AJ86" i="3" s="1"/>
  <c r="AK75" i="3" s="1"/>
  <c r="AK76" i="3" s="1"/>
  <c r="AK77" i="3" s="1"/>
  <c r="AK78" i="3" s="1"/>
  <c r="AK79" i="3" s="1"/>
  <c r="AK80" i="3" s="1"/>
  <c r="AK81" i="3" s="1"/>
  <c r="AK82" i="3" s="1"/>
  <c r="AK83" i="3" s="1"/>
  <c r="AK84" i="3" s="1"/>
  <c r="AK85" i="3" s="1"/>
  <c r="AK86" i="3" s="1"/>
  <c r="AL75" i="3" s="1"/>
  <c r="AL76" i="3" s="1"/>
  <c r="AL77" i="3" s="1"/>
  <c r="AL78" i="3" s="1"/>
  <c r="AL79" i="3" s="1"/>
  <c r="AL80" i="3" s="1"/>
  <c r="AL81" i="3" s="1"/>
  <c r="AL82" i="3" s="1"/>
  <c r="AL83" i="3" s="1"/>
  <c r="AL84" i="3" s="1"/>
  <c r="AL85" i="3" s="1"/>
  <c r="AL86" i="3" s="1"/>
  <c r="AM75" i="3" s="1"/>
  <c r="AM76" i="3" s="1"/>
  <c r="AM77" i="3" s="1"/>
  <c r="AM78" i="3" s="1"/>
  <c r="AM79" i="3" s="1"/>
  <c r="AM80" i="3" s="1"/>
  <c r="AM81" i="3" s="1"/>
  <c r="AM82" i="3" s="1"/>
  <c r="AM83" i="3" s="1"/>
  <c r="AM84" i="3" s="1"/>
  <c r="AM85" i="3" s="1"/>
  <c r="AM86" i="3" s="1"/>
  <c r="AN75" i="3" s="1"/>
  <c r="AN76" i="3" s="1"/>
  <c r="AN77" i="3" s="1"/>
  <c r="AN78" i="3" s="1"/>
  <c r="AN79" i="3" s="1"/>
  <c r="AN80" i="3" s="1"/>
  <c r="AN81" i="3" s="1"/>
  <c r="AN82" i="3" s="1"/>
  <c r="AN83" i="3" s="1"/>
  <c r="AN84" i="3" s="1"/>
  <c r="AN85" i="3" s="1"/>
  <c r="AN86" i="3" s="1"/>
  <c r="AO75" i="3" s="1"/>
  <c r="AO76" i="3" s="1"/>
  <c r="AO77" i="3" s="1"/>
  <c r="AO78" i="3" s="1"/>
  <c r="AO79" i="3" s="1"/>
  <c r="AO80" i="3" s="1"/>
  <c r="AO81" i="3" s="1"/>
  <c r="AO82" i="3" s="1"/>
  <c r="AO83" i="3" s="1"/>
  <c r="AO84" i="3" s="1"/>
  <c r="AO85" i="3" s="1"/>
  <c r="AO86" i="3" s="1"/>
  <c r="AP75" i="3" s="1"/>
  <c r="AP76" i="3" s="1"/>
  <c r="AP77" i="3" s="1"/>
  <c r="AP78" i="3" s="1"/>
  <c r="AP79" i="3" s="1"/>
  <c r="AP80" i="3" s="1"/>
  <c r="AP81" i="3" s="1"/>
  <c r="AP82" i="3" s="1"/>
  <c r="AP83" i="3" s="1"/>
  <c r="AP84" i="3" s="1"/>
  <c r="AP85" i="3" s="1"/>
  <c r="AP86" i="3" s="1"/>
  <c r="AQ75" i="3" s="1"/>
  <c r="AQ76" i="3" s="1"/>
  <c r="AQ77" i="3" s="1"/>
  <c r="AQ78" i="3" s="1"/>
  <c r="AQ79" i="3" s="1"/>
  <c r="AQ80" i="3" s="1"/>
  <c r="AQ81" i="3" s="1"/>
  <c r="AQ82" i="3" s="1"/>
  <c r="AQ83" i="3" s="1"/>
  <c r="AQ84" i="3" s="1"/>
  <c r="AQ85" i="3" s="1"/>
  <c r="AQ86" i="3" s="1"/>
  <c r="AR75" i="3" s="1"/>
  <c r="AR76" i="3" s="1"/>
  <c r="AR77" i="3" s="1"/>
  <c r="AR78" i="3" s="1"/>
  <c r="AR79" i="3" s="1"/>
  <c r="AR80" i="3" s="1"/>
  <c r="AR81" i="3" s="1"/>
  <c r="AR82" i="3" s="1"/>
  <c r="AR83" i="3" s="1"/>
  <c r="AR84" i="3" s="1"/>
  <c r="AR85" i="3" s="1"/>
  <c r="AR86" i="3" s="1"/>
  <c r="AS75" i="3" s="1"/>
  <c r="AS76" i="3" s="1"/>
  <c r="AS77" i="3" s="1"/>
  <c r="AS78" i="3" s="1"/>
  <c r="AS79" i="3" s="1"/>
  <c r="AS80" i="3" s="1"/>
  <c r="AS81" i="3" s="1"/>
  <c r="AS82" i="3" s="1"/>
  <c r="AS83" i="3" s="1"/>
  <c r="AS84" i="3" s="1"/>
  <c r="AS85" i="3" s="1"/>
  <c r="AS86" i="3" s="1"/>
  <c r="AT75" i="3" s="1"/>
  <c r="AT76" i="3" s="1"/>
  <c r="AT77" i="3" s="1"/>
  <c r="AT78" i="3" s="1"/>
  <c r="AT79" i="3" s="1"/>
  <c r="AT80" i="3" s="1"/>
  <c r="AT81" i="3" s="1"/>
  <c r="AT82" i="3" s="1"/>
  <c r="AT83" i="3" s="1"/>
  <c r="AT84" i="3" s="1"/>
  <c r="AT85" i="3" s="1"/>
  <c r="AT86" i="3" s="1"/>
  <c r="AU75" i="3" s="1"/>
  <c r="AU76" i="3" s="1"/>
  <c r="AU77" i="3" s="1"/>
  <c r="AU78" i="3" s="1"/>
  <c r="AU79" i="3" s="1"/>
  <c r="AU80" i="3" s="1"/>
  <c r="AU81" i="3" s="1"/>
  <c r="AU82" i="3" s="1"/>
  <c r="AU83" i="3" s="1"/>
  <c r="AU84" i="3" s="1"/>
  <c r="AU85" i="3" s="1"/>
  <c r="AU86" i="3" s="1"/>
  <c r="AV75" i="3" s="1"/>
  <c r="AV76" i="3" s="1"/>
  <c r="AV77" i="3" s="1"/>
  <c r="AV78" i="3" s="1"/>
  <c r="AV79" i="3" s="1"/>
  <c r="AV80" i="3" s="1"/>
  <c r="AV81" i="3" s="1"/>
  <c r="AV82" i="3" s="1"/>
  <c r="AV83" i="3" s="1"/>
  <c r="AV84" i="3" s="1"/>
  <c r="AV85" i="3" s="1"/>
  <c r="AV86" i="3" s="1"/>
  <c r="AW75" i="3" s="1"/>
  <c r="AW76" i="3" s="1"/>
  <c r="AW77" i="3" s="1"/>
  <c r="AW78" i="3" s="1"/>
  <c r="AW79" i="3" s="1"/>
  <c r="AW80" i="3" s="1"/>
  <c r="AW81" i="3" s="1"/>
  <c r="AW82" i="3" s="1"/>
  <c r="AW83" i="3" s="1"/>
  <c r="AW84" i="3" s="1"/>
  <c r="AW85" i="3" s="1"/>
  <c r="AW86" i="3" s="1"/>
  <c r="AX75" i="3" s="1"/>
  <c r="AX76" i="3" s="1"/>
  <c r="AX77" i="3" s="1"/>
  <c r="AX78" i="3" s="1"/>
  <c r="AX79" i="3" s="1"/>
  <c r="AX80" i="3" s="1"/>
  <c r="AX81" i="3" s="1"/>
  <c r="AX82" i="3" s="1"/>
  <c r="AX83" i="3" s="1"/>
  <c r="AX84" i="3" s="1"/>
  <c r="AX85" i="3" s="1"/>
  <c r="AX86" i="3" s="1"/>
  <c r="AY75" i="3" s="1"/>
  <c r="AY76" i="3" s="1"/>
  <c r="AY77" i="3" s="1"/>
  <c r="AY78" i="3" s="1"/>
  <c r="AY79" i="3" s="1"/>
  <c r="AY80" i="3" s="1"/>
  <c r="AY81" i="3" s="1"/>
  <c r="AY82" i="3" s="1"/>
  <c r="AY83" i="3" s="1"/>
  <c r="AY84" i="3" s="1"/>
  <c r="AY85" i="3" s="1"/>
  <c r="AY86" i="3" s="1"/>
  <c r="AZ75" i="3" s="1"/>
  <c r="AZ76" i="3" s="1"/>
  <c r="AZ77" i="3" s="1"/>
  <c r="AZ78" i="3" s="1"/>
  <c r="AZ79" i="3" s="1"/>
  <c r="AZ80" i="3" s="1"/>
  <c r="AZ81" i="3" s="1"/>
  <c r="AZ82" i="3" s="1"/>
  <c r="AZ83" i="3" s="1"/>
  <c r="AZ84" i="3" s="1"/>
  <c r="AZ85" i="3" s="1"/>
  <c r="AZ86" i="3" s="1"/>
  <c r="BA75" i="3" s="1"/>
  <c r="BA76" i="3" s="1"/>
  <c r="BA77" i="3" s="1"/>
  <c r="BA78" i="3" s="1"/>
  <c r="BA79" i="3" s="1"/>
  <c r="BA80" i="3" s="1"/>
  <c r="BA81" i="3" s="1"/>
  <c r="BA82" i="3" s="1"/>
  <c r="BA83" i="3" s="1"/>
  <c r="BA84" i="3" s="1"/>
  <c r="BA85" i="3" s="1"/>
  <c r="BA86" i="3" s="1"/>
  <c r="BB75" i="3" s="1"/>
  <c r="BB76" i="3" s="1"/>
  <c r="BB77" i="3" s="1"/>
  <c r="BB78" i="3" s="1"/>
  <c r="BB79" i="3" s="1"/>
  <c r="BB80" i="3" s="1"/>
  <c r="BB81" i="3" s="1"/>
  <c r="BB82" i="3" s="1"/>
  <c r="BB83" i="3" s="1"/>
  <c r="BB84" i="3" s="1"/>
  <c r="BB85" i="3" s="1"/>
  <c r="BB86" i="3" s="1"/>
  <c r="BC75" i="3" s="1"/>
  <c r="BC76" i="3" s="1"/>
  <c r="BC77" i="3" s="1"/>
  <c r="BC78" i="3" s="1"/>
  <c r="BC79" i="3" s="1"/>
  <c r="BC80" i="3" s="1"/>
  <c r="BC81" i="3" s="1"/>
  <c r="BC82" i="3" s="1"/>
  <c r="BC83" i="3" s="1"/>
  <c r="BC84" i="3" s="1"/>
  <c r="BC85" i="3" s="1"/>
  <c r="BC86" i="3" s="1"/>
  <c r="BD75" i="3" s="1"/>
  <c r="BD76" i="3" s="1"/>
  <c r="BD77" i="3" s="1"/>
  <c r="BD78" i="3" s="1"/>
  <c r="BD79" i="3" s="1"/>
  <c r="BD80" i="3" s="1"/>
  <c r="BD81" i="3" s="1"/>
  <c r="BD82" i="3" s="1"/>
  <c r="BD83" i="3" s="1"/>
  <c r="BD84" i="3" s="1"/>
  <c r="BD85" i="3" s="1"/>
  <c r="BD86" i="3" s="1"/>
  <c r="BE75" i="3" s="1"/>
  <c r="BE76" i="3" s="1"/>
  <c r="BE77" i="3" s="1"/>
  <c r="BE78" i="3" s="1"/>
  <c r="BE79" i="3" s="1"/>
  <c r="BE80" i="3" s="1"/>
  <c r="BE81" i="3" s="1"/>
  <c r="BE82" i="3" s="1"/>
  <c r="BE83" i="3" s="1"/>
  <c r="BE84" i="3" s="1"/>
  <c r="BE85" i="3" s="1"/>
  <c r="BE86" i="3" s="1"/>
  <c r="BF75" i="3" s="1"/>
  <c r="BF76" i="3" s="1"/>
  <c r="BF77" i="3" s="1"/>
  <c r="BF78" i="3" s="1"/>
  <c r="BF79" i="3" s="1"/>
  <c r="BF80" i="3" s="1"/>
  <c r="BF81" i="3" s="1"/>
  <c r="BF82" i="3" s="1"/>
  <c r="BF83" i="3" s="1"/>
  <c r="BF84" i="3" s="1"/>
  <c r="BF85" i="3" s="1"/>
  <c r="BF86" i="3" s="1"/>
  <c r="BG75" i="3" s="1"/>
  <c r="BG76" i="3" s="1"/>
  <c r="BG77" i="3" s="1"/>
  <c r="BG78" i="3" s="1"/>
  <c r="BG79" i="3" s="1"/>
  <c r="BG80" i="3" s="1"/>
  <c r="BG81" i="3" s="1"/>
  <c r="BG82" i="3" s="1"/>
  <c r="BG83" i="3" s="1"/>
  <c r="BG84" i="3" s="1"/>
  <c r="BG85" i="3" s="1"/>
  <c r="BG86" i="3" s="1"/>
  <c r="BH75" i="3" s="1"/>
  <c r="BH76" i="3" s="1"/>
  <c r="BH77" i="3" s="1"/>
  <c r="BH78" i="3" s="1"/>
  <c r="BH79" i="3" s="1"/>
  <c r="BH80" i="3" s="1"/>
  <c r="BH81" i="3" s="1"/>
  <c r="BH82" i="3" s="1"/>
  <c r="BH83" i="3" s="1"/>
  <c r="BH84" i="3" s="1"/>
  <c r="BH85" i="3" s="1"/>
  <c r="BH86" i="3" s="1"/>
  <c r="BI75" i="3" s="1"/>
  <c r="BI76" i="3" s="1"/>
  <c r="BI77" i="3" s="1"/>
  <c r="BI78" i="3" s="1"/>
  <c r="BI79" i="3" s="1"/>
  <c r="BI80" i="3" s="1"/>
  <c r="BI81" i="3" s="1"/>
  <c r="BI82" i="3" s="1"/>
  <c r="BI83" i="3" s="1"/>
  <c r="BI84" i="3" s="1"/>
  <c r="BI85" i="3" s="1"/>
  <c r="BI86" i="3" s="1"/>
  <c r="BJ75" i="3" s="1"/>
  <c r="BJ76" i="3" s="1"/>
  <c r="BJ77" i="3" s="1"/>
  <c r="BJ78" i="3" s="1"/>
  <c r="BJ79" i="3" s="1"/>
  <c r="BJ80" i="3" s="1"/>
  <c r="BJ81" i="3" s="1"/>
  <c r="BJ82" i="3" s="1"/>
  <c r="BJ83" i="3" s="1"/>
  <c r="BJ84" i="3" s="1"/>
  <c r="BJ85" i="3" s="1"/>
  <c r="BJ86" i="3" s="1"/>
  <c r="D75" i="3"/>
  <c r="D76" i="3" s="1"/>
  <c r="D77" i="3" s="1"/>
  <c r="D78" i="3" s="1"/>
  <c r="D79" i="3" s="1"/>
  <c r="D80" i="3" s="1"/>
  <c r="D81" i="3" s="1"/>
  <c r="D82" i="3" s="1"/>
  <c r="D83" i="3" s="1"/>
  <c r="D84" i="3" s="1"/>
  <c r="D85" i="3" s="1"/>
  <c r="D86" i="3" s="1"/>
  <c r="E75" i="3" s="1"/>
  <c r="E76" i="3" s="1"/>
  <c r="E77" i="3" s="1"/>
  <c r="E78" i="3" s="1"/>
  <c r="E79" i="3" s="1"/>
  <c r="E80" i="3" s="1"/>
  <c r="E81" i="3" s="1"/>
  <c r="E82" i="3" s="1"/>
  <c r="E83" i="3" s="1"/>
  <c r="E84" i="3" s="1"/>
  <c r="E85" i="3" s="1"/>
  <c r="E86" i="3" s="1"/>
  <c r="F75" i="3" s="1"/>
  <c r="F76" i="3" s="1"/>
  <c r="F77" i="3" s="1"/>
  <c r="F78" i="3" s="1"/>
  <c r="F79" i="3" s="1"/>
  <c r="F80" i="3" s="1"/>
  <c r="F81" i="3" s="1"/>
  <c r="F82" i="3" s="1"/>
  <c r="F83" i="3" s="1"/>
  <c r="F84" i="3" s="1"/>
  <c r="F85" i="3" s="1"/>
  <c r="F86" i="3" s="1"/>
  <c r="G75" i="3" s="1"/>
  <c r="G76" i="3" s="1"/>
  <c r="G77" i="3" s="1"/>
  <c r="G78" i="3" s="1"/>
  <c r="G79" i="3" s="1"/>
  <c r="G80" i="3" s="1"/>
  <c r="G81" i="3" s="1"/>
  <c r="G82" i="3" s="1"/>
  <c r="G83" i="3" s="1"/>
  <c r="G84" i="3" s="1"/>
  <c r="AI75" i="2"/>
  <c r="AI76" i="2" s="1"/>
  <c r="AI77" i="2" s="1"/>
  <c r="AI78" i="2" s="1"/>
  <c r="AI79" i="2" s="1"/>
  <c r="AI80" i="2" s="1"/>
  <c r="AI81" i="2" s="1"/>
  <c r="AI82" i="2" s="1"/>
  <c r="AI83" i="2" s="1"/>
  <c r="AI84" i="2" s="1"/>
  <c r="AI85" i="2" s="1"/>
  <c r="AI86" i="2" s="1"/>
  <c r="AJ75" i="2" s="1"/>
  <c r="AJ76" i="2" s="1"/>
  <c r="AJ77" i="2" s="1"/>
  <c r="AJ78" i="2" s="1"/>
  <c r="AJ79" i="2" s="1"/>
  <c r="AJ80" i="2" s="1"/>
  <c r="AJ81" i="2" s="1"/>
  <c r="AJ82" i="2" s="1"/>
  <c r="AJ83" i="2" s="1"/>
  <c r="AJ84" i="2" s="1"/>
  <c r="AJ85" i="2" s="1"/>
  <c r="AJ86" i="2" s="1"/>
  <c r="AK75" i="2" s="1"/>
  <c r="AK76" i="2" s="1"/>
  <c r="AK77" i="2" s="1"/>
  <c r="AK78" i="2" s="1"/>
  <c r="AK79" i="2" s="1"/>
  <c r="AK80" i="2" s="1"/>
  <c r="AK81" i="2" s="1"/>
  <c r="AK82" i="2" s="1"/>
  <c r="AK83" i="2" s="1"/>
  <c r="AK84" i="2" s="1"/>
  <c r="AK85" i="2" s="1"/>
  <c r="AK86" i="2" s="1"/>
  <c r="AL75" i="2" s="1"/>
  <c r="AL76" i="2" s="1"/>
  <c r="AL77" i="2" s="1"/>
  <c r="AL78" i="2" s="1"/>
  <c r="AL79" i="2" s="1"/>
  <c r="AL80" i="2" s="1"/>
  <c r="AL81" i="2" s="1"/>
  <c r="AL82" i="2" s="1"/>
  <c r="AL83" i="2" s="1"/>
  <c r="AL84" i="2" s="1"/>
  <c r="AL85" i="2" s="1"/>
  <c r="AL86" i="2" s="1"/>
  <c r="AM75" i="2" s="1"/>
  <c r="AM76" i="2" s="1"/>
  <c r="AM77" i="2" s="1"/>
  <c r="AM78" i="2" s="1"/>
  <c r="AM79" i="2" s="1"/>
  <c r="AM80" i="2" s="1"/>
  <c r="AM81" i="2" s="1"/>
  <c r="AM82" i="2" s="1"/>
  <c r="AM83" i="2" s="1"/>
  <c r="AM84" i="2" s="1"/>
  <c r="AM85" i="2" s="1"/>
  <c r="AM86" i="2" s="1"/>
  <c r="AN75" i="2" s="1"/>
  <c r="AN76" i="2" s="1"/>
  <c r="AN77" i="2" s="1"/>
  <c r="AN78" i="2" s="1"/>
  <c r="AN79" i="2" s="1"/>
  <c r="AN80" i="2" s="1"/>
  <c r="AN81" i="2" s="1"/>
  <c r="AN82" i="2" s="1"/>
  <c r="AN83" i="2" s="1"/>
  <c r="AN84" i="2" s="1"/>
  <c r="AN85" i="2" s="1"/>
  <c r="AN86" i="2" s="1"/>
  <c r="AO75" i="2" s="1"/>
  <c r="AO76" i="2" s="1"/>
  <c r="AO77" i="2" s="1"/>
  <c r="AO78" i="2" s="1"/>
  <c r="AO79" i="2" s="1"/>
  <c r="AO80" i="2" s="1"/>
  <c r="AO81" i="2" s="1"/>
  <c r="AO82" i="2" s="1"/>
  <c r="AO83" i="2" s="1"/>
  <c r="AO84" i="2" s="1"/>
  <c r="AO85" i="2" s="1"/>
  <c r="AO86" i="2" s="1"/>
  <c r="AP75" i="2" s="1"/>
  <c r="AP76" i="2" s="1"/>
  <c r="AP77" i="2" s="1"/>
  <c r="AP78" i="2" s="1"/>
  <c r="AP79" i="2" s="1"/>
  <c r="AP80" i="2" s="1"/>
  <c r="AP81" i="2" s="1"/>
  <c r="AP82" i="2" s="1"/>
  <c r="AP83" i="2" s="1"/>
  <c r="AP84" i="2" s="1"/>
  <c r="AP85" i="2" s="1"/>
  <c r="AP86" i="2" s="1"/>
  <c r="AQ75" i="2" s="1"/>
  <c r="AQ76" i="2" s="1"/>
  <c r="AQ77" i="2" s="1"/>
  <c r="AQ78" i="2" s="1"/>
  <c r="AQ79" i="2" s="1"/>
  <c r="AQ80" i="2" s="1"/>
  <c r="AQ81" i="2" s="1"/>
  <c r="AQ82" i="2" s="1"/>
  <c r="AQ83" i="2" s="1"/>
  <c r="AQ84" i="2" s="1"/>
  <c r="AQ85" i="2" s="1"/>
  <c r="AQ86" i="2" s="1"/>
  <c r="AR75" i="2" s="1"/>
  <c r="AR76" i="2" s="1"/>
  <c r="AR77" i="2" s="1"/>
  <c r="AR78" i="2" s="1"/>
  <c r="AR79" i="2" s="1"/>
  <c r="AR80" i="2" s="1"/>
  <c r="AR81" i="2" s="1"/>
  <c r="AR82" i="2" s="1"/>
  <c r="AR83" i="2" s="1"/>
  <c r="AR84" i="2" s="1"/>
  <c r="AR85" i="2" s="1"/>
  <c r="AR86" i="2" s="1"/>
  <c r="AS75" i="2" s="1"/>
  <c r="AS76" i="2" s="1"/>
  <c r="AS77" i="2" s="1"/>
  <c r="AS78" i="2" s="1"/>
  <c r="AS79" i="2" s="1"/>
  <c r="AS80" i="2" s="1"/>
  <c r="AS81" i="2" s="1"/>
  <c r="AS82" i="2" s="1"/>
  <c r="AS83" i="2" s="1"/>
  <c r="AS84" i="2" s="1"/>
  <c r="AS85" i="2" s="1"/>
  <c r="AS86" i="2" s="1"/>
  <c r="AT75" i="2" s="1"/>
  <c r="AT76" i="2" s="1"/>
  <c r="AT77" i="2" s="1"/>
  <c r="AT78" i="2" s="1"/>
  <c r="AT79" i="2" s="1"/>
  <c r="AT80" i="2" s="1"/>
  <c r="AT81" i="2" s="1"/>
  <c r="AT82" i="2" s="1"/>
  <c r="AT83" i="2" s="1"/>
  <c r="AT84" i="2" s="1"/>
  <c r="AT85" i="2" s="1"/>
  <c r="AT86" i="2" s="1"/>
  <c r="AU75" i="2" s="1"/>
  <c r="AU76" i="2" s="1"/>
  <c r="AU77" i="2" s="1"/>
  <c r="AU78" i="2" s="1"/>
  <c r="AU79" i="2" s="1"/>
  <c r="AU80" i="2" s="1"/>
  <c r="AU81" i="2" s="1"/>
  <c r="AU82" i="2" s="1"/>
  <c r="AU83" i="2" s="1"/>
  <c r="AU84" i="2" s="1"/>
  <c r="AU85" i="2" s="1"/>
  <c r="AU86" i="2" s="1"/>
  <c r="AV75" i="2" s="1"/>
  <c r="AV76" i="2" s="1"/>
  <c r="AV77" i="2" s="1"/>
  <c r="AV78" i="2" s="1"/>
  <c r="AV79" i="2" s="1"/>
  <c r="AV80" i="2" s="1"/>
  <c r="AV81" i="2" s="1"/>
  <c r="AV82" i="2" s="1"/>
  <c r="AV83" i="2" s="1"/>
  <c r="AV84" i="2" s="1"/>
  <c r="AV85" i="2" s="1"/>
  <c r="AV86" i="2" s="1"/>
  <c r="AW75" i="2" s="1"/>
  <c r="AW76" i="2" s="1"/>
  <c r="AW77" i="2" s="1"/>
  <c r="AW78" i="2" s="1"/>
  <c r="AW79" i="2" s="1"/>
  <c r="AW80" i="2" s="1"/>
  <c r="AW81" i="2" s="1"/>
  <c r="AW82" i="2" s="1"/>
  <c r="AW83" i="2" s="1"/>
  <c r="AW84" i="2" s="1"/>
  <c r="AW85" i="2" s="1"/>
  <c r="AW86" i="2" s="1"/>
  <c r="AX75" i="2" s="1"/>
  <c r="AX76" i="2" s="1"/>
  <c r="AX77" i="2" s="1"/>
  <c r="AX78" i="2" s="1"/>
  <c r="AX79" i="2" s="1"/>
  <c r="AX80" i="2" s="1"/>
  <c r="AX81" i="2" s="1"/>
  <c r="AX82" i="2" s="1"/>
  <c r="AX83" i="2" s="1"/>
  <c r="AX84" i="2" s="1"/>
  <c r="AX85" i="2" s="1"/>
  <c r="AX86" i="2" s="1"/>
  <c r="AY75" i="2" s="1"/>
  <c r="AY76" i="2" s="1"/>
  <c r="AY77" i="2" s="1"/>
  <c r="AY78" i="2" s="1"/>
  <c r="AY79" i="2" s="1"/>
  <c r="AY80" i="2" s="1"/>
  <c r="AY81" i="2" s="1"/>
  <c r="AY82" i="2" s="1"/>
  <c r="AY83" i="2" s="1"/>
  <c r="AY84" i="2" s="1"/>
  <c r="AY85" i="2" s="1"/>
  <c r="AY86" i="2" s="1"/>
  <c r="AZ75" i="2" s="1"/>
  <c r="AZ76" i="2" s="1"/>
  <c r="AZ77" i="2" s="1"/>
  <c r="AZ78" i="2" s="1"/>
  <c r="AZ79" i="2" s="1"/>
  <c r="AZ80" i="2" s="1"/>
  <c r="AZ81" i="2" s="1"/>
  <c r="AZ82" i="2" s="1"/>
  <c r="AZ83" i="2" s="1"/>
  <c r="AZ84" i="2" s="1"/>
  <c r="AZ85" i="2" s="1"/>
  <c r="AZ86" i="2" s="1"/>
  <c r="BA75" i="2" s="1"/>
  <c r="BA76" i="2" s="1"/>
  <c r="BA77" i="2" s="1"/>
  <c r="BA78" i="2" s="1"/>
  <c r="BA79" i="2" s="1"/>
  <c r="BA80" i="2" s="1"/>
  <c r="BA81" i="2" s="1"/>
  <c r="BA82" i="2" s="1"/>
  <c r="BA83" i="2" s="1"/>
  <c r="BA84" i="2" s="1"/>
  <c r="BA85" i="2" s="1"/>
  <c r="BA86" i="2" s="1"/>
  <c r="BB75" i="2" s="1"/>
  <c r="BB76" i="2" s="1"/>
  <c r="BB77" i="2" s="1"/>
  <c r="BB78" i="2" s="1"/>
  <c r="BB79" i="2" s="1"/>
  <c r="BB80" i="2" s="1"/>
  <c r="BB81" i="2" s="1"/>
  <c r="BB82" i="2" s="1"/>
  <c r="BB83" i="2" s="1"/>
  <c r="BB84" i="2" s="1"/>
  <c r="BB85" i="2" s="1"/>
  <c r="BB86" i="2" s="1"/>
  <c r="BC75" i="2" s="1"/>
  <c r="BC76" i="2" s="1"/>
  <c r="BC77" i="2" s="1"/>
  <c r="BC78" i="2" s="1"/>
  <c r="BC79" i="2" s="1"/>
  <c r="BC80" i="2" s="1"/>
  <c r="BC81" i="2" s="1"/>
  <c r="BC82" i="2" s="1"/>
  <c r="BC83" i="2" s="1"/>
  <c r="BC84" i="2" s="1"/>
  <c r="BC85" i="2" s="1"/>
  <c r="BC86" i="2" s="1"/>
  <c r="BD75" i="2" s="1"/>
  <c r="BD76" i="2" s="1"/>
  <c r="BD77" i="2" s="1"/>
  <c r="BD78" i="2" s="1"/>
  <c r="BD79" i="2" s="1"/>
  <c r="BD80" i="2" s="1"/>
  <c r="BD81" i="2" s="1"/>
  <c r="BD82" i="2" s="1"/>
  <c r="BD83" i="2" s="1"/>
  <c r="BD84" i="2" s="1"/>
  <c r="BD85" i="2" s="1"/>
  <c r="BD86" i="2" s="1"/>
  <c r="BE75" i="2" s="1"/>
  <c r="BE76" i="2" s="1"/>
  <c r="BE77" i="2" s="1"/>
  <c r="BE78" i="2" s="1"/>
  <c r="BE79" i="2" s="1"/>
  <c r="BE80" i="2" s="1"/>
  <c r="BE81" i="2" s="1"/>
  <c r="BE82" i="2" s="1"/>
  <c r="BE83" i="2" s="1"/>
  <c r="BE84" i="2" s="1"/>
  <c r="BE85" i="2" s="1"/>
  <c r="BE86" i="2" s="1"/>
  <c r="BF75" i="2" s="1"/>
  <c r="BF76" i="2" s="1"/>
  <c r="BF77" i="2" s="1"/>
  <c r="BF78" i="2" s="1"/>
  <c r="BF79" i="2" s="1"/>
  <c r="BF80" i="2" s="1"/>
  <c r="BF81" i="2" s="1"/>
  <c r="BF82" i="2" s="1"/>
  <c r="BF83" i="2" s="1"/>
  <c r="BF84" i="2" s="1"/>
  <c r="BF85" i="2" s="1"/>
  <c r="BF86" i="2" s="1"/>
  <c r="BG75" i="2" s="1"/>
  <c r="BG76" i="2" s="1"/>
  <c r="BG77" i="2" s="1"/>
  <c r="BG78" i="2" s="1"/>
  <c r="BG79" i="2" s="1"/>
  <c r="BG80" i="2" s="1"/>
  <c r="BG81" i="2" s="1"/>
  <c r="BG82" i="2" s="1"/>
  <c r="BG83" i="2" s="1"/>
  <c r="BG84" i="2" s="1"/>
  <c r="BG85" i="2" s="1"/>
  <c r="BG86" i="2" s="1"/>
  <c r="BH75" i="2" s="1"/>
  <c r="BH76" i="2" s="1"/>
  <c r="BH77" i="2" s="1"/>
  <c r="BH78" i="2" s="1"/>
  <c r="BH79" i="2" s="1"/>
  <c r="BH80" i="2" s="1"/>
  <c r="BH81" i="2" s="1"/>
  <c r="BH82" i="2" s="1"/>
  <c r="BH83" i="2" s="1"/>
  <c r="BH84" i="2" s="1"/>
  <c r="BH85" i="2" s="1"/>
  <c r="BH86" i="2" s="1"/>
  <c r="BI75" i="2" s="1"/>
  <c r="BI76" i="2" s="1"/>
  <c r="BI77" i="2" s="1"/>
  <c r="BI78" i="2" s="1"/>
  <c r="BI79" i="2" s="1"/>
  <c r="BI80" i="2" s="1"/>
  <c r="BI81" i="2" s="1"/>
  <c r="BI82" i="2" s="1"/>
  <c r="BI83" i="2" s="1"/>
  <c r="BI84" i="2" s="1"/>
  <c r="BI85" i="2" s="1"/>
  <c r="BI86" i="2" s="1"/>
  <c r="BJ75" i="2" s="1"/>
  <c r="BJ76" i="2" s="1"/>
  <c r="BJ77" i="2" s="1"/>
  <c r="BJ78" i="2" s="1"/>
  <c r="BJ79" i="2" s="1"/>
  <c r="BJ80" i="2" s="1"/>
  <c r="BJ81" i="2" s="1"/>
  <c r="BJ82" i="2" s="1"/>
  <c r="BJ83" i="2" s="1"/>
  <c r="BJ84" i="2" s="1"/>
  <c r="BJ85" i="2" s="1"/>
  <c r="BJ86" i="2" s="1"/>
  <c r="D75" i="2"/>
  <c r="D76" i="2" s="1"/>
  <c r="D77" i="2" s="1"/>
  <c r="D78" i="2" s="1"/>
  <c r="D79" i="2" s="1"/>
  <c r="D80" i="2" s="1"/>
  <c r="D81" i="2" s="1"/>
  <c r="D82" i="2" s="1"/>
  <c r="D83" i="2" s="1"/>
  <c r="D84" i="2" s="1"/>
  <c r="D85" i="2" s="1"/>
  <c r="D86" i="2" s="1"/>
  <c r="E75" i="2" s="1"/>
  <c r="E76" i="2" s="1"/>
  <c r="E77" i="2" s="1"/>
  <c r="E78" i="2" s="1"/>
  <c r="E79" i="2" s="1"/>
  <c r="E80" i="2" s="1"/>
  <c r="E81" i="2" s="1"/>
  <c r="E82" i="2" s="1"/>
  <c r="E83" i="2" s="1"/>
  <c r="E84" i="2" s="1"/>
  <c r="E85" i="2" s="1"/>
  <c r="E86" i="2" s="1"/>
  <c r="F75" i="2" s="1"/>
  <c r="F76" i="2" s="1"/>
  <c r="F77" i="2" s="1"/>
  <c r="F78" i="2" s="1"/>
  <c r="F79" i="2" s="1"/>
  <c r="F80" i="2" s="1"/>
  <c r="F81" i="2" s="1"/>
  <c r="F82" i="2" s="1"/>
  <c r="F83" i="2" s="1"/>
  <c r="F84" i="2" s="1"/>
  <c r="F85" i="2" s="1"/>
  <c r="F86" i="2" s="1"/>
  <c r="G75" i="2" s="1"/>
  <c r="G76" i="2" s="1"/>
  <c r="G77" i="2" s="1"/>
  <c r="G78" i="2" s="1"/>
  <c r="G79" i="2" s="1"/>
  <c r="G80" i="2" s="1"/>
  <c r="G81" i="2" s="1"/>
  <c r="G82" i="2" s="1"/>
  <c r="G83" i="2" s="1"/>
  <c r="G84" i="2" s="1"/>
  <c r="G85" i="2" s="1"/>
  <c r="G86" i="2" s="1"/>
  <c r="H75" i="2" s="1"/>
  <c r="H76" i="2" s="1"/>
  <c r="H77" i="2" s="1"/>
  <c r="H78" i="2" s="1"/>
  <c r="H79" i="2" s="1"/>
  <c r="H80" i="2" s="1"/>
  <c r="H81" i="2" s="1"/>
  <c r="H82" i="2" s="1"/>
  <c r="H83" i="2" s="1"/>
  <c r="H84" i="2" s="1"/>
  <c r="H85" i="2" s="1"/>
  <c r="H86" i="2" s="1"/>
  <c r="I75" i="2" s="1"/>
  <c r="I76" i="2" s="1"/>
  <c r="I77" i="2" s="1"/>
  <c r="I78" i="2" s="1"/>
  <c r="I79" i="2" s="1"/>
  <c r="I80" i="2" s="1"/>
  <c r="I81" i="2" s="1"/>
  <c r="I82" i="2" s="1"/>
  <c r="I83" i="2" s="1"/>
  <c r="I84" i="2" s="1"/>
  <c r="I85" i="2" s="1"/>
  <c r="I86" i="2" s="1"/>
  <c r="J75" i="2" s="1"/>
  <c r="J76" i="2" s="1"/>
  <c r="J77" i="2" s="1"/>
  <c r="J78" i="2" s="1"/>
  <c r="J79" i="2" s="1"/>
  <c r="J80" i="2" s="1"/>
  <c r="J81" i="2" s="1"/>
  <c r="J82" i="2" s="1"/>
  <c r="J83" i="2" s="1"/>
  <c r="J84" i="2" s="1"/>
  <c r="J85" i="2" s="1"/>
  <c r="J86" i="2" s="1"/>
  <c r="K75" i="2" s="1"/>
  <c r="K76" i="2" s="1"/>
  <c r="K77" i="2" s="1"/>
  <c r="K78" i="2" s="1"/>
  <c r="K79" i="2" s="1"/>
  <c r="K80" i="2" s="1"/>
  <c r="K81" i="2" s="1"/>
  <c r="K82" i="2" s="1"/>
  <c r="K83" i="2" s="1"/>
  <c r="K84" i="2" s="1"/>
  <c r="K85" i="2" s="1"/>
  <c r="K86" i="2" s="1"/>
  <c r="L75" i="2" s="1"/>
  <c r="L76" i="2" s="1"/>
  <c r="L77" i="2" s="1"/>
  <c r="L78" i="2" s="1"/>
  <c r="L79" i="2" s="1"/>
  <c r="L80" i="2" s="1"/>
  <c r="L81" i="2" s="1"/>
  <c r="L82" i="2" s="1"/>
  <c r="L83" i="2" s="1"/>
  <c r="L84" i="2" s="1"/>
  <c r="L85" i="2" s="1"/>
  <c r="L86" i="2" s="1"/>
  <c r="M75" i="2" s="1"/>
  <c r="M76" i="2" s="1"/>
  <c r="M77" i="2" s="1"/>
  <c r="M78" i="2" s="1"/>
  <c r="M79" i="2" s="1"/>
  <c r="M80" i="2" s="1"/>
  <c r="M81" i="2" s="1"/>
  <c r="M82" i="2" s="1"/>
  <c r="M83" i="2" s="1"/>
  <c r="M84" i="2" s="1"/>
  <c r="M85" i="2" s="1"/>
  <c r="M86" i="2" s="1"/>
  <c r="N75" i="2" s="1"/>
  <c r="N76" i="2" s="1"/>
  <c r="N77" i="2" s="1"/>
  <c r="N78" i="2" s="1"/>
  <c r="N79" i="2" s="1"/>
  <c r="N80" i="2" s="1"/>
  <c r="N81" i="2" s="1"/>
  <c r="N82" i="2" s="1"/>
  <c r="N83" i="2" s="1"/>
  <c r="N84" i="2" s="1"/>
  <c r="N85" i="2" s="1"/>
  <c r="N86" i="2" s="1"/>
  <c r="O75" i="2" s="1"/>
  <c r="O76" i="2" s="1"/>
  <c r="O77" i="2" s="1"/>
  <c r="O78" i="2" s="1"/>
  <c r="O79" i="2" s="1"/>
  <c r="O80" i="2" s="1"/>
  <c r="O81" i="2" s="1"/>
  <c r="O82" i="2" s="1"/>
  <c r="O83" i="2" s="1"/>
  <c r="O84" i="2" s="1"/>
  <c r="O85" i="2" s="1"/>
  <c r="O86" i="2" s="1"/>
  <c r="P75" i="2" s="1"/>
  <c r="P76" i="2" s="1"/>
  <c r="P77" i="2" s="1"/>
  <c r="P78" i="2" s="1"/>
  <c r="P79" i="2" s="1"/>
  <c r="P80" i="2" s="1"/>
  <c r="P81" i="2" s="1"/>
  <c r="P82" i="2" s="1"/>
  <c r="P83" i="2" s="1"/>
  <c r="P84" i="2" s="1"/>
  <c r="P85" i="2" s="1"/>
  <c r="P86" i="2" s="1"/>
  <c r="Q75" i="2" s="1"/>
  <c r="Q76" i="2" s="1"/>
  <c r="Q77" i="2" s="1"/>
  <c r="Q78" i="2" s="1"/>
  <c r="Q79" i="2" s="1"/>
  <c r="Q80" i="2" s="1"/>
  <c r="Q81" i="2" s="1"/>
  <c r="Q82" i="2" s="1"/>
  <c r="Q83" i="2" s="1"/>
  <c r="Q84" i="2" s="1"/>
  <c r="Q85" i="2" s="1"/>
  <c r="Q86" i="2" s="1"/>
  <c r="R75" i="2" s="1"/>
  <c r="R76" i="2" s="1"/>
  <c r="R77" i="2" s="1"/>
  <c r="R78" i="2" s="1"/>
  <c r="R79" i="2" s="1"/>
  <c r="R80" i="2" s="1"/>
  <c r="R81" i="2" s="1"/>
  <c r="R82" i="2" s="1"/>
  <c r="R83" i="2" s="1"/>
  <c r="R84" i="2" s="1"/>
  <c r="R85" i="2" s="1"/>
  <c r="R86" i="2" s="1"/>
  <c r="S75" i="2" s="1"/>
  <c r="S76" i="2" s="1"/>
  <c r="S77" i="2" s="1"/>
  <c r="S78" i="2" s="1"/>
  <c r="S79" i="2" s="1"/>
  <c r="S80" i="2" s="1"/>
  <c r="S81" i="2" s="1"/>
  <c r="S82" i="2" s="1"/>
  <c r="S83" i="2" s="1"/>
  <c r="S84" i="2" s="1"/>
  <c r="S85" i="2" s="1"/>
  <c r="S86" i="2" s="1"/>
  <c r="T75" i="2" s="1"/>
  <c r="T76" i="2" s="1"/>
  <c r="T77" i="2" s="1"/>
  <c r="T78" i="2" s="1"/>
  <c r="T79" i="2" s="1"/>
  <c r="T80" i="2" s="1"/>
  <c r="T81" i="2" s="1"/>
  <c r="T82" i="2" s="1"/>
  <c r="T83" i="2" s="1"/>
  <c r="T84" i="2" s="1"/>
  <c r="T85" i="2" s="1"/>
  <c r="T86" i="2" s="1"/>
  <c r="U75" i="2" s="1"/>
  <c r="U76" i="2" s="1"/>
  <c r="U77" i="2" s="1"/>
  <c r="U78" i="2" s="1"/>
  <c r="U79" i="2" s="1"/>
  <c r="U80" i="2" s="1"/>
  <c r="U81" i="2" s="1"/>
  <c r="U82" i="2" s="1"/>
  <c r="U83" i="2" s="1"/>
  <c r="U84" i="2" s="1"/>
  <c r="U85" i="2" s="1"/>
  <c r="U86" i="2" s="1"/>
  <c r="V75" i="2" s="1"/>
  <c r="V76" i="2" s="1"/>
  <c r="V77" i="2" s="1"/>
  <c r="V78" i="2" s="1"/>
  <c r="V79" i="2" s="1"/>
  <c r="V80" i="2" s="1"/>
  <c r="V81" i="2" s="1"/>
  <c r="V82" i="2" s="1"/>
  <c r="V83" i="2" s="1"/>
  <c r="V84" i="2" s="1"/>
  <c r="V85" i="2" s="1"/>
  <c r="V86" i="2" s="1"/>
  <c r="W75" i="2" s="1"/>
  <c r="W76" i="2" s="1"/>
  <c r="W77" i="2" s="1"/>
  <c r="W78" i="2" s="1"/>
  <c r="W79" i="2" s="1"/>
  <c r="W80" i="2" s="1"/>
  <c r="W81" i="2" s="1"/>
  <c r="W82" i="2" s="1"/>
  <c r="W83" i="2" s="1"/>
  <c r="W84" i="2" s="1"/>
  <c r="W85" i="2" s="1"/>
  <c r="W86" i="2" s="1"/>
  <c r="X75" i="2" s="1"/>
  <c r="X76" i="2" s="1"/>
  <c r="X77" i="2" s="1"/>
  <c r="X78" i="2" s="1"/>
  <c r="X79" i="2" s="1"/>
  <c r="X80" i="2" s="1"/>
  <c r="X81" i="2" s="1"/>
  <c r="X82" i="2" s="1"/>
  <c r="X83" i="2" s="1"/>
  <c r="X84" i="2" s="1"/>
  <c r="X85" i="2" s="1"/>
  <c r="X86" i="2" s="1"/>
  <c r="Y75" i="2" s="1"/>
  <c r="Y76" i="2" s="1"/>
  <c r="Y77" i="2" s="1"/>
  <c r="Y78" i="2" s="1"/>
  <c r="Y79" i="2" s="1"/>
  <c r="Y80" i="2" s="1"/>
  <c r="Y81" i="2" s="1"/>
  <c r="Y82" i="2" s="1"/>
  <c r="Y83" i="2" s="1"/>
  <c r="Y84" i="2" s="1"/>
  <c r="Y85" i="2" s="1"/>
  <c r="Y86" i="2" s="1"/>
  <c r="Z75" i="2" s="1"/>
  <c r="Z76" i="2" s="1"/>
  <c r="Z77" i="2" s="1"/>
  <c r="Z78" i="2" s="1"/>
  <c r="Z79" i="2" s="1"/>
  <c r="Z80" i="2" s="1"/>
  <c r="Z81" i="2" s="1"/>
  <c r="Z82" i="2" s="1"/>
  <c r="Z83" i="2" s="1"/>
  <c r="Z84" i="2" s="1"/>
  <c r="Z85" i="2" s="1"/>
  <c r="Z86" i="2" s="1"/>
  <c r="AA75" i="2" s="1"/>
  <c r="AA76" i="2" s="1"/>
  <c r="AA77" i="2" s="1"/>
  <c r="AA78" i="2" s="1"/>
  <c r="AA79" i="2" s="1"/>
  <c r="AA80" i="2" s="1"/>
  <c r="AA81" i="2" s="1"/>
  <c r="AA82" i="2" s="1"/>
  <c r="AA83" i="2" s="1"/>
  <c r="AA84" i="2" s="1"/>
  <c r="AA85" i="2" s="1"/>
  <c r="AA86" i="2" s="1"/>
  <c r="AB75" i="2" s="1"/>
  <c r="AB76" i="2" s="1"/>
  <c r="AB77" i="2" s="1"/>
  <c r="AB78" i="2" s="1"/>
  <c r="AB79" i="2" s="1"/>
  <c r="AB80" i="2" s="1"/>
  <c r="AB81" i="2" s="1"/>
  <c r="AB82" i="2" s="1"/>
  <c r="AB83" i="2" s="1"/>
  <c r="AB84" i="2" s="1"/>
  <c r="AB85" i="2" s="1"/>
  <c r="AB86" i="2" s="1"/>
  <c r="AC75" i="2" s="1"/>
  <c r="AC76" i="2" s="1"/>
  <c r="AC77" i="2" s="1"/>
  <c r="AC78" i="2" s="1"/>
  <c r="AC79" i="2" s="1"/>
  <c r="AC80" i="2" s="1"/>
  <c r="AC81" i="2" s="1"/>
  <c r="AC82" i="2" s="1"/>
  <c r="AC83" i="2" s="1"/>
  <c r="AC84" i="2" s="1"/>
  <c r="AC85" i="2" s="1"/>
  <c r="AC86" i="2" s="1"/>
  <c r="AD75" i="2" s="1"/>
  <c r="AD76" i="2" s="1"/>
  <c r="AD77" i="2" s="1"/>
  <c r="AD78" i="2" s="1"/>
  <c r="AD79" i="2" s="1"/>
  <c r="AD80" i="2" s="1"/>
  <c r="AD81" i="2" s="1"/>
  <c r="AD82" i="2" s="1"/>
  <c r="AD83" i="2" s="1"/>
  <c r="AD84" i="2" s="1"/>
  <c r="AD85" i="2" s="1"/>
  <c r="AD86" i="2" s="1"/>
  <c r="AE75" i="2" s="1"/>
  <c r="AE76" i="2" s="1"/>
  <c r="AE77" i="2" s="1"/>
  <c r="AE78" i="2" s="1"/>
  <c r="AE79" i="2" s="1"/>
  <c r="AE80" i="2" s="1"/>
  <c r="AE81" i="2" s="1"/>
  <c r="AE82" i="2" s="1"/>
  <c r="AE83" i="2" s="1"/>
  <c r="AE84" i="2" s="1"/>
  <c r="AE85" i="2" s="1"/>
  <c r="AE86" i="2" s="1"/>
  <c r="AI75" i="1"/>
  <c r="AI76" i="1" s="1"/>
  <c r="AI77" i="1" s="1"/>
  <c r="AI78" i="1" s="1"/>
  <c r="AI79" i="1" s="1"/>
  <c r="AI80" i="1" s="1"/>
  <c r="AI81" i="1" s="1"/>
  <c r="AI82" i="1" s="1"/>
  <c r="AI83" i="1" s="1"/>
  <c r="AI84" i="1" s="1"/>
  <c r="AI85" i="1" s="1"/>
  <c r="AI86" i="1" s="1"/>
  <c r="AJ75" i="1" s="1"/>
  <c r="AJ76" i="1" s="1"/>
  <c r="AJ77" i="1" s="1"/>
  <c r="AJ78" i="1" s="1"/>
  <c r="AJ79" i="1" s="1"/>
  <c r="AJ80" i="1" s="1"/>
  <c r="AJ81" i="1" s="1"/>
  <c r="AJ82" i="1" s="1"/>
  <c r="AJ83" i="1" s="1"/>
  <c r="AJ84" i="1" s="1"/>
  <c r="AJ85" i="1" s="1"/>
  <c r="AJ86" i="1" s="1"/>
  <c r="AK75" i="1" s="1"/>
  <c r="AK76" i="1" s="1"/>
  <c r="AK77" i="1" s="1"/>
  <c r="AK78" i="1" s="1"/>
  <c r="AK79" i="1" s="1"/>
  <c r="AK80" i="1" s="1"/>
  <c r="AK81" i="1" s="1"/>
  <c r="AK82" i="1" s="1"/>
  <c r="AK83" i="1" s="1"/>
  <c r="AK84" i="1" s="1"/>
  <c r="AK85" i="1" s="1"/>
  <c r="AK86" i="1" s="1"/>
  <c r="AL75" i="1" s="1"/>
  <c r="AL76" i="1" s="1"/>
  <c r="AL77" i="1" s="1"/>
  <c r="AL78" i="1" s="1"/>
  <c r="AL79" i="1" s="1"/>
  <c r="AL80" i="1" s="1"/>
  <c r="AL81" i="1" s="1"/>
  <c r="AL82" i="1" s="1"/>
  <c r="AL83" i="1" s="1"/>
  <c r="AL84" i="1" s="1"/>
  <c r="AL85" i="1" s="1"/>
  <c r="AL86" i="1" s="1"/>
  <c r="AM75" i="1" s="1"/>
  <c r="AM76" i="1" s="1"/>
  <c r="AM77" i="1" s="1"/>
  <c r="AM78" i="1" s="1"/>
  <c r="AM79" i="1" s="1"/>
  <c r="AM80" i="1" s="1"/>
  <c r="AM81" i="1" s="1"/>
  <c r="AM82" i="1" s="1"/>
  <c r="AM83" i="1" s="1"/>
  <c r="AM84" i="1" s="1"/>
  <c r="AM85" i="1" s="1"/>
  <c r="AM86" i="1" s="1"/>
  <c r="AN75" i="1" s="1"/>
  <c r="AN76" i="1" s="1"/>
  <c r="AN77" i="1" s="1"/>
  <c r="AN78" i="1" s="1"/>
  <c r="AN79" i="1" s="1"/>
  <c r="AN80" i="1" s="1"/>
  <c r="AN81" i="1" s="1"/>
  <c r="AN82" i="1" s="1"/>
  <c r="AN83" i="1" s="1"/>
  <c r="AN84" i="1" s="1"/>
  <c r="AN85" i="1" s="1"/>
  <c r="AN86" i="1" s="1"/>
  <c r="AO75" i="1" s="1"/>
  <c r="AO76" i="1" s="1"/>
  <c r="AO77" i="1" s="1"/>
  <c r="AO78" i="1" s="1"/>
  <c r="AO79" i="1" s="1"/>
  <c r="AO80" i="1" s="1"/>
  <c r="AO81" i="1" s="1"/>
  <c r="AO82" i="1" s="1"/>
  <c r="AO83" i="1" s="1"/>
  <c r="AO84" i="1" s="1"/>
  <c r="AO85" i="1" s="1"/>
  <c r="AO86" i="1" s="1"/>
  <c r="AP75" i="1" s="1"/>
  <c r="AP76" i="1" s="1"/>
  <c r="AP77" i="1" s="1"/>
  <c r="AP78" i="1" s="1"/>
  <c r="AP79" i="1" s="1"/>
  <c r="AP80" i="1" s="1"/>
  <c r="AP81" i="1" s="1"/>
  <c r="AP82" i="1" s="1"/>
  <c r="AP83" i="1" s="1"/>
  <c r="AP84" i="1" s="1"/>
  <c r="AP85" i="1" s="1"/>
  <c r="AP86" i="1" s="1"/>
  <c r="AQ75" i="1" s="1"/>
  <c r="AQ76" i="1" s="1"/>
  <c r="AQ77" i="1" s="1"/>
  <c r="AQ78" i="1" s="1"/>
  <c r="AQ79" i="1" s="1"/>
  <c r="AQ80" i="1" s="1"/>
  <c r="AQ81" i="1" s="1"/>
  <c r="AQ82" i="1" s="1"/>
  <c r="AQ83" i="1" s="1"/>
  <c r="AQ84" i="1" s="1"/>
  <c r="AQ85" i="1" s="1"/>
  <c r="AQ86" i="1" s="1"/>
  <c r="AR75" i="1" s="1"/>
  <c r="AR76" i="1" s="1"/>
  <c r="AR77" i="1" s="1"/>
  <c r="AR78" i="1" s="1"/>
  <c r="AR79" i="1" s="1"/>
  <c r="AR80" i="1" s="1"/>
  <c r="AR81" i="1" s="1"/>
  <c r="AR82" i="1" s="1"/>
  <c r="AR83" i="1" s="1"/>
  <c r="AR84" i="1" s="1"/>
  <c r="AR85" i="1" s="1"/>
  <c r="AR86" i="1" s="1"/>
  <c r="AS75" i="1" s="1"/>
  <c r="AS76" i="1" s="1"/>
  <c r="AS77" i="1" s="1"/>
  <c r="AS78" i="1" s="1"/>
  <c r="AS79" i="1" s="1"/>
  <c r="AS80" i="1" s="1"/>
  <c r="AS81" i="1" s="1"/>
  <c r="AS82" i="1" s="1"/>
  <c r="AS83" i="1" s="1"/>
  <c r="AS84" i="1" s="1"/>
  <c r="AS85" i="1" s="1"/>
  <c r="AS86" i="1" s="1"/>
  <c r="AT75" i="1" s="1"/>
  <c r="AT76" i="1" s="1"/>
  <c r="AT77" i="1" s="1"/>
  <c r="AT78" i="1" s="1"/>
  <c r="AT79" i="1" s="1"/>
  <c r="AT80" i="1" s="1"/>
  <c r="AT81" i="1" s="1"/>
  <c r="AT82" i="1" s="1"/>
  <c r="AT83" i="1" s="1"/>
  <c r="AT84" i="1" s="1"/>
  <c r="AT85" i="1" s="1"/>
  <c r="AT86" i="1" s="1"/>
  <c r="AU75" i="1" s="1"/>
  <c r="AU76" i="1" s="1"/>
  <c r="AU77" i="1" s="1"/>
  <c r="AU78" i="1" s="1"/>
  <c r="AU79" i="1" s="1"/>
  <c r="AU80" i="1" s="1"/>
  <c r="AU81" i="1" s="1"/>
  <c r="AU82" i="1" s="1"/>
  <c r="AU83" i="1" s="1"/>
  <c r="AU84" i="1" s="1"/>
  <c r="AU85" i="1" s="1"/>
  <c r="AU86" i="1" s="1"/>
  <c r="AV75" i="1" s="1"/>
  <c r="AV76" i="1" s="1"/>
  <c r="AV77" i="1" s="1"/>
  <c r="AV78" i="1" s="1"/>
  <c r="AV79" i="1" s="1"/>
  <c r="AV80" i="1" s="1"/>
  <c r="AV81" i="1" s="1"/>
  <c r="AV82" i="1" s="1"/>
  <c r="AV83" i="1" s="1"/>
  <c r="AV84" i="1" s="1"/>
  <c r="AV85" i="1" s="1"/>
  <c r="AV86" i="1" s="1"/>
  <c r="AW75" i="1" s="1"/>
  <c r="AW76" i="1" s="1"/>
  <c r="AW77" i="1" s="1"/>
  <c r="AW78" i="1" s="1"/>
  <c r="AW79" i="1" s="1"/>
  <c r="AW80" i="1" s="1"/>
  <c r="AW81" i="1" s="1"/>
  <c r="AW82" i="1" s="1"/>
  <c r="AW83" i="1" s="1"/>
  <c r="AW84" i="1" s="1"/>
  <c r="AW85" i="1" s="1"/>
  <c r="AW86" i="1" s="1"/>
  <c r="AX75" i="1" s="1"/>
  <c r="AX76" i="1" s="1"/>
  <c r="AX77" i="1" s="1"/>
  <c r="AX78" i="1" s="1"/>
  <c r="AX79" i="1" s="1"/>
  <c r="AX80" i="1" s="1"/>
  <c r="AX81" i="1" s="1"/>
  <c r="AX82" i="1" s="1"/>
  <c r="AX83" i="1" s="1"/>
  <c r="AX84" i="1" s="1"/>
  <c r="AX85" i="1" s="1"/>
  <c r="AX86" i="1" s="1"/>
  <c r="AY75" i="1" s="1"/>
  <c r="AY76" i="1" s="1"/>
  <c r="AY77" i="1" s="1"/>
  <c r="AY78" i="1" s="1"/>
  <c r="AY79" i="1" s="1"/>
  <c r="AY80" i="1" s="1"/>
  <c r="AY81" i="1" s="1"/>
  <c r="AY82" i="1" s="1"/>
  <c r="AY83" i="1" s="1"/>
  <c r="AY84" i="1" s="1"/>
  <c r="AY85" i="1" s="1"/>
  <c r="AY86" i="1" s="1"/>
  <c r="AZ75" i="1" s="1"/>
  <c r="AZ76" i="1" s="1"/>
  <c r="AZ77" i="1" s="1"/>
  <c r="AZ78" i="1" s="1"/>
  <c r="AZ79" i="1" s="1"/>
  <c r="AZ80" i="1" s="1"/>
  <c r="AZ81" i="1" s="1"/>
  <c r="AZ82" i="1" s="1"/>
  <c r="AZ83" i="1" s="1"/>
  <c r="AZ84" i="1" s="1"/>
  <c r="AZ85" i="1" s="1"/>
  <c r="AZ86" i="1" s="1"/>
  <c r="BA75" i="1" s="1"/>
  <c r="BA76" i="1" s="1"/>
  <c r="BA77" i="1" s="1"/>
  <c r="BA78" i="1" s="1"/>
  <c r="BA79" i="1" s="1"/>
  <c r="BA80" i="1" s="1"/>
  <c r="BA81" i="1" s="1"/>
  <c r="BA82" i="1" s="1"/>
  <c r="BA83" i="1" s="1"/>
  <c r="BA84" i="1" s="1"/>
  <c r="BA85" i="1" s="1"/>
  <c r="BA86" i="1" s="1"/>
  <c r="BB75" i="1" s="1"/>
  <c r="BB76" i="1" s="1"/>
  <c r="BB77" i="1" s="1"/>
  <c r="BB78" i="1" s="1"/>
  <c r="BB79" i="1" s="1"/>
  <c r="BB80" i="1" s="1"/>
  <c r="BB81" i="1" s="1"/>
  <c r="BB82" i="1" s="1"/>
  <c r="BB83" i="1" s="1"/>
  <c r="BB84" i="1" s="1"/>
  <c r="BB85" i="1" s="1"/>
  <c r="BB86" i="1" s="1"/>
  <c r="BC75" i="1" s="1"/>
  <c r="BC76" i="1" s="1"/>
  <c r="BC77" i="1" s="1"/>
  <c r="BC78" i="1" s="1"/>
  <c r="BC79" i="1" s="1"/>
  <c r="BC80" i="1" s="1"/>
  <c r="BC81" i="1" s="1"/>
  <c r="BC82" i="1" s="1"/>
  <c r="BC83" i="1" s="1"/>
  <c r="BC84" i="1" s="1"/>
  <c r="BC85" i="1" s="1"/>
  <c r="BC86" i="1" s="1"/>
  <c r="BD75" i="1" s="1"/>
  <c r="BD76" i="1" s="1"/>
  <c r="BD77" i="1" s="1"/>
  <c r="BD78" i="1" s="1"/>
  <c r="BD79" i="1" s="1"/>
  <c r="BD80" i="1" s="1"/>
  <c r="BD81" i="1" s="1"/>
  <c r="BD82" i="1" s="1"/>
  <c r="BD83" i="1" s="1"/>
  <c r="BD84" i="1" s="1"/>
  <c r="BD85" i="1" s="1"/>
  <c r="BD86" i="1" s="1"/>
  <c r="BE75" i="1" s="1"/>
  <c r="BE76" i="1" s="1"/>
  <c r="BE77" i="1" s="1"/>
  <c r="BE78" i="1" s="1"/>
  <c r="BE79" i="1" s="1"/>
  <c r="BE80" i="1" s="1"/>
  <c r="BE81" i="1" s="1"/>
  <c r="BE82" i="1" s="1"/>
  <c r="BE83" i="1" s="1"/>
  <c r="BE84" i="1" s="1"/>
  <c r="BE85" i="1" s="1"/>
  <c r="BE86" i="1" s="1"/>
  <c r="BF75" i="1" s="1"/>
  <c r="BF76" i="1" s="1"/>
  <c r="BF77" i="1" s="1"/>
  <c r="BF78" i="1" s="1"/>
  <c r="BF79" i="1" s="1"/>
  <c r="BF80" i="1" s="1"/>
  <c r="BF81" i="1" s="1"/>
  <c r="BF82" i="1" s="1"/>
  <c r="BF83" i="1" s="1"/>
  <c r="BF84" i="1" s="1"/>
  <c r="BF85" i="1" s="1"/>
  <c r="BF86" i="1" s="1"/>
  <c r="BG75" i="1" s="1"/>
  <c r="BG76" i="1" s="1"/>
  <c r="BG77" i="1" s="1"/>
  <c r="BG78" i="1" s="1"/>
  <c r="BG79" i="1" s="1"/>
  <c r="BG80" i="1" s="1"/>
  <c r="BG81" i="1" s="1"/>
  <c r="BG82" i="1" s="1"/>
  <c r="BG83" i="1" s="1"/>
  <c r="BG84" i="1" s="1"/>
  <c r="BG85" i="1" s="1"/>
  <c r="BG86" i="1" s="1"/>
  <c r="BH75" i="1" s="1"/>
  <c r="BH76" i="1" s="1"/>
  <c r="BH77" i="1" s="1"/>
  <c r="BH78" i="1" s="1"/>
  <c r="BH79" i="1" s="1"/>
  <c r="BH80" i="1" s="1"/>
  <c r="BH81" i="1" s="1"/>
  <c r="BH82" i="1" s="1"/>
  <c r="BH83" i="1" s="1"/>
  <c r="BH84" i="1" s="1"/>
  <c r="BH85" i="1" s="1"/>
  <c r="BH86" i="1" s="1"/>
  <c r="BI75" i="1" s="1"/>
  <c r="BI76" i="1" s="1"/>
  <c r="BI77" i="1" s="1"/>
  <c r="BI78" i="1" s="1"/>
  <c r="BI79" i="1" s="1"/>
  <c r="BI80" i="1" s="1"/>
  <c r="BI81" i="1" s="1"/>
  <c r="BI82" i="1" s="1"/>
  <c r="BI83" i="1" s="1"/>
  <c r="BI84" i="1" s="1"/>
  <c r="BI85" i="1" s="1"/>
  <c r="BI86" i="1" s="1"/>
  <c r="BJ75" i="1" s="1"/>
  <c r="BJ76" i="1" s="1"/>
  <c r="BJ77" i="1" s="1"/>
  <c r="BJ78" i="1" s="1"/>
  <c r="BJ79" i="1" s="1"/>
  <c r="BJ80" i="1" s="1"/>
  <c r="BJ81" i="1" s="1"/>
  <c r="BJ82" i="1" s="1"/>
  <c r="BJ83" i="1" s="1"/>
  <c r="BJ84" i="1" s="1"/>
  <c r="BJ85" i="1" s="1"/>
  <c r="BJ86" i="1" s="1"/>
  <c r="D75" i="1"/>
  <c r="D76" i="1" s="1"/>
  <c r="D77" i="1" s="1"/>
  <c r="D78" i="1" s="1"/>
  <c r="D79" i="1" s="1"/>
  <c r="D80" i="1" s="1"/>
  <c r="D81" i="1" s="1"/>
  <c r="D82" i="1" s="1"/>
  <c r="D83" i="1" s="1"/>
  <c r="D84" i="1" s="1"/>
  <c r="D85" i="1" s="1"/>
  <c r="D86" i="1" s="1"/>
  <c r="E75" i="1" s="1"/>
  <c r="E76" i="1" s="1"/>
  <c r="E77" i="1" s="1"/>
  <c r="E78" i="1" s="1"/>
  <c r="E79" i="1" s="1"/>
  <c r="E80" i="1" s="1"/>
  <c r="E81" i="1" s="1"/>
  <c r="E82" i="1" s="1"/>
  <c r="E83" i="1" s="1"/>
  <c r="E84" i="1" s="1"/>
  <c r="E85" i="1" s="1"/>
  <c r="E86" i="1" s="1"/>
  <c r="F75" i="1" s="1"/>
  <c r="F76" i="1" s="1"/>
  <c r="F77" i="1" s="1"/>
  <c r="F78" i="1" s="1"/>
  <c r="F79" i="1" s="1"/>
  <c r="F80" i="1" s="1"/>
  <c r="F81" i="1" s="1"/>
  <c r="F82" i="1" s="1"/>
  <c r="F83" i="1" s="1"/>
  <c r="F84" i="1" s="1"/>
  <c r="F85" i="1" s="1"/>
  <c r="F86" i="1" s="1"/>
  <c r="G75" i="1" s="1"/>
  <c r="G76" i="1" s="1"/>
  <c r="G77" i="1" s="1"/>
  <c r="G78" i="1" s="1"/>
  <c r="G79" i="1" s="1"/>
  <c r="G80" i="1" s="1"/>
  <c r="G81" i="1" s="1"/>
  <c r="G82" i="1" s="1"/>
  <c r="G83" i="1" s="1"/>
  <c r="G84" i="1" s="1"/>
  <c r="G85" i="1" s="1"/>
  <c r="G86" i="1" s="1"/>
  <c r="H75" i="1" s="1"/>
  <c r="H76" i="1" s="1"/>
  <c r="H77" i="1" s="1"/>
  <c r="H78" i="1" s="1"/>
  <c r="H79" i="1" s="1"/>
  <c r="H80" i="1" s="1"/>
  <c r="H81" i="1" s="1"/>
  <c r="H82" i="1" s="1"/>
  <c r="H83" i="1" s="1"/>
  <c r="H84" i="1" s="1"/>
  <c r="H85" i="1" s="1"/>
  <c r="H86" i="1" s="1"/>
  <c r="I75" i="1" s="1"/>
  <c r="I76" i="1" s="1"/>
  <c r="I77" i="1" s="1"/>
  <c r="I78" i="1" s="1"/>
  <c r="I79" i="1" s="1"/>
  <c r="I80" i="1" s="1"/>
  <c r="I81" i="1" s="1"/>
  <c r="I82" i="1" s="1"/>
  <c r="I83" i="1" s="1"/>
  <c r="I84" i="1" s="1"/>
  <c r="I85" i="1" s="1"/>
  <c r="I86" i="1" s="1"/>
  <c r="J75" i="1" s="1"/>
  <c r="J76" i="1" s="1"/>
  <c r="J77" i="1" s="1"/>
  <c r="J78" i="1" s="1"/>
  <c r="J79" i="1" s="1"/>
  <c r="J80" i="1" s="1"/>
  <c r="J81" i="1" s="1"/>
  <c r="J82" i="1" s="1"/>
  <c r="J83" i="1" s="1"/>
  <c r="J84" i="1" s="1"/>
  <c r="J85" i="1" s="1"/>
  <c r="J86" i="1" s="1"/>
  <c r="K75" i="1" s="1"/>
  <c r="K76" i="1" s="1"/>
  <c r="K77" i="1" s="1"/>
  <c r="K78" i="1" s="1"/>
  <c r="K79" i="1" s="1"/>
  <c r="K80" i="1" s="1"/>
  <c r="K81" i="1" s="1"/>
  <c r="K82" i="1" s="1"/>
  <c r="K83" i="1" s="1"/>
  <c r="K84" i="1" s="1"/>
  <c r="K85" i="1" s="1"/>
  <c r="K86" i="1" s="1"/>
  <c r="L75" i="1" s="1"/>
  <c r="L76" i="1" s="1"/>
  <c r="L77" i="1" s="1"/>
  <c r="L78" i="1" s="1"/>
  <c r="L79" i="1" s="1"/>
  <c r="L80" i="1" s="1"/>
  <c r="L81" i="1" s="1"/>
  <c r="L82" i="1" s="1"/>
  <c r="L83" i="1" s="1"/>
  <c r="L84" i="1" s="1"/>
  <c r="L85" i="1" s="1"/>
  <c r="L86" i="1" s="1"/>
  <c r="AI151" i="5"/>
  <c r="AI152" i="5" s="1"/>
  <c r="AI153" i="5" s="1"/>
  <c r="AI154" i="5" s="1"/>
  <c r="AI155" i="5" s="1"/>
  <c r="AI156" i="5" s="1"/>
  <c r="AI157" i="5" s="1"/>
  <c r="AI158" i="5" s="1"/>
  <c r="AI159" i="5" s="1"/>
  <c r="AI160" i="5" s="1"/>
  <c r="AI161" i="5" s="1"/>
  <c r="AI162" i="5" s="1"/>
  <c r="AJ151" i="5" s="1"/>
  <c r="AJ152" i="5" s="1"/>
  <c r="AJ153" i="5" s="1"/>
  <c r="AJ154" i="5" s="1"/>
  <c r="AJ155" i="5" s="1"/>
  <c r="AJ156" i="5" s="1"/>
  <c r="AJ157" i="5" s="1"/>
  <c r="AJ158" i="5" s="1"/>
  <c r="AJ159" i="5" s="1"/>
  <c r="AJ160" i="5" s="1"/>
  <c r="AJ161" i="5" s="1"/>
  <c r="AJ162" i="5" s="1"/>
  <c r="AK151" i="5" s="1"/>
  <c r="AK152" i="5" s="1"/>
  <c r="AK153" i="5" s="1"/>
  <c r="AK154" i="5" s="1"/>
  <c r="AK155" i="5" s="1"/>
  <c r="AK156" i="5" s="1"/>
  <c r="AK157" i="5" s="1"/>
  <c r="AK158" i="5" s="1"/>
  <c r="AK159" i="5" s="1"/>
  <c r="AK160" i="5" s="1"/>
  <c r="AK161" i="5" s="1"/>
  <c r="AK162" i="5" s="1"/>
  <c r="AL151" i="5" s="1"/>
  <c r="AL152" i="5" s="1"/>
  <c r="AL153" i="5" s="1"/>
  <c r="AL154" i="5" s="1"/>
  <c r="AL155" i="5" s="1"/>
  <c r="AL156" i="5" s="1"/>
  <c r="AL157" i="5" s="1"/>
  <c r="AL158" i="5" s="1"/>
  <c r="AL159" i="5" s="1"/>
  <c r="AL160" i="5" s="1"/>
  <c r="AL161" i="5" s="1"/>
  <c r="AL162" i="5" s="1"/>
  <c r="AM151" i="5" s="1"/>
  <c r="AM152" i="5" s="1"/>
  <c r="AM153" i="5" s="1"/>
  <c r="AM154" i="5" s="1"/>
  <c r="AM155" i="5" s="1"/>
  <c r="AM156" i="5" s="1"/>
  <c r="AM157" i="5" s="1"/>
  <c r="AM158" i="5" s="1"/>
  <c r="AM159" i="5" s="1"/>
  <c r="AM160" i="5" s="1"/>
  <c r="AM161" i="5" s="1"/>
  <c r="AM162" i="5" s="1"/>
  <c r="AN151" i="5" s="1"/>
  <c r="AN152" i="5" s="1"/>
  <c r="AN153" i="5" s="1"/>
  <c r="AN154" i="5" s="1"/>
  <c r="AN155" i="5" s="1"/>
  <c r="AN156" i="5" s="1"/>
  <c r="AN157" i="5" s="1"/>
  <c r="AN158" i="5" s="1"/>
  <c r="AN159" i="5" s="1"/>
  <c r="AN160" i="5" s="1"/>
  <c r="AN161" i="5" s="1"/>
  <c r="AN162" i="5" s="1"/>
  <c r="AO151" i="5" s="1"/>
  <c r="AO152" i="5" s="1"/>
  <c r="AO153" i="5" s="1"/>
  <c r="AO154" i="5" s="1"/>
  <c r="AO155" i="5" s="1"/>
  <c r="AO156" i="5" s="1"/>
  <c r="AO157" i="5" s="1"/>
  <c r="AO158" i="5" s="1"/>
  <c r="AO159" i="5" s="1"/>
  <c r="AO160" i="5" s="1"/>
  <c r="AO161" i="5" s="1"/>
  <c r="AO162" i="5" s="1"/>
  <c r="AP151" i="5" s="1"/>
  <c r="AP152" i="5" s="1"/>
  <c r="AP153" i="5" s="1"/>
  <c r="AP154" i="5" s="1"/>
  <c r="AP155" i="5" s="1"/>
  <c r="AP156" i="5" s="1"/>
  <c r="AP157" i="5" s="1"/>
  <c r="AP158" i="5" s="1"/>
  <c r="AP159" i="5" s="1"/>
  <c r="AP160" i="5" s="1"/>
  <c r="AP161" i="5" s="1"/>
  <c r="AP162" i="5" s="1"/>
  <c r="AQ151" i="5" s="1"/>
  <c r="AQ152" i="5" s="1"/>
  <c r="AQ153" i="5" s="1"/>
  <c r="AQ154" i="5" s="1"/>
  <c r="AQ155" i="5" s="1"/>
  <c r="AQ156" i="5" s="1"/>
  <c r="AQ157" i="5" s="1"/>
  <c r="AQ158" i="5" s="1"/>
  <c r="AQ159" i="5" s="1"/>
  <c r="AQ160" i="5" s="1"/>
  <c r="AQ161" i="5" s="1"/>
  <c r="AQ162" i="5" s="1"/>
  <c r="AR151" i="5" s="1"/>
  <c r="AR152" i="5" s="1"/>
  <c r="AR153" i="5" s="1"/>
  <c r="AR154" i="5" s="1"/>
  <c r="AR155" i="5" s="1"/>
  <c r="AR156" i="5" s="1"/>
  <c r="AR157" i="5" s="1"/>
  <c r="AR158" i="5" s="1"/>
  <c r="AR159" i="5" s="1"/>
  <c r="AR160" i="5" s="1"/>
  <c r="AR161" i="5" s="1"/>
  <c r="AR162" i="5" s="1"/>
  <c r="AS151" i="5" s="1"/>
  <c r="AS152" i="5" s="1"/>
  <c r="AS153" i="5" s="1"/>
  <c r="AS154" i="5" s="1"/>
  <c r="AS155" i="5" s="1"/>
  <c r="AS156" i="5" s="1"/>
  <c r="AS157" i="5" s="1"/>
  <c r="AS158" i="5" s="1"/>
  <c r="AS159" i="5" s="1"/>
  <c r="AS160" i="5" s="1"/>
  <c r="AS161" i="5" s="1"/>
  <c r="AS162" i="5" s="1"/>
  <c r="AT151" i="5" s="1"/>
  <c r="AT152" i="5" s="1"/>
  <c r="AT153" i="5" s="1"/>
  <c r="AT154" i="5" s="1"/>
  <c r="AT155" i="5" s="1"/>
  <c r="AT156" i="5" s="1"/>
  <c r="AT157" i="5" s="1"/>
  <c r="AT158" i="5" s="1"/>
  <c r="AT159" i="5" s="1"/>
  <c r="AT160" i="5" s="1"/>
  <c r="AT161" i="5" s="1"/>
  <c r="AT162" i="5" s="1"/>
  <c r="AU151" i="5" s="1"/>
  <c r="AU152" i="5" s="1"/>
  <c r="AU153" i="5" s="1"/>
  <c r="AU154" i="5" s="1"/>
  <c r="AU155" i="5" s="1"/>
  <c r="AU156" i="5" s="1"/>
  <c r="AU157" i="5" s="1"/>
  <c r="AU158" i="5" s="1"/>
  <c r="AU159" i="5" s="1"/>
  <c r="AU160" i="5" s="1"/>
  <c r="AU161" i="5" s="1"/>
  <c r="AU162" i="5" s="1"/>
  <c r="AV151" i="5" s="1"/>
  <c r="AV152" i="5" s="1"/>
  <c r="AV153" i="5" s="1"/>
  <c r="AV154" i="5" s="1"/>
  <c r="AV155" i="5" s="1"/>
  <c r="AV156" i="5" s="1"/>
  <c r="AV157" i="5" s="1"/>
  <c r="AV158" i="5" s="1"/>
  <c r="AV159" i="5" s="1"/>
  <c r="AV160" i="5" s="1"/>
  <c r="AV161" i="5" s="1"/>
  <c r="AV162" i="5" s="1"/>
  <c r="AW151" i="5" s="1"/>
  <c r="AW152" i="5" s="1"/>
  <c r="AW153" i="5" s="1"/>
  <c r="AW154" i="5" s="1"/>
  <c r="AW155" i="5" s="1"/>
  <c r="AW156" i="5" s="1"/>
  <c r="AW157" i="5" s="1"/>
  <c r="AW158" i="5" s="1"/>
  <c r="AW159" i="5" s="1"/>
  <c r="AW160" i="5" s="1"/>
  <c r="AW161" i="5" s="1"/>
  <c r="AW162" i="5" s="1"/>
  <c r="AX151" i="5" s="1"/>
  <c r="AX152" i="5" s="1"/>
  <c r="AX153" i="5" s="1"/>
  <c r="AX154" i="5" s="1"/>
  <c r="AX155" i="5" s="1"/>
  <c r="AX156" i="5" s="1"/>
  <c r="AX157" i="5" s="1"/>
  <c r="AX158" i="5" s="1"/>
  <c r="AX159" i="5" s="1"/>
  <c r="AX160" i="5" s="1"/>
  <c r="AX161" i="5" s="1"/>
  <c r="AX162" i="5" s="1"/>
  <c r="AY151" i="5" s="1"/>
  <c r="AY152" i="5" s="1"/>
  <c r="AY153" i="5" s="1"/>
  <c r="AY154" i="5" s="1"/>
  <c r="AY155" i="5" s="1"/>
  <c r="AY156" i="5" s="1"/>
  <c r="AY157" i="5" s="1"/>
  <c r="AY158" i="5" s="1"/>
  <c r="AY159" i="5" s="1"/>
  <c r="AY160" i="5" s="1"/>
  <c r="AY161" i="5" s="1"/>
  <c r="AY162" i="5" s="1"/>
  <c r="AZ151" i="5" s="1"/>
  <c r="AZ152" i="5" s="1"/>
  <c r="AZ153" i="5" s="1"/>
  <c r="AZ154" i="5" s="1"/>
  <c r="AZ155" i="5" s="1"/>
  <c r="AZ156" i="5" s="1"/>
  <c r="AZ157" i="5" s="1"/>
  <c r="AZ158" i="5" s="1"/>
  <c r="AZ159" i="5" s="1"/>
  <c r="AZ160" i="5" s="1"/>
  <c r="AZ161" i="5" s="1"/>
  <c r="AZ162" i="5" s="1"/>
  <c r="BA151" i="5" s="1"/>
  <c r="BA152" i="5" s="1"/>
  <c r="BA153" i="5" s="1"/>
  <c r="BA154" i="5" s="1"/>
  <c r="BA155" i="5" s="1"/>
  <c r="BA156" i="5" s="1"/>
  <c r="BA157" i="5" s="1"/>
  <c r="BA158" i="5" s="1"/>
  <c r="BA159" i="5" s="1"/>
  <c r="BA160" i="5" s="1"/>
  <c r="BA161" i="5" s="1"/>
  <c r="BA162" i="5" s="1"/>
  <c r="BB151" i="5" s="1"/>
  <c r="BB152" i="5" s="1"/>
  <c r="BB153" i="5" s="1"/>
  <c r="BB154" i="5" s="1"/>
  <c r="BB155" i="5" s="1"/>
  <c r="BB156" i="5" s="1"/>
  <c r="BB157" i="5" s="1"/>
  <c r="BB158" i="5" s="1"/>
  <c r="BB159" i="5" s="1"/>
  <c r="BB160" i="5" s="1"/>
  <c r="BB161" i="5" s="1"/>
  <c r="BB162" i="5" s="1"/>
  <c r="BC151" i="5" s="1"/>
  <c r="BC152" i="5" s="1"/>
  <c r="BC153" i="5" s="1"/>
  <c r="BC154" i="5" s="1"/>
  <c r="BC155" i="5" s="1"/>
  <c r="BC156" i="5" s="1"/>
  <c r="BC157" i="5" s="1"/>
  <c r="BC158" i="5" s="1"/>
  <c r="BC159" i="5" s="1"/>
  <c r="BC160" i="5" s="1"/>
  <c r="BC161" i="5" s="1"/>
  <c r="BC162" i="5" s="1"/>
  <c r="BD151" i="5" s="1"/>
  <c r="BD152" i="5" s="1"/>
  <c r="BD153" i="5" s="1"/>
  <c r="BD154" i="5" s="1"/>
  <c r="BD155" i="5" s="1"/>
  <c r="BD156" i="5" s="1"/>
  <c r="BD157" i="5" s="1"/>
  <c r="BD158" i="5" s="1"/>
  <c r="BD159" i="5" s="1"/>
  <c r="BD160" i="5" s="1"/>
  <c r="BD161" i="5" s="1"/>
  <c r="BD162" i="5" s="1"/>
  <c r="BE151" i="5" s="1"/>
  <c r="BE152" i="5" s="1"/>
  <c r="BE153" i="5" s="1"/>
  <c r="BE154" i="5" s="1"/>
  <c r="BE155" i="5" s="1"/>
  <c r="BE156" i="5" s="1"/>
  <c r="BE157" i="5" s="1"/>
  <c r="BE158" i="5" s="1"/>
  <c r="BE159" i="5" s="1"/>
  <c r="BE160" i="5" s="1"/>
  <c r="BE161" i="5" s="1"/>
  <c r="BE162" i="5" s="1"/>
  <c r="BF151" i="5" s="1"/>
  <c r="BF152" i="5" s="1"/>
  <c r="BF153" i="5" s="1"/>
  <c r="BF154" i="5" s="1"/>
  <c r="BF155" i="5" s="1"/>
  <c r="BF156" i="5" s="1"/>
  <c r="BF157" i="5" s="1"/>
  <c r="BF158" i="5" s="1"/>
  <c r="BF159" i="5" s="1"/>
  <c r="BF160" i="5" s="1"/>
  <c r="BF161" i="5" s="1"/>
  <c r="BF162" i="5" s="1"/>
  <c r="BG151" i="5" s="1"/>
  <c r="BG152" i="5" s="1"/>
  <c r="BG153" i="5" s="1"/>
  <c r="BG154" i="5" s="1"/>
  <c r="BG155" i="5" s="1"/>
  <c r="BG156" i="5" s="1"/>
  <c r="BG157" i="5" s="1"/>
  <c r="BG158" i="5" s="1"/>
  <c r="BG159" i="5" s="1"/>
  <c r="BG160" i="5" s="1"/>
  <c r="BG161" i="5" s="1"/>
  <c r="BG162" i="5" s="1"/>
  <c r="BH151" i="5" s="1"/>
  <c r="BH152" i="5" s="1"/>
  <c r="BH153" i="5" s="1"/>
  <c r="BH154" i="5" s="1"/>
  <c r="BH155" i="5" s="1"/>
  <c r="BH156" i="5" s="1"/>
  <c r="BH157" i="5" s="1"/>
  <c r="BH158" i="5" s="1"/>
  <c r="BH159" i="5" s="1"/>
  <c r="BH160" i="5" s="1"/>
  <c r="BH161" i="5" s="1"/>
  <c r="BH162" i="5" s="1"/>
  <c r="BI151" i="5" s="1"/>
  <c r="BI152" i="5" s="1"/>
  <c r="BI153" i="5" s="1"/>
  <c r="BI154" i="5" s="1"/>
  <c r="BI155" i="5" s="1"/>
  <c r="BI156" i="5" s="1"/>
  <c r="BI157" i="5" s="1"/>
  <c r="BI158" i="5" s="1"/>
  <c r="BI159" i="5" s="1"/>
  <c r="BI160" i="5" s="1"/>
  <c r="BI161" i="5" s="1"/>
  <c r="BI162" i="5" s="1"/>
  <c r="BJ151" i="5" s="1"/>
  <c r="BJ152" i="5" s="1"/>
  <c r="BJ153" i="5" s="1"/>
  <c r="BJ154" i="5" s="1"/>
  <c r="BJ155" i="5" s="1"/>
  <c r="BJ156" i="5" s="1"/>
  <c r="BJ157" i="5" s="1"/>
  <c r="BJ158" i="5" s="1"/>
  <c r="BJ159" i="5" s="1"/>
  <c r="BJ160" i="5" s="1"/>
  <c r="BJ161" i="5" s="1"/>
  <c r="BJ162" i="5" s="1"/>
  <c r="D151" i="5"/>
  <c r="D152" i="5" s="1"/>
  <c r="D153" i="5" s="1"/>
  <c r="D154" i="5" s="1"/>
  <c r="D155" i="5" s="1"/>
  <c r="D156" i="5" s="1"/>
  <c r="D157" i="5" s="1"/>
  <c r="D158" i="5" s="1"/>
  <c r="D159" i="5" s="1"/>
  <c r="D160" i="5" s="1"/>
  <c r="D161" i="5" s="1"/>
  <c r="D162" i="5" s="1"/>
  <c r="E151" i="5" s="1"/>
  <c r="E152" i="5" s="1"/>
  <c r="E153" i="5" s="1"/>
  <c r="E154" i="5" s="1"/>
  <c r="E155" i="5" s="1"/>
  <c r="E156" i="5" s="1"/>
  <c r="E157" i="5" s="1"/>
  <c r="E158" i="5" s="1"/>
  <c r="E159" i="5" s="1"/>
  <c r="E160" i="5" s="1"/>
  <c r="E161" i="5" s="1"/>
  <c r="E162" i="5" s="1"/>
  <c r="F151" i="5" s="1"/>
  <c r="F152" i="5" s="1"/>
  <c r="F153" i="5" s="1"/>
  <c r="F154" i="5" s="1"/>
  <c r="F155" i="5" s="1"/>
  <c r="F156" i="5" s="1"/>
  <c r="F157" i="5" s="1"/>
  <c r="F158" i="5" s="1"/>
  <c r="F159" i="5" s="1"/>
  <c r="F160" i="5" s="1"/>
  <c r="F161" i="5" s="1"/>
  <c r="F162" i="5" s="1"/>
  <c r="G151" i="5" s="1"/>
  <c r="G152" i="5" s="1"/>
  <c r="G153" i="5" s="1"/>
  <c r="G154" i="5" s="1"/>
  <c r="G155" i="5" s="1"/>
  <c r="G156" i="5" s="1"/>
  <c r="G157" i="5" s="1"/>
  <c r="G158" i="5" s="1"/>
  <c r="G159" i="5" s="1"/>
  <c r="G160" i="5" s="1"/>
  <c r="G161" i="5" s="1"/>
  <c r="G162" i="5" s="1"/>
  <c r="H151" i="5" s="1"/>
  <c r="H152" i="5" s="1"/>
  <c r="H153" i="5" s="1"/>
  <c r="H154" i="5" s="1"/>
  <c r="H155" i="5" s="1"/>
  <c r="H156" i="5" s="1"/>
  <c r="H157" i="5" s="1"/>
  <c r="H158" i="5" s="1"/>
  <c r="H159" i="5" s="1"/>
  <c r="H160" i="5" s="1"/>
  <c r="H161" i="5" s="1"/>
  <c r="H162" i="5" s="1"/>
  <c r="I151" i="5" s="1"/>
  <c r="I152" i="5" s="1"/>
  <c r="I153" i="5" s="1"/>
  <c r="I154" i="5" s="1"/>
  <c r="I155" i="5" s="1"/>
  <c r="I156" i="5" s="1"/>
  <c r="I157" i="5" s="1"/>
  <c r="I158" i="5" s="1"/>
  <c r="I159" i="5" s="1"/>
  <c r="I160" i="5" s="1"/>
  <c r="I161" i="5" s="1"/>
  <c r="I162" i="5" s="1"/>
  <c r="J151" i="5" s="1"/>
  <c r="J152" i="5" s="1"/>
  <c r="J153" i="5" s="1"/>
  <c r="J154" i="5" s="1"/>
  <c r="J155" i="5" s="1"/>
  <c r="J156" i="5" s="1"/>
  <c r="J157" i="5" s="1"/>
  <c r="J158" i="5" s="1"/>
  <c r="J159" i="5" s="1"/>
  <c r="J160" i="5" s="1"/>
  <c r="J161" i="5" s="1"/>
  <c r="J162" i="5" s="1"/>
  <c r="K151" i="5" s="1"/>
  <c r="K152" i="5" s="1"/>
  <c r="K153" i="5" s="1"/>
  <c r="K154" i="5" s="1"/>
  <c r="K155" i="5" s="1"/>
  <c r="K156" i="5" s="1"/>
  <c r="K157" i="5" s="1"/>
  <c r="K158" i="5" s="1"/>
  <c r="K159" i="5" s="1"/>
  <c r="K160" i="5" s="1"/>
  <c r="K161" i="5" s="1"/>
  <c r="K162" i="5" s="1"/>
  <c r="L151" i="5" s="1"/>
  <c r="L152" i="5" s="1"/>
  <c r="L153" i="5" s="1"/>
  <c r="L154" i="5" s="1"/>
  <c r="L155" i="5" s="1"/>
  <c r="L156" i="5" s="1"/>
  <c r="L157" i="5" s="1"/>
  <c r="L158" i="5" s="1"/>
  <c r="L159" i="5" s="1"/>
  <c r="L160" i="5" s="1"/>
  <c r="L161" i="5" s="1"/>
  <c r="L162" i="5" s="1"/>
  <c r="M151" i="5" s="1"/>
  <c r="M152" i="5" s="1"/>
  <c r="M153" i="5" s="1"/>
  <c r="M154" i="5" s="1"/>
  <c r="M155" i="5" s="1"/>
  <c r="M156" i="5" s="1"/>
  <c r="M157" i="5" s="1"/>
  <c r="M158" i="5" s="1"/>
  <c r="M159" i="5" s="1"/>
  <c r="M160" i="5" s="1"/>
  <c r="M161" i="5" s="1"/>
  <c r="M162" i="5" s="1"/>
  <c r="N151" i="5" s="1"/>
  <c r="N152" i="5" s="1"/>
  <c r="N153" i="5" s="1"/>
  <c r="N154" i="5" s="1"/>
  <c r="N155" i="5" s="1"/>
  <c r="N156" i="5" s="1"/>
  <c r="N157" i="5" s="1"/>
  <c r="N158" i="5" s="1"/>
  <c r="N159" i="5" s="1"/>
  <c r="N160" i="5" s="1"/>
  <c r="N161" i="5" s="1"/>
  <c r="N162" i="5" s="1"/>
  <c r="O151" i="5" s="1"/>
  <c r="O152" i="5" s="1"/>
  <c r="O153" i="5" s="1"/>
  <c r="O154" i="5" s="1"/>
  <c r="O155" i="5" s="1"/>
  <c r="O156" i="5" s="1"/>
  <c r="O157" i="5" s="1"/>
  <c r="O158" i="5" s="1"/>
  <c r="O159" i="5" s="1"/>
  <c r="O160" i="5" s="1"/>
  <c r="O161" i="5" s="1"/>
  <c r="O162" i="5" s="1"/>
  <c r="P151" i="5" s="1"/>
  <c r="P152" i="5" s="1"/>
  <c r="P153" i="5" s="1"/>
  <c r="P154" i="5" s="1"/>
  <c r="P155" i="5" s="1"/>
  <c r="P156" i="5" s="1"/>
  <c r="P157" i="5" s="1"/>
  <c r="P158" i="5" s="1"/>
  <c r="P159" i="5" s="1"/>
  <c r="P160" i="5" s="1"/>
  <c r="P161" i="5" s="1"/>
  <c r="P162" i="5" s="1"/>
  <c r="Q151" i="5" s="1"/>
  <c r="Q152" i="5" s="1"/>
  <c r="Q153" i="5" s="1"/>
  <c r="Q154" i="5" s="1"/>
  <c r="Q155" i="5" s="1"/>
  <c r="Q156" i="5" s="1"/>
  <c r="Q157" i="5" s="1"/>
  <c r="Q158" i="5" s="1"/>
  <c r="Q159" i="5" s="1"/>
  <c r="Q160" i="5" s="1"/>
  <c r="Q161" i="5" s="1"/>
  <c r="Q162" i="5" s="1"/>
  <c r="R151" i="5" s="1"/>
  <c r="R152" i="5" s="1"/>
  <c r="R153" i="5" s="1"/>
  <c r="R154" i="5" s="1"/>
  <c r="R155" i="5" s="1"/>
  <c r="R156" i="5" s="1"/>
  <c r="R157" i="5" s="1"/>
  <c r="R158" i="5" s="1"/>
  <c r="R159" i="5" s="1"/>
  <c r="R160" i="5" s="1"/>
  <c r="R161" i="5" s="1"/>
  <c r="R162" i="5" s="1"/>
  <c r="S151" i="5" s="1"/>
  <c r="S152" i="5" s="1"/>
  <c r="S153" i="5" s="1"/>
  <c r="S154" i="5" s="1"/>
  <c r="S155" i="5" s="1"/>
  <c r="S156" i="5" s="1"/>
  <c r="S157" i="5" s="1"/>
  <c r="S158" i="5" s="1"/>
  <c r="S159" i="5" s="1"/>
  <c r="S160" i="5" s="1"/>
  <c r="S161" i="5" s="1"/>
  <c r="S162" i="5" s="1"/>
  <c r="T151" i="5" s="1"/>
  <c r="T152" i="5" s="1"/>
  <c r="T153" i="5" s="1"/>
  <c r="T154" i="5" s="1"/>
  <c r="T155" i="5" s="1"/>
  <c r="T156" i="5" s="1"/>
  <c r="T157" i="5" s="1"/>
  <c r="T158" i="5" s="1"/>
  <c r="T159" i="5" s="1"/>
  <c r="T160" i="5" s="1"/>
  <c r="T161" i="5" s="1"/>
  <c r="T162" i="5" s="1"/>
  <c r="U151" i="5" s="1"/>
  <c r="U152" i="5" s="1"/>
  <c r="U153" i="5" s="1"/>
  <c r="U154" i="5" s="1"/>
  <c r="U155" i="5" s="1"/>
  <c r="U156" i="5" s="1"/>
  <c r="U157" i="5" s="1"/>
  <c r="U158" i="5" s="1"/>
  <c r="U159" i="5" s="1"/>
  <c r="U160" i="5" s="1"/>
  <c r="U161" i="5" s="1"/>
  <c r="U162" i="5" s="1"/>
  <c r="V151" i="5" s="1"/>
  <c r="V152" i="5" s="1"/>
  <c r="V153" i="5" s="1"/>
  <c r="V154" i="5" s="1"/>
  <c r="V155" i="5" s="1"/>
  <c r="V156" i="5" s="1"/>
  <c r="V157" i="5" s="1"/>
  <c r="V158" i="5" s="1"/>
  <c r="V159" i="5" s="1"/>
  <c r="V160" i="5" s="1"/>
  <c r="V161" i="5" s="1"/>
  <c r="V162" i="5" s="1"/>
  <c r="W151" i="5" s="1"/>
  <c r="W152" i="5" s="1"/>
  <c r="W153" i="5" s="1"/>
  <c r="W154" i="5" s="1"/>
  <c r="W155" i="5" s="1"/>
  <c r="W156" i="5" s="1"/>
  <c r="W157" i="5" s="1"/>
  <c r="W158" i="5" s="1"/>
  <c r="W159" i="5" s="1"/>
  <c r="W160" i="5" s="1"/>
  <c r="W161" i="5" s="1"/>
  <c r="W162" i="5" s="1"/>
  <c r="X151" i="5" s="1"/>
  <c r="X152" i="5" s="1"/>
  <c r="X153" i="5" s="1"/>
  <c r="X154" i="5" s="1"/>
  <c r="X155" i="5" s="1"/>
  <c r="X156" i="5" s="1"/>
  <c r="X157" i="5" s="1"/>
  <c r="X158" i="5" s="1"/>
  <c r="X159" i="5" s="1"/>
  <c r="X160" i="5" s="1"/>
  <c r="X161" i="5" s="1"/>
  <c r="X162" i="5" s="1"/>
  <c r="Y151" i="5" s="1"/>
  <c r="Y152" i="5" s="1"/>
  <c r="Y153" i="5" s="1"/>
  <c r="Y154" i="5" s="1"/>
  <c r="Y155" i="5" s="1"/>
  <c r="Y156" i="5" s="1"/>
  <c r="Y157" i="5" s="1"/>
  <c r="Y158" i="5" s="1"/>
  <c r="Y159" i="5" s="1"/>
  <c r="Y160" i="5" s="1"/>
  <c r="Y161" i="5" s="1"/>
  <c r="Y162" i="5" s="1"/>
  <c r="Z151" i="5" s="1"/>
  <c r="Z152" i="5" s="1"/>
  <c r="Z153" i="5" s="1"/>
  <c r="Z154" i="5" s="1"/>
  <c r="Z155" i="5" s="1"/>
  <c r="Z156" i="5" s="1"/>
  <c r="Z157" i="5" s="1"/>
  <c r="Z158" i="5" s="1"/>
  <c r="Z159" i="5" s="1"/>
  <c r="Z160" i="5" s="1"/>
  <c r="Z161" i="5" s="1"/>
  <c r="Z162" i="5" s="1"/>
  <c r="AA151" i="5" s="1"/>
  <c r="AA152" i="5" s="1"/>
  <c r="AA153" i="5" s="1"/>
  <c r="AA154" i="5" s="1"/>
  <c r="AA155" i="5" s="1"/>
  <c r="AA156" i="5" s="1"/>
  <c r="AA157" i="5" s="1"/>
  <c r="AA158" i="5" s="1"/>
  <c r="AA159" i="5" s="1"/>
  <c r="AA160" i="5" s="1"/>
  <c r="AA161" i="5" s="1"/>
  <c r="AA162" i="5" s="1"/>
  <c r="AB151" i="5" s="1"/>
  <c r="AB152" i="5" s="1"/>
  <c r="AB153" i="5" s="1"/>
  <c r="AB154" i="5" s="1"/>
  <c r="AB155" i="5" s="1"/>
  <c r="AB156" i="5" s="1"/>
  <c r="AB157" i="5" s="1"/>
  <c r="AB158" i="5" s="1"/>
  <c r="AB159" i="5" s="1"/>
  <c r="AB160" i="5" s="1"/>
  <c r="AB161" i="5" s="1"/>
  <c r="AB162" i="5" s="1"/>
  <c r="AC151" i="5" s="1"/>
  <c r="AC152" i="5" s="1"/>
  <c r="AC153" i="5" s="1"/>
  <c r="AC154" i="5" s="1"/>
  <c r="AC155" i="5" s="1"/>
  <c r="AC156" i="5" s="1"/>
  <c r="AC157" i="5" s="1"/>
  <c r="AC158" i="5" s="1"/>
  <c r="AC159" i="5" s="1"/>
  <c r="AC160" i="5" s="1"/>
  <c r="AC161" i="5" s="1"/>
  <c r="AC162" i="5" s="1"/>
  <c r="AD151" i="5" s="1"/>
  <c r="AD152" i="5" s="1"/>
  <c r="AD153" i="5" s="1"/>
  <c r="AD154" i="5" s="1"/>
  <c r="AD155" i="5" s="1"/>
  <c r="AD156" i="5" s="1"/>
  <c r="AD157" i="5" s="1"/>
  <c r="AD158" i="5" s="1"/>
  <c r="AD159" i="5" s="1"/>
  <c r="AD160" i="5" s="1"/>
  <c r="AD161" i="5" s="1"/>
  <c r="AD162" i="5" s="1"/>
  <c r="AE151" i="5" s="1"/>
  <c r="AE152" i="5" s="1"/>
  <c r="AE153" i="5" s="1"/>
  <c r="AE154" i="5" s="1"/>
  <c r="AE155" i="5" s="1"/>
  <c r="AE156" i="5" s="1"/>
  <c r="AE157" i="5" s="1"/>
  <c r="AE158" i="5" s="1"/>
  <c r="AE159" i="5" s="1"/>
  <c r="AE160" i="5" s="1"/>
  <c r="AE161" i="5" s="1"/>
  <c r="AE162" i="5" s="1"/>
  <c r="AI132" i="5"/>
  <c r="AI133" i="5" s="1"/>
  <c r="AI134" i="5" s="1"/>
  <c r="AI135" i="5" s="1"/>
  <c r="AI136" i="5" s="1"/>
  <c r="AI137" i="5" s="1"/>
  <c r="AI138" i="5" s="1"/>
  <c r="AI139" i="5" s="1"/>
  <c r="AI140" i="5" s="1"/>
  <c r="AI141" i="5" s="1"/>
  <c r="AI142" i="5" s="1"/>
  <c r="AI143" i="5" s="1"/>
  <c r="AJ132" i="5" s="1"/>
  <c r="AJ133" i="5" s="1"/>
  <c r="AJ134" i="5" s="1"/>
  <c r="AJ135" i="5" s="1"/>
  <c r="AJ136" i="5" s="1"/>
  <c r="AJ137" i="5" s="1"/>
  <c r="AJ138" i="5" s="1"/>
  <c r="AJ139" i="5" s="1"/>
  <c r="AJ140" i="5" s="1"/>
  <c r="AJ141" i="5" s="1"/>
  <c r="AJ142" i="5" s="1"/>
  <c r="AJ143" i="5" s="1"/>
  <c r="AK132" i="5" s="1"/>
  <c r="AK133" i="5" s="1"/>
  <c r="AK134" i="5" s="1"/>
  <c r="AK135" i="5" s="1"/>
  <c r="AK136" i="5" s="1"/>
  <c r="AK137" i="5" s="1"/>
  <c r="AK138" i="5" s="1"/>
  <c r="AK139" i="5" s="1"/>
  <c r="AK140" i="5" s="1"/>
  <c r="AK141" i="5" s="1"/>
  <c r="AK142" i="5" s="1"/>
  <c r="AK143" i="5" s="1"/>
  <c r="AL132" i="5" s="1"/>
  <c r="AL133" i="5" s="1"/>
  <c r="AL134" i="5" s="1"/>
  <c r="AL135" i="5" s="1"/>
  <c r="AL136" i="5" s="1"/>
  <c r="AL137" i="5" s="1"/>
  <c r="AL138" i="5" s="1"/>
  <c r="AL139" i="5" s="1"/>
  <c r="AL140" i="5" s="1"/>
  <c r="AL141" i="5" s="1"/>
  <c r="AL142" i="5" s="1"/>
  <c r="AL143" i="5" s="1"/>
  <c r="AM132" i="5" s="1"/>
  <c r="AM133" i="5" s="1"/>
  <c r="AM134" i="5" s="1"/>
  <c r="AM135" i="5" s="1"/>
  <c r="AM136" i="5" s="1"/>
  <c r="AM137" i="5" s="1"/>
  <c r="AM138" i="5" s="1"/>
  <c r="AM139" i="5" s="1"/>
  <c r="AM140" i="5" s="1"/>
  <c r="AM141" i="5" s="1"/>
  <c r="AM142" i="5" s="1"/>
  <c r="AM143" i="5" s="1"/>
  <c r="AN132" i="5" s="1"/>
  <c r="AN133" i="5" s="1"/>
  <c r="AN134" i="5" s="1"/>
  <c r="AN135" i="5" s="1"/>
  <c r="AN136" i="5" s="1"/>
  <c r="AN137" i="5" s="1"/>
  <c r="AN138" i="5" s="1"/>
  <c r="AN139" i="5" s="1"/>
  <c r="AN140" i="5" s="1"/>
  <c r="AN141" i="5" s="1"/>
  <c r="AN142" i="5" s="1"/>
  <c r="AN143" i="5" s="1"/>
  <c r="AO132" i="5" s="1"/>
  <c r="AO133" i="5" s="1"/>
  <c r="AO134" i="5" s="1"/>
  <c r="AO135" i="5" s="1"/>
  <c r="AO136" i="5" s="1"/>
  <c r="AO137" i="5" s="1"/>
  <c r="AO138" i="5" s="1"/>
  <c r="AO139" i="5" s="1"/>
  <c r="AO140" i="5" s="1"/>
  <c r="AO141" i="5" s="1"/>
  <c r="AO142" i="5" s="1"/>
  <c r="AO143" i="5" s="1"/>
  <c r="AP132" i="5" s="1"/>
  <c r="AP133" i="5" s="1"/>
  <c r="AP134" i="5" s="1"/>
  <c r="AP135" i="5" s="1"/>
  <c r="AP136" i="5" s="1"/>
  <c r="AP137" i="5" s="1"/>
  <c r="AP138" i="5" s="1"/>
  <c r="AP139" i="5" s="1"/>
  <c r="AP140" i="5" s="1"/>
  <c r="AP141" i="5" s="1"/>
  <c r="AP142" i="5" s="1"/>
  <c r="AP143" i="5" s="1"/>
  <c r="AQ132" i="5" s="1"/>
  <c r="AQ133" i="5" s="1"/>
  <c r="AQ134" i="5" s="1"/>
  <c r="AQ135" i="5" s="1"/>
  <c r="AQ136" i="5" s="1"/>
  <c r="AQ137" i="5" s="1"/>
  <c r="AQ138" i="5" s="1"/>
  <c r="AQ139" i="5" s="1"/>
  <c r="AQ140" i="5" s="1"/>
  <c r="AQ141" i="5" s="1"/>
  <c r="AQ142" i="5" s="1"/>
  <c r="AQ143" i="5" s="1"/>
  <c r="AR132" i="5" s="1"/>
  <c r="AR133" i="5" s="1"/>
  <c r="AR134" i="5" s="1"/>
  <c r="AR135" i="5" s="1"/>
  <c r="AR136" i="5" s="1"/>
  <c r="AR137" i="5" s="1"/>
  <c r="AR138" i="5" s="1"/>
  <c r="AR139" i="5" s="1"/>
  <c r="AR140" i="5" s="1"/>
  <c r="AR141" i="5" s="1"/>
  <c r="AR142" i="5" s="1"/>
  <c r="AR143" i="5" s="1"/>
  <c r="AS132" i="5" s="1"/>
  <c r="AS133" i="5" s="1"/>
  <c r="AS134" i="5" s="1"/>
  <c r="AS135" i="5" s="1"/>
  <c r="AS136" i="5" s="1"/>
  <c r="AS137" i="5" s="1"/>
  <c r="AS138" i="5" s="1"/>
  <c r="AS139" i="5" s="1"/>
  <c r="AS140" i="5" s="1"/>
  <c r="AS141" i="5" s="1"/>
  <c r="AS142" i="5" s="1"/>
  <c r="AS143" i="5" s="1"/>
  <c r="AT132" i="5" s="1"/>
  <c r="AT133" i="5" s="1"/>
  <c r="AT134" i="5" s="1"/>
  <c r="AT135" i="5" s="1"/>
  <c r="AT136" i="5" s="1"/>
  <c r="AT137" i="5" s="1"/>
  <c r="AT138" i="5" s="1"/>
  <c r="AT139" i="5" s="1"/>
  <c r="AT140" i="5" s="1"/>
  <c r="AT141" i="5" s="1"/>
  <c r="AT142" i="5" s="1"/>
  <c r="AT143" i="5" s="1"/>
  <c r="AU132" i="5" s="1"/>
  <c r="AU133" i="5" s="1"/>
  <c r="AU134" i="5" s="1"/>
  <c r="AU135" i="5" s="1"/>
  <c r="AU136" i="5" s="1"/>
  <c r="AU137" i="5" s="1"/>
  <c r="AU138" i="5" s="1"/>
  <c r="AU139" i="5" s="1"/>
  <c r="AU140" i="5" s="1"/>
  <c r="AU141" i="5" s="1"/>
  <c r="AU142" i="5" s="1"/>
  <c r="AU143" i="5" s="1"/>
  <c r="AV132" i="5" s="1"/>
  <c r="AV133" i="5" s="1"/>
  <c r="AV134" i="5" s="1"/>
  <c r="AV135" i="5" s="1"/>
  <c r="AV136" i="5" s="1"/>
  <c r="AV137" i="5" s="1"/>
  <c r="AV138" i="5" s="1"/>
  <c r="AV139" i="5" s="1"/>
  <c r="AV140" i="5" s="1"/>
  <c r="AV141" i="5" s="1"/>
  <c r="AV142" i="5" s="1"/>
  <c r="AV143" i="5" s="1"/>
  <c r="AW132" i="5" s="1"/>
  <c r="AW133" i="5" s="1"/>
  <c r="AW134" i="5" s="1"/>
  <c r="AW135" i="5" s="1"/>
  <c r="AW136" i="5" s="1"/>
  <c r="AW137" i="5" s="1"/>
  <c r="AW138" i="5" s="1"/>
  <c r="AW139" i="5" s="1"/>
  <c r="AW140" i="5" s="1"/>
  <c r="AW141" i="5" s="1"/>
  <c r="AW142" i="5" s="1"/>
  <c r="AW143" i="5" s="1"/>
  <c r="AX132" i="5" s="1"/>
  <c r="AX133" i="5" s="1"/>
  <c r="AX134" i="5" s="1"/>
  <c r="AX135" i="5" s="1"/>
  <c r="AX136" i="5" s="1"/>
  <c r="AX137" i="5" s="1"/>
  <c r="AX138" i="5" s="1"/>
  <c r="AX139" i="5" s="1"/>
  <c r="AX140" i="5" s="1"/>
  <c r="AX141" i="5" s="1"/>
  <c r="AX142" i="5" s="1"/>
  <c r="AX143" i="5" s="1"/>
  <c r="AY132" i="5" s="1"/>
  <c r="AY133" i="5" s="1"/>
  <c r="AY134" i="5" s="1"/>
  <c r="AY135" i="5" s="1"/>
  <c r="AY136" i="5" s="1"/>
  <c r="AY137" i="5" s="1"/>
  <c r="AY138" i="5" s="1"/>
  <c r="AY139" i="5" s="1"/>
  <c r="AY140" i="5" s="1"/>
  <c r="AY141" i="5" s="1"/>
  <c r="AY142" i="5" s="1"/>
  <c r="AY143" i="5" s="1"/>
  <c r="AZ132" i="5" s="1"/>
  <c r="AZ133" i="5" s="1"/>
  <c r="AZ134" i="5" s="1"/>
  <c r="AZ135" i="5" s="1"/>
  <c r="AZ136" i="5" s="1"/>
  <c r="AZ137" i="5" s="1"/>
  <c r="AZ138" i="5" s="1"/>
  <c r="AZ139" i="5" s="1"/>
  <c r="AZ140" i="5" s="1"/>
  <c r="AZ141" i="5" s="1"/>
  <c r="AZ142" i="5" s="1"/>
  <c r="AZ143" i="5" s="1"/>
  <c r="BA132" i="5" s="1"/>
  <c r="BA133" i="5" s="1"/>
  <c r="BA134" i="5" s="1"/>
  <c r="BA135" i="5" s="1"/>
  <c r="BA136" i="5" s="1"/>
  <c r="BA137" i="5" s="1"/>
  <c r="BA138" i="5" s="1"/>
  <c r="BA139" i="5" s="1"/>
  <c r="BA140" i="5" s="1"/>
  <c r="BA141" i="5" s="1"/>
  <c r="BA142" i="5" s="1"/>
  <c r="BA143" i="5" s="1"/>
  <c r="BB132" i="5" s="1"/>
  <c r="BB133" i="5" s="1"/>
  <c r="BB134" i="5" s="1"/>
  <c r="BB135" i="5" s="1"/>
  <c r="BB136" i="5" s="1"/>
  <c r="BB137" i="5" s="1"/>
  <c r="BB138" i="5" s="1"/>
  <c r="BB139" i="5" s="1"/>
  <c r="BB140" i="5" s="1"/>
  <c r="BB141" i="5" s="1"/>
  <c r="BB142" i="5" s="1"/>
  <c r="BB143" i="5" s="1"/>
  <c r="BC132" i="5" s="1"/>
  <c r="BC133" i="5" s="1"/>
  <c r="BC134" i="5" s="1"/>
  <c r="BC135" i="5" s="1"/>
  <c r="BC136" i="5" s="1"/>
  <c r="BC137" i="5" s="1"/>
  <c r="BC138" i="5" s="1"/>
  <c r="BC139" i="5" s="1"/>
  <c r="BC140" i="5" s="1"/>
  <c r="BC141" i="5" s="1"/>
  <c r="BC142" i="5" s="1"/>
  <c r="BC143" i="5" s="1"/>
  <c r="BD132" i="5" s="1"/>
  <c r="BD133" i="5" s="1"/>
  <c r="BD134" i="5" s="1"/>
  <c r="BD135" i="5" s="1"/>
  <c r="BD136" i="5" s="1"/>
  <c r="BD137" i="5" s="1"/>
  <c r="BD138" i="5" s="1"/>
  <c r="BD139" i="5" s="1"/>
  <c r="BD140" i="5" s="1"/>
  <c r="BD141" i="5" s="1"/>
  <c r="BD142" i="5" s="1"/>
  <c r="BD143" i="5" s="1"/>
  <c r="BE132" i="5" s="1"/>
  <c r="BE133" i="5" s="1"/>
  <c r="BE134" i="5" s="1"/>
  <c r="BE135" i="5" s="1"/>
  <c r="BE136" i="5" s="1"/>
  <c r="BE137" i="5" s="1"/>
  <c r="BE138" i="5" s="1"/>
  <c r="BE139" i="5" s="1"/>
  <c r="BE140" i="5" s="1"/>
  <c r="BE141" i="5" s="1"/>
  <c r="BE142" i="5" s="1"/>
  <c r="BE143" i="5" s="1"/>
  <c r="BF132" i="5" s="1"/>
  <c r="BF133" i="5" s="1"/>
  <c r="BF134" i="5" s="1"/>
  <c r="BF135" i="5" s="1"/>
  <c r="BF136" i="5" s="1"/>
  <c r="BF137" i="5" s="1"/>
  <c r="BF138" i="5" s="1"/>
  <c r="BF139" i="5" s="1"/>
  <c r="BF140" i="5" s="1"/>
  <c r="BF141" i="5" s="1"/>
  <c r="BF142" i="5" s="1"/>
  <c r="BF143" i="5" s="1"/>
  <c r="BG132" i="5" s="1"/>
  <c r="BG133" i="5" s="1"/>
  <c r="BG134" i="5" s="1"/>
  <c r="BG135" i="5" s="1"/>
  <c r="BG136" i="5" s="1"/>
  <c r="BG137" i="5" s="1"/>
  <c r="BG138" i="5" s="1"/>
  <c r="BG139" i="5" s="1"/>
  <c r="BG140" i="5" s="1"/>
  <c r="BG141" i="5" s="1"/>
  <c r="BG142" i="5" s="1"/>
  <c r="BG143" i="5" s="1"/>
  <c r="BH132" i="5" s="1"/>
  <c r="BH133" i="5" s="1"/>
  <c r="BH134" i="5" s="1"/>
  <c r="BH135" i="5" s="1"/>
  <c r="BH136" i="5" s="1"/>
  <c r="BH137" i="5" s="1"/>
  <c r="BH138" i="5" s="1"/>
  <c r="BH139" i="5" s="1"/>
  <c r="BH140" i="5" s="1"/>
  <c r="BH141" i="5" s="1"/>
  <c r="BH142" i="5" s="1"/>
  <c r="BH143" i="5" s="1"/>
  <c r="BI132" i="5" s="1"/>
  <c r="BI133" i="5" s="1"/>
  <c r="BI134" i="5" s="1"/>
  <c r="BI135" i="5" s="1"/>
  <c r="BI136" i="5" s="1"/>
  <c r="BI137" i="5" s="1"/>
  <c r="BI138" i="5" s="1"/>
  <c r="BI139" i="5" s="1"/>
  <c r="BI140" i="5" s="1"/>
  <c r="BI141" i="5" s="1"/>
  <c r="BI142" i="5" s="1"/>
  <c r="BI143" i="5" s="1"/>
  <c r="BJ132" i="5" s="1"/>
  <c r="BJ133" i="5" s="1"/>
  <c r="BJ134" i="5" s="1"/>
  <c r="BJ135" i="5" s="1"/>
  <c r="BJ136" i="5" s="1"/>
  <c r="BJ137" i="5" s="1"/>
  <c r="BJ138" i="5" s="1"/>
  <c r="BJ139" i="5" s="1"/>
  <c r="BJ140" i="5" s="1"/>
  <c r="BJ141" i="5" s="1"/>
  <c r="BJ142" i="5" s="1"/>
  <c r="BJ143" i="5" s="1"/>
  <c r="D132" i="5"/>
  <c r="D133" i="5" s="1"/>
  <c r="D134" i="5" s="1"/>
  <c r="D135" i="5" s="1"/>
  <c r="D136" i="5" s="1"/>
  <c r="D137" i="5" s="1"/>
  <c r="D138" i="5" s="1"/>
  <c r="D139" i="5" s="1"/>
  <c r="D140" i="5" s="1"/>
  <c r="D141" i="5" s="1"/>
  <c r="D142" i="5" s="1"/>
  <c r="D143" i="5" s="1"/>
  <c r="E132" i="5" s="1"/>
  <c r="E133" i="5" s="1"/>
  <c r="E134" i="5" s="1"/>
  <c r="E135" i="5" s="1"/>
  <c r="E136" i="5" s="1"/>
  <c r="E137" i="5" s="1"/>
  <c r="E138" i="5" s="1"/>
  <c r="E139" i="5" s="1"/>
  <c r="E140" i="5" s="1"/>
  <c r="E141" i="5" s="1"/>
  <c r="E142" i="5" s="1"/>
  <c r="E143" i="5" s="1"/>
  <c r="F132" i="5" s="1"/>
  <c r="F133" i="5" s="1"/>
  <c r="F134" i="5" s="1"/>
  <c r="F135" i="5" s="1"/>
  <c r="F136" i="5" s="1"/>
  <c r="F137" i="5" s="1"/>
  <c r="F138" i="5" s="1"/>
  <c r="F139" i="5" s="1"/>
  <c r="F140" i="5" s="1"/>
  <c r="F141" i="5" s="1"/>
  <c r="F142" i="5" s="1"/>
  <c r="F143" i="5" s="1"/>
  <c r="G132" i="5" s="1"/>
  <c r="G133" i="5" s="1"/>
  <c r="G134" i="5" s="1"/>
  <c r="G135" i="5" s="1"/>
  <c r="G136" i="5" s="1"/>
  <c r="G137" i="5" s="1"/>
  <c r="G138" i="5" s="1"/>
  <c r="G139" i="5" s="1"/>
  <c r="G140" i="5" s="1"/>
  <c r="G141" i="5" s="1"/>
  <c r="G142" i="5" s="1"/>
  <c r="G143" i="5" s="1"/>
  <c r="H132" i="5" s="1"/>
  <c r="H133" i="5" s="1"/>
  <c r="H134" i="5" s="1"/>
  <c r="H135" i="5" s="1"/>
  <c r="H136" i="5" s="1"/>
  <c r="H137" i="5" s="1"/>
  <c r="H138" i="5" s="1"/>
  <c r="H139" i="5" s="1"/>
  <c r="H140" i="5" s="1"/>
  <c r="H141" i="5" s="1"/>
  <c r="H142" i="5" s="1"/>
  <c r="H143" i="5" s="1"/>
  <c r="I132" i="5" s="1"/>
  <c r="I133" i="5" s="1"/>
  <c r="I134" i="5" s="1"/>
  <c r="I135" i="5" s="1"/>
  <c r="I136" i="5" s="1"/>
  <c r="I137" i="5" s="1"/>
  <c r="I138" i="5" s="1"/>
  <c r="I139" i="5" s="1"/>
  <c r="I140" i="5" s="1"/>
  <c r="I141" i="5" s="1"/>
  <c r="I142" i="5" s="1"/>
  <c r="I143" i="5" s="1"/>
  <c r="J132" i="5" s="1"/>
  <c r="J133" i="5" s="1"/>
  <c r="J134" i="5" s="1"/>
  <c r="J135" i="5" s="1"/>
  <c r="J136" i="5" s="1"/>
  <c r="J137" i="5" s="1"/>
  <c r="J138" i="5" s="1"/>
  <c r="J139" i="5" s="1"/>
  <c r="J140" i="5" s="1"/>
  <c r="J141" i="5" s="1"/>
  <c r="J142" i="5" s="1"/>
  <c r="J143" i="5" s="1"/>
  <c r="K132" i="5" s="1"/>
  <c r="K133" i="5" s="1"/>
  <c r="K134" i="5" s="1"/>
  <c r="K135" i="5" s="1"/>
  <c r="K136" i="5" s="1"/>
  <c r="K137" i="5" s="1"/>
  <c r="K138" i="5" s="1"/>
  <c r="K139" i="5" s="1"/>
  <c r="K140" i="5" s="1"/>
  <c r="K141" i="5" s="1"/>
  <c r="K142" i="5" s="1"/>
  <c r="K143" i="5" s="1"/>
  <c r="L132" i="5" s="1"/>
  <c r="L133" i="5" s="1"/>
  <c r="L134" i="5" s="1"/>
  <c r="L135" i="5" s="1"/>
  <c r="L136" i="5" s="1"/>
  <c r="L137" i="5" s="1"/>
  <c r="L138" i="5" s="1"/>
  <c r="L139" i="5" s="1"/>
  <c r="L140" i="5" s="1"/>
  <c r="L141" i="5" s="1"/>
  <c r="L142" i="5" s="1"/>
  <c r="L143" i="5" s="1"/>
  <c r="M132" i="5" s="1"/>
  <c r="M133" i="5" s="1"/>
  <c r="M134" i="5" s="1"/>
  <c r="M135" i="5" s="1"/>
  <c r="M136" i="5" s="1"/>
  <c r="M137" i="5" s="1"/>
  <c r="M138" i="5" s="1"/>
  <c r="M139" i="5" s="1"/>
  <c r="M140" i="5" s="1"/>
  <c r="M141" i="5" s="1"/>
  <c r="M142" i="5" s="1"/>
  <c r="M143" i="5" s="1"/>
  <c r="N132" i="5" s="1"/>
  <c r="N133" i="5" s="1"/>
  <c r="N134" i="5" s="1"/>
  <c r="N135" i="5" s="1"/>
  <c r="N136" i="5" s="1"/>
  <c r="N137" i="5" s="1"/>
  <c r="N138" i="5" s="1"/>
  <c r="N139" i="5" s="1"/>
  <c r="N140" i="5" s="1"/>
  <c r="N141" i="5" s="1"/>
  <c r="N142" i="5" s="1"/>
  <c r="N143" i="5" s="1"/>
  <c r="O132" i="5" s="1"/>
  <c r="O133" i="5" s="1"/>
  <c r="O134" i="5" s="1"/>
  <c r="O135" i="5" s="1"/>
  <c r="O136" i="5" s="1"/>
  <c r="O137" i="5" s="1"/>
  <c r="O138" i="5" s="1"/>
  <c r="O139" i="5" s="1"/>
  <c r="O140" i="5" s="1"/>
  <c r="O141" i="5" s="1"/>
  <c r="O142" i="5" s="1"/>
  <c r="O143" i="5" s="1"/>
  <c r="P132" i="5" s="1"/>
  <c r="P133" i="5" s="1"/>
  <c r="P134" i="5" s="1"/>
  <c r="P135" i="5" s="1"/>
  <c r="P136" i="5" s="1"/>
  <c r="P137" i="5" s="1"/>
  <c r="P138" i="5" s="1"/>
  <c r="P139" i="5" s="1"/>
  <c r="P140" i="5" s="1"/>
  <c r="P141" i="5" s="1"/>
  <c r="P142" i="5" s="1"/>
  <c r="P143" i="5" s="1"/>
  <c r="Q132" i="5" s="1"/>
  <c r="Q133" i="5" s="1"/>
  <c r="Q134" i="5" s="1"/>
  <c r="Q135" i="5" s="1"/>
  <c r="Q136" i="5" s="1"/>
  <c r="Q137" i="5" s="1"/>
  <c r="Q138" i="5" s="1"/>
  <c r="Q139" i="5" s="1"/>
  <c r="Q140" i="5" s="1"/>
  <c r="Q141" i="5" s="1"/>
  <c r="Q142" i="5" s="1"/>
  <c r="Q143" i="5" s="1"/>
  <c r="R132" i="5" s="1"/>
  <c r="R133" i="5" s="1"/>
  <c r="R134" i="5" s="1"/>
  <c r="R135" i="5" s="1"/>
  <c r="R136" i="5" s="1"/>
  <c r="R137" i="5" s="1"/>
  <c r="R138" i="5" s="1"/>
  <c r="R139" i="5" s="1"/>
  <c r="R140" i="5" s="1"/>
  <c r="R141" i="5" s="1"/>
  <c r="R142" i="5" s="1"/>
  <c r="R143" i="5" s="1"/>
  <c r="S132" i="5" s="1"/>
  <c r="S133" i="5" s="1"/>
  <c r="S134" i="5" s="1"/>
  <c r="S135" i="5" s="1"/>
  <c r="S136" i="5" s="1"/>
  <c r="S137" i="5" s="1"/>
  <c r="S138" i="5" s="1"/>
  <c r="S139" i="5" s="1"/>
  <c r="S140" i="5" s="1"/>
  <c r="S141" i="5" s="1"/>
  <c r="S142" i="5" s="1"/>
  <c r="S143" i="5" s="1"/>
  <c r="T132" i="5" s="1"/>
  <c r="T133" i="5" s="1"/>
  <c r="T134" i="5" s="1"/>
  <c r="T135" i="5" s="1"/>
  <c r="T136" i="5" s="1"/>
  <c r="T137" i="5" s="1"/>
  <c r="T138" i="5" s="1"/>
  <c r="T139" i="5" s="1"/>
  <c r="T140" i="5" s="1"/>
  <c r="T141" i="5" s="1"/>
  <c r="T142" i="5" s="1"/>
  <c r="T143" i="5" s="1"/>
  <c r="U132" i="5" s="1"/>
  <c r="U133" i="5" s="1"/>
  <c r="U134" i="5" s="1"/>
  <c r="U135" i="5" s="1"/>
  <c r="U136" i="5" s="1"/>
  <c r="U137" i="5" s="1"/>
  <c r="U138" i="5" s="1"/>
  <c r="U139" i="5" s="1"/>
  <c r="U140" i="5" s="1"/>
  <c r="U141" i="5" s="1"/>
  <c r="U142" i="5" s="1"/>
  <c r="U143" i="5" s="1"/>
  <c r="V132" i="5" s="1"/>
  <c r="V133" i="5" s="1"/>
  <c r="V134" i="5" s="1"/>
  <c r="V135" i="5" s="1"/>
  <c r="V136" i="5" s="1"/>
  <c r="V137" i="5" s="1"/>
  <c r="V138" i="5" s="1"/>
  <c r="V139" i="5" s="1"/>
  <c r="V140" i="5" s="1"/>
  <c r="V141" i="5" s="1"/>
  <c r="V142" i="5" s="1"/>
  <c r="V143" i="5" s="1"/>
  <c r="W132" i="5" s="1"/>
  <c r="W133" i="5" s="1"/>
  <c r="W134" i="5" s="1"/>
  <c r="W135" i="5" s="1"/>
  <c r="W136" i="5" s="1"/>
  <c r="W137" i="5" s="1"/>
  <c r="W138" i="5" s="1"/>
  <c r="W139" i="5" s="1"/>
  <c r="W140" i="5" s="1"/>
  <c r="W141" i="5" s="1"/>
  <c r="W142" i="5" s="1"/>
  <c r="W143" i="5" s="1"/>
  <c r="X132" i="5" s="1"/>
  <c r="X133" i="5" s="1"/>
  <c r="X134" i="5" s="1"/>
  <c r="X135" i="5" s="1"/>
  <c r="X136" i="5" s="1"/>
  <c r="X137" i="5" s="1"/>
  <c r="X138" i="5" s="1"/>
  <c r="X139" i="5" s="1"/>
  <c r="X140" i="5" s="1"/>
  <c r="X141" i="5" s="1"/>
  <c r="X142" i="5" s="1"/>
  <c r="X143" i="5" s="1"/>
  <c r="Y132" i="5" s="1"/>
  <c r="Y133" i="5" s="1"/>
  <c r="Y134" i="5" s="1"/>
  <c r="Y135" i="5" s="1"/>
  <c r="Y136" i="5" s="1"/>
  <c r="Y137" i="5" s="1"/>
  <c r="Y138" i="5" s="1"/>
  <c r="Y139" i="5" s="1"/>
  <c r="Y140" i="5" s="1"/>
  <c r="Y141" i="5" s="1"/>
  <c r="Y142" i="5" s="1"/>
  <c r="Y143" i="5" s="1"/>
  <c r="Z132" i="5" s="1"/>
  <c r="Z133" i="5" s="1"/>
  <c r="Z134" i="5" s="1"/>
  <c r="Z135" i="5" s="1"/>
  <c r="Z136" i="5" s="1"/>
  <c r="Z137" i="5" s="1"/>
  <c r="Z138" i="5" s="1"/>
  <c r="Z139" i="5" s="1"/>
  <c r="Z140" i="5" s="1"/>
  <c r="Z141" i="5" s="1"/>
  <c r="Z142" i="5" s="1"/>
  <c r="Z143" i="5" s="1"/>
  <c r="AA132" i="5" s="1"/>
  <c r="AA133" i="5" s="1"/>
  <c r="AA134" i="5" s="1"/>
  <c r="AA135" i="5" s="1"/>
  <c r="AA136" i="5" s="1"/>
  <c r="AA137" i="5" s="1"/>
  <c r="AA138" i="5" s="1"/>
  <c r="AA139" i="5" s="1"/>
  <c r="AA140" i="5" s="1"/>
  <c r="AA141" i="5" s="1"/>
  <c r="AA142" i="5" s="1"/>
  <c r="AA143" i="5" s="1"/>
  <c r="AB132" i="5" s="1"/>
  <c r="AB133" i="5" s="1"/>
  <c r="AB134" i="5" s="1"/>
  <c r="AB135" i="5" s="1"/>
  <c r="AB136" i="5" s="1"/>
  <c r="AB137" i="5" s="1"/>
  <c r="AB138" i="5" s="1"/>
  <c r="AB139" i="5" s="1"/>
  <c r="AB140" i="5" s="1"/>
  <c r="AB141" i="5" s="1"/>
  <c r="AB142" i="5" s="1"/>
  <c r="AB143" i="5" s="1"/>
  <c r="AC132" i="5" s="1"/>
  <c r="AC133" i="5" s="1"/>
  <c r="AC134" i="5" s="1"/>
  <c r="AC135" i="5" s="1"/>
  <c r="AC136" i="5" s="1"/>
  <c r="AC137" i="5" s="1"/>
  <c r="AC138" i="5" s="1"/>
  <c r="AC139" i="5" s="1"/>
  <c r="AC140" i="5" s="1"/>
  <c r="AC141" i="5" s="1"/>
  <c r="AC142" i="5" s="1"/>
  <c r="AC143" i="5" s="1"/>
  <c r="AD132" i="5" s="1"/>
  <c r="AD133" i="5" s="1"/>
  <c r="AD134" i="5" s="1"/>
  <c r="AD135" i="5" s="1"/>
  <c r="AD136" i="5" s="1"/>
  <c r="AD137" i="5" s="1"/>
  <c r="AD138" i="5" s="1"/>
  <c r="AD139" i="5" s="1"/>
  <c r="AD140" i="5" s="1"/>
  <c r="AD141" i="5" s="1"/>
  <c r="AD142" i="5" s="1"/>
  <c r="AD143" i="5" s="1"/>
  <c r="AE132" i="5" s="1"/>
  <c r="AE133" i="5" s="1"/>
  <c r="AE134" i="5" s="1"/>
  <c r="AE135" i="5" s="1"/>
  <c r="AE136" i="5" s="1"/>
  <c r="AE137" i="5" s="1"/>
  <c r="AE138" i="5" s="1"/>
  <c r="AE139" i="5" s="1"/>
  <c r="AE140" i="5" s="1"/>
  <c r="AE141" i="5" s="1"/>
  <c r="AE142" i="5" s="1"/>
  <c r="AE143" i="5" s="1"/>
  <c r="AI113" i="5"/>
  <c r="AI114" i="5" s="1"/>
  <c r="AI115" i="5" s="1"/>
  <c r="AI116" i="5" s="1"/>
  <c r="AI117" i="5" s="1"/>
  <c r="AI118" i="5" s="1"/>
  <c r="AI119" i="5" s="1"/>
  <c r="AI120" i="5" s="1"/>
  <c r="AI121" i="5" s="1"/>
  <c r="AI122" i="5" s="1"/>
  <c r="AI123" i="5" s="1"/>
  <c r="AI124" i="5" s="1"/>
  <c r="AJ113" i="5" s="1"/>
  <c r="AJ114" i="5" s="1"/>
  <c r="AJ115" i="5" s="1"/>
  <c r="AJ116" i="5" s="1"/>
  <c r="AJ117" i="5" s="1"/>
  <c r="AJ118" i="5" s="1"/>
  <c r="AJ119" i="5" s="1"/>
  <c r="AJ120" i="5" s="1"/>
  <c r="AJ121" i="5" s="1"/>
  <c r="AJ122" i="5" s="1"/>
  <c r="AJ123" i="5" s="1"/>
  <c r="AJ124" i="5" s="1"/>
  <c r="AK113" i="5" s="1"/>
  <c r="AK114" i="5" s="1"/>
  <c r="AK115" i="5" s="1"/>
  <c r="AK116" i="5" s="1"/>
  <c r="AK117" i="5" s="1"/>
  <c r="AK118" i="5" s="1"/>
  <c r="AK119" i="5" s="1"/>
  <c r="AK120" i="5" s="1"/>
  <c r="AK121" i="5" s="1"/>
  <c r="AK122" i="5" s="1"/>
  <c r="AK123" i="5" s="1"/>
  <c r="AK124" i="5" s="1"/>
  <c r="AL113" i="5" s="1"/>
  <c r="AL114" i="5" s="1"/>
  <c r="AL115" i="5" s="1"/>
  <c r="AL116" i="5" s="1"/>
  <c r="AL117" i="5" s="1"/>
  <c r="AL118" i="5" s="1"/>
  <c r="AL119" i="5" s="1"/>
  <c r="AL120" i="5" s="1"/>
  <c r="AL121" i="5" s="1"/>
  <c r="AL122" i="5" s="1"/>
  <c r="AL123" i="5" s="1"/>
  <c r="AL124" i="5" s="1"/>
  <c r="AM113" i="5" s="1"/>
  <c r="AM114" i="5" s="1"/>
  <c r="AM115" i="5" s="1"/>
  <c r="AM116" i="5" s="1"/>
  <c r="AM117" i="5" s="1"/>
  <c r="AM118" i="5" s="1"/>
  <c r="AM119" i="5" s="1"/>
  <c r="AM120" i="5" s="1"/>
  <c r="AM121" i="5" s="1"/>
  <c r="AM122" i="5" s="1"/>
  <c r="AM123" i="5" s="1"/>
  <c r="AM124" i="5" s="1"/>
  <c r="AN113" i="5" s="1"/>
  <c r="AN114" i="5" s="1"/>
  <c r="AN115" i="5" s="1"/>
  <c r="AN116" i="5" s="1"/>
  <c r="AN117" i="5" s="1"/>
  <c r="AN118" i="5" s="1"/>
  <c r="AN119" i="5" s="1"/>
  <c r="AN120" i="5" s="1"/>
  <c r="AN121" i="5" s="1"/>
  <c r="AN122" i="5" s="1"/>
  <c r="AN123" i="5" s="1"/>
  <c r="AN124" i="5" s="1"/>
  <c r="AO113" i="5" s="1"/>
  <c r="AO114" i="5" s="1"/>
  <c r="AO115" i="5" s="1"/>
  <c r="AO116" i="5" s="1"/>
  <c r="AO117" i="5" s="1"/>
  <c r="AO118" i="5" s="1"/>
  <c r="AO119" i="5" s="1"/>
  <c r="AO120" i="5" s="1"/>
  <c r="AO121" i="5" s="1"/>
  <c r="AO122" i="5" s="1"/>
  <c r="AO123" i="5" s="1"/>
  <c r="AO124" i="5" s="1"/>
  <c r="AP113" i="5" s="1"/>
  <c r="AP114" i="5" s="1"/>
  <c r="AP115" i="5" s="1"/>
  <c r="AP116" i="5" s="1"/>
  <c r="AP117" i="5" s="1"/>
  <c r="AP118" i="5" s="1"/>
  <c r="AP119" i="5" s="1"/>
  <c r="AP120" i="5" s="1"/>
  <c r="AP121" i="5" s="1"/>
  <c r="AP122" i="5" s="1"/>
  <c r="AP123" i="5" s="1"/>
  <c r="AP124" i="5" s="1"/>
  <c r="AQ113" i="5" s="1"/>
  <c r="AQ114" i="5" s="1"/>
  <c r="AQ115" i="5" s="1"/>
  <c r="AQ116" i="5" s="1"/>
  <c r="AQ117" i="5" s="1"/>
  <c r="AQ118" i="5" s="1"/>
  <c r="AQ119" i="5" s="1"/>
  <c r="AQ120" i="5" s="1"/>
  <c r="AQ121" i="5" s="1"/>
  <c r="AQ122" i="5" s="1"/>
  <c r="AQ123" i="5" s="1"/>
  <c r="AQ124" i="5" s="1"/>
  <c r="AR113" i="5" s="1"/>
  <c r="AR114" i="5" s="1"/>
  <c r="AR115" i="5" s="1"/>
  <c r="AR116" i="5" s="1"/>
  <c r="AR117" i="5" s="1"/>
  <c r="AR118" i="5" s="1"/>
  <c r="AR119" i="5" s="1"/>
  <c r="AR120" i="5" s="1"/>
  <c r="AR121" i="5" s="1"/>
  <c r="AR122" i="5" s="1"/>
  <c r="AR123" i="5" s="1"/>
  <c r="AR124" i="5" s="1"/>
  <c r="AS113" i="5" s="1"/>
  <c r="AS114" i="5" s="1"/>
  <c r="AS115" i="5" s="1"/>
  <c r="AS116" i="5" s="1"/>
  <c r="AS117" i="5" s="1"/>
  <c r="AS118" i="5" s="1"/>
  <c r="AS119" i="5" s="1"/>
  <c r="AS120" i="5" s="1"/>
  <c r="AS121" i="5" s="1"/>
  <c r="AS122" i="5" s="1"/>
  <c r="AS123" i="5" s="1"/>
  <c r="AS124" i="5" s="1"/>
  <c r="AT113" i="5" s="1"/>
  <c r="AT114" i="5" s="1"/>
  <c r="AT115" i="5" s="1"/>
  <c r="AT116" i="5" s="1"/>
  <c r="AT117" i="5" s="1"/>
  <c r="AT118" i="5" s="1"/>
  <c r="AT119" i="5" s="1"/>
  <c r="AT120" i="5" s="1"/>
  <c r="AT121" i="5" s="1"/>
  <c r="AT122" i="5" s="1"/>
  <c r="AT123" i="5" s="1"/>
  <c r="AT124" i="5" s="1"/>
  <c r="AU113" i="5" s="1"/>
  <c r="AU114" i="5" s="1"/>
  <c r="AU115" i="5" s="1"/>
  <c r="AU116" i="5" s="1"/>
  <c r="AU117" i="5" s="1"/>
  <c r="AU118" i="5" s="1"/>
  <c r="AU119" i="5" s="1"/>
  <c r="AU120" i="5" s="1"/>
  <c r="AU121" i="5" s="1"/>
  <c r="AU122" i="5" s="1"/>
  <c r="AU123" i="5" s="1"/>
  <c r="AU124" i="5" s="1"/>
  <c r="AV113" i="5" s="1"/>
  <c r="AV114" i="5" s="1"/>
  <c r="AV115" i="5" s="1"/>
  <c r="AV116" i="5" s="1"/>
  <c r="AV117" i="5" s="1"/>
  <c r="AV118" i="5" s="1"/>
  <c r="AV119" i="5" s="1"/>
  <c r="AV120" i="5" s="1"/>
  <c r="AV121" i="5" s="1"/>
  <c r="AV122" i="5" s="1"/>
  <c r="AV123" i="5" s="1"/>
  <c r="AV124" i="5" s="1"/>
  <c r="AW113" i="5" s="1"/>
  <c r="AW114" i="5" s="1"/>
  <c r="AW115" i="5" s="1"/>
  <c r="AW116" i="5" s="1"/>
  <c r="AW117" i="5" s="1"/>
  <c r="AW118" i="5" s="1"/>
  <c r="AW119" i="5" s="1"/>
  <c r="AW120" i="5" s="1"/>
  <c r="AW121" i="5" s="1"/>
  <c r="AW122" i="5" s="1"/>
  <c r="AW123" i="5" s="1"/>
  <c r="AW124" i="5" s="1"/>
  <c r="AX113" i="5" s="1"/>
  <c r="AX114" i="5" s="1"/>
  <c r="AX115" i="5" s="1"/>
  <c r="AX116" i="5" s="1"/>
  <c r="AX117" i="5" s="1"/>
  <c r="AX118" i="5" s="1"/>
  <c r="AX119" i="5" s="1"/>
  <c r="AX120" i="5" s="1"/>
  <c r="AX121" i="5" s="1"/>
  <c r="AX122" i="5" s="1"/>
  <c r="AX123" i="5" s="1"/>
  <c r="AX124" i="5" s="1"/>
  <c r="AY113" i="5" s="1"/>
  <c r="AY114" i="5" s="1"/>
  <c r="AY115" i="5" s="1"/>
  <c r="AY116" i="5" s="1"/>
  <c r="AY117" i="5" s="1"/>
  <c r="AY118" i="5" s="1"/>
  <c r="AY119" i="5" s="1"/>
  <c r="AY120" i="5" s="1"/>
  <c r="AY121" i="5" s="1"/>
  <c r="AY122" i="5" s="1"/>
  <c r="AY123" i="5" s="1"/>
  <c r="AY124" i="5" s="1"/>
  <c r="AZ113" i="5" s="1"/>
  <c r="AZ114" i="5" s="1"/>
  <c r="AZ115" i="5" s="1"/>
  <c r="AZ116" i="5" s="1"/>
  <c r="AZ117" i="5" s="1"/>
  <c r="AZ118" i="5" s="1"/>
  <c r="AZ119" i="5" s="1"/>
  <c r="AZ120" i="5" s="1"/>
  <c r="AZ121" i="5" s="1"/>
  <c r="AZ122" i="5" s="1"/>
  <c r="AZ123" i="5" s="1"/>
  <c r="AZ124" i="5" s="1"/>
  <c r="BA113" i="5" s="1"/>
  <c r="BA114" i="5" s="1"/>
  <c r="BA115" i="5" s="1"/>
  <c r="BA116" i="5" s="1"/>
  <c r="BA117" i="5" s="1"/>
  <c r="BA118" i="5" s="1"/>
  <c r="BA119" i="5" s="1"/>
  <c r="BA120" i="5" s="1"/>
  <c r="BA121" i="5" s="1"/>
  <c r="BA122" i="5" s="1"/>
  <c r="BA123" i="5" s="1"/>
  <c r="BA124" i="5" s="1"/>
  <c r="BB113" i="5" s="1"/>
  <c r="BB114" i="5" s="1"/>
  <c r="BB115" i="5" s="1"/>
  <c r="BB116" i="5" s="1"/>
  <c r="BB117" i="5" s="1"/>
  <c r="BB118" i="5" s="1"/>
  <c r="BB119" i="5" s="1"/>
  <c r="BB120" i="5" s="1"/>
  <c r="BB121" i="5" s="1"/>
  <c r="BB122" i="5" s="1"/>
  <c r="BB123" i="5" s="1"/>
  <c r="BB124" i="5" s="1"/>
  <c r="BC113" i="5" s="1"/>
  <c r="BC114" i="5" s="1"/>
  <c r="BC115" i="5" s="1"/>
  <c r="BC116" i="5" s="1"/>
  <c r="BC117" i="5" s="1"/>
  <c r="BC118" i="5" s="1"/>
  <c r="BC119" i="5" s="1"/>
  <c r="BC120" i="5" s="1"/>
  <c r="BC121" i="5" s="1"/>
  <c r="BC122" i="5" s="1"/>
  <c r="BC123" i="5" s="1"/>
  <c r="BC124" i="5" s="1"/>
  <c r="BD113" i="5" s="1"/>
  <c r="BD114" i="5" s="1"/>
  <c r="BD115" i="5" s="1"/>
  <c r="BD116" i="5" s="1"/>
  <c r="BD117" i="5" s="1"/>
  <c r="BD118" i="5" s="1"/>
  <c r="BD119" i="5" s="1"/>
  <c r="BD120" i="5" s="1"/>
  <c r="BD121" i="5" s="1"/>
  <c r="BD122" i="5" s="1"/>
  <c r="BD123" i="5" s="1"/>
  <c r="BD124" i="5" s="1"/>
  <c r="BE113" i="5" s="1"/>
  <c r="BE114" i="5" s="1"/>
  <c r="BE115" i="5" s="1"/>
  <c r="BE116" i="5" s="1"/>
  <c r="BE117" i="5" s="1"/>
  <c r="BE118" i="5" s="1"/>
  <c r="BE119" i="5" s="1"/>
  <c r="BE120" i="5" s="1"/>
  <c r="BE121" i="5" s="1"/>
  <c r="BE122" i="5" s="1"/>
  <c r="BE123" i="5" s="1"/>
  <c r="BE124" i="5" s="1"/>
  <c r="BF113" i="5" s="1"/>
  <c r="BF114" i="5" s="1"/>
  <c r="BF115" i="5" s="1"/>
  <c r="BF116" i="5" s="1"/>
  <c r="BF117" i="5" s="1"/>
  <c r="BF118" i="5" s="1"/>
  <c r="BF119" i="5" s="1"/>
  <c r="BF120" i="5" s="1"/>
  <c r="BF121" i="5" s="1"/>
  <c r="BF122" i="5" s="1"/>
  <c r="BF123" i="5" s="1"/>
  <c r="BF124" i="5" s="1"/>
  <c r="BG113" i="5" s="1"/>
  <c r="BG114" i="5" s="1"/>
  <c r="BG115" i="5" s="1"/>
  <c r="BG116" i="5" s="1"/>
  <c r="BG117" i="5" s="1"/>
  <c r="BG118" i="5" s="1"/>
  <c r="BG119" i="5" s="1"/>
  <c r="BG120" i="5" s="1"/>
  <c r="BG121" i="5" s="1"/>
  <c r="BG122" i="5" s="1"/>
  <c r="BG123" i="5" s="1"/>
  <c r="BG124" i="5" s="1"/>
  <c r="BH113" i="5" s="1"/>
  <c r="BH114" i="5" s="1"/>
  <c r="BH115" i="5" s="1"/>
  <c r="BH116" i="5" s="1"/>
  <c r="BH117" i="5" s="1"/>
  <c r="BH118" i="5" s="1"/>
  <c r="BH119" i="5" s="1"/>
  <c r="BH120" i="5" s="1"/>
  <c r="BH121" i="5" s="1"/>
  <c r="BH122" i="5" s="1"/>
  <c r="BH123" i="5" s="1"/>
  <c r="BH124" i="5" s="1"/>
  <c r="BI113" i="5" s="1"/>
  <c r="BI114" i="5" s="1"/>
  <c r="BI115" i="5" s="1"/>
  <c r="BI116" i="5" s="1"/>
  <c r="BI117" i="5" s="1"/>
  <c r="BI118" i="5" s="1"/>
  <c r="BI119" i="5" s="1"/>
  <c r="BI120" i="5" s="1"/>
  <c r="BI121" i="5" s="1"/>
  <c r="BI122" i="5" s="1"/>
  <c r="BI123" i="5" s="1"/>
  <c r="BI124" i="5" s="1"/>
  <c r="BJ113" i="5" s="1"/>
  <c r="BJ114" i="5" s="1"/>
  <c r="BJ115" i="5" s="1"/>
  <c r="BJ116" i="5" s="1"/>
  <c r="BJ117" i="5" s="1"/>
  <c r="BJ118" i="5" s="1"/>
  <c r="BJ119" i="5" s="1"/>
  <c r="BJ120" i="5" s="1"/>
  <c r="BJ121" i="5" s="1"/>
  <c r="BJ122" i="5" s="1"/>
  <c r="BJ123" i="5" s="1"/>
  <c r="BJ124" i="5" s="1"/>
  <c r="D113" i="5"/>
  <c r="D114" i="5" s="1"/>
  <c r="D115" i="5" s="1"/>
  <c r="D116" i="5" s="1"/>
  <c r="D117" i="5" s="1"/>
  <c r="D118" i="5" s="1"/>
  <c r="D119" i="5" s="1"/>
  <c r="D120" i="5" s="1"/>
  <c r="D121" i="5" s="1"/>
  <c r="D122" i="5" s="1"/>
  <c r="D123" i="5" s="1"/>
  <c r="D124" i="5" s="1"/>
  <c r="E113" i="5" s="1"/>
  <c r="E114" i="5" s="1"/>
  <c r="E115" i="5" s="1"/>
  <c r="E116" i="5" s="1"/>
  <c r="E117" i="5" s="1"/>
  <c r="E118" i="5" s="1"/>
  <c r="E119" i="5" s="1"/>
  <c r="E120" i="5" s="1"/>
  <c r="E121" i="5" s="1"/>
  <c r="E122" i="5" s="1"/>
  <c r="E123" i="5" s="1"/>
  <c r="E124" i="5" s="1"/>
  <c r="F113" i="5" s="1"/>
  <c r="F114" i="5" s="1"/>
  <c r="F115" i="5" s="1"/>
  <c r="F116" i="5" s="1"/>
  <c r="F117" i="5" s="1"/>
  <c r="F118" i="5" s="1"/>
  <c r="F119" i="5" s="1"/>
  <c r="F120" i="5" s="1"/>
  <c r="F121" i="5" s="1"/>
  <c r="F122" i="5" s="1"/>
  <c r="F123" i="5" s="1"/>
  <c r="F124" i="5" s="1"/>
  <c r="G113" i="5" s="1"/>
  <c r="G114" i="5" s="1"/>
  <c r="G115" i="5" s="1"/>
  <c r="G116" i="5" s="1"/>
  <c r="G117" i="5" s="1"/>
  <c r="G118" i="5" s="1"/>
  <c r="G119" i="5" s="1"/>
  <c r="G120" i="5" s="1"/>
  <c r="G121" i="5" s="1"/>
  <c r="G122" i="5" s="1"/>
  <c r="G123" i="5" s="1"/>
  <c r="G124" i="5" s="1"/>
  <c r="H113" i="5" s="1"/>
  <c r="H114" i="5" s="1"/>
  <c r="H115" i="5" s="1"/>
  <c r="H116" i="5" s="1"/>
  <c r="H117" i="5" s="1"/>
  <c r="H118" i="5" s="1"/>
  <c r="H119" i="5" s="1"/>
  <c r="H120" i="5" s="1"/>
  <c r="H121" i="5" s="1"/>
  <c r="H122" i="5" s="1"/>
  <c r="H123" i="5" s="1"/>
  <c r="H124" i="5" s="1"/>
  <c r="I113" i="5" s="1"/>
  <c r="I114" i="5" s="1"/>
  <c r="I115" i="5" s="1"/>
  <c r="I116" i="5" s="1"/>
  <c r="I117" i="5" s="1"/>
  <c r="I118" i="5" s="1"/>
  <c r="I119" i="5" s="1"/>
  <c r="I120" i="5" s="1"/>
  <c r="I121" i="5" s="1"/>
  <c r="I122" i="5" s="1"/>
  <c r="I123" i="5" s="1"/>
  <c r="I124" i="5" s="1"/>
  <c r="J113" i="5" s="1"/>
  <c r="J114" i="5" s="1"/>
  <c r="J115" i="5" s="1"/>
  <c r="J116" i="5" s="1"/>
  <c r="J117" i="5" s="1"/>
  <c r="J118" i="5" s="1"/>
  <c r="J119" i="5" s="1"/>
  <c r="J120" i="5" s="1"/>
  <c r="J121" i="5" s="1"/>
  <c r="J122" i="5" s="1"/>
  <c r="J123" i="5" s="1"/>
  <c r="J124" i="5" s="1"/>
  <c r="K113" i="5" s="1"/>
  <c r="K114" i="5" s="1"/>
  <c r="K115" i="5" s="1"/>
  <c r="K116" i="5" s="1"/>
  <c r="K117" i="5" s="1"/>
  <c r="K118" i="5" s="1"/>
  <c r="K119" i="5" s="1"/>
  <c r="K120" i="5" s="1"/>
  <c r="K121" i="5" s="1"/>
  <c r="K122" i="5" s="1"/>
  <c r="K123" i="5" s="1"/>
  <c r="K124" i="5" s="1"/>
  <c r="L113" i="5" s="1"/>
  <c r="L114" i="5" s="1"/>
  <c r="L115" i="5" s="1"/>
  <c r="L116" i="5" s="1"/>
  <c r="L117" i="5" s="1"/>
  <c r="L118" i="5" s="1"/>
  <c r="L119" i="5" s="1"/>
  <c r="L120" i="5" s="1"/>
  <c r="L121" i="5" s="1"/>
  <c r="L122" i="5" s="1"/>
  <c r="L123" i="5" s="1"/>
  <c r="L124" i="5" s="1"/>
  <c r="M113" i="5" s="1"/>
  <c r="M114" i="5" s="1"/>
  <c r="M115" i="5" s="1"/>
  <c r="M116" i="5" s="1"/>
  <c r="M117" i="5" s="1"/>
  <c r="M118" i="5" s="1"/>
  <c r="M119" i="5" s="1"/>
  <c r="M120" i="5" s="1"/>
  <c r="M121" i="5" s="1"/>
  <c r="M122" i="5" s="1"/>
  <c r="M123" i="5" s="1"/>
  <c r="M124" i="5" s="1"/>
  <c r="N113" i="5" s="1"/>
  <c r="N114" i="5" s="1"/>
  <c r="N115" i="5" s="1"/>
  <c r="N116" i="5" s="1"/>
  <c r="N117" i="5" s="1"/>
  <c r="N118" i="5" s="1"/>
  <c r="N119" i="5" s="1"/>
  <c r="N120" i="5" s="1"/>
  <c r="N121" i="5" s="1"/>
  <c r="N122" i="5" s="1"/>
  <c r="N123" i="5" s="1"/>
  <c r="N124" i="5" s="1"/>
  <c r="O113" i="5" s="1"/>
  <c r="O114" i="5" s="1"/>
  <c r="O115" i="5" s="1"/>
  <c r="O116" i="5" s="1"/>
  <c r="O117" i="5" s="1"/>
  <c r="O118" i="5" s="1"/>
  <c r="O119" i="5" s="1"/>
  <c r="O120" i="5" s="1"/>
  <c r="O121" i="5" s="1"/>
  <c r="O122" i="5" s="1"/>
  <c r="O123" i="5" s="1"/>
  <c r="O124" i="5" s="1"/>
  <c r="P113" i="5" s="1"/>
  <c r="P114" i="5" s="1"/>
  <c r="P115" i="5" s="1"/>
  <c r="P116" i="5" s="1"/>
  <c r="P117" i="5" s="1"/>
  <c r="P118" i="5" s="1"/>
  <c r="P119" i="5" s="1"/>
  <c r="P120" i="5" s="1"/>
  <c r="P121" i="5" s="1"/>
  <c r="P122" i="5" s="1"/>
  <c r="P123" i="5" s="1"/>
  <c r="P124" i="5" s="1"/>
  <c r="Q113" i="5" s="1"/>
  <c r="Q114" i="5" s="1"/>
  <c r="Q115" i="5" s="1"/>
  <c r="Q116" i="5" s="1"/>
  <c r="Q117" i="5" s="1"/>
  <c r="Q118" i="5" s="1"/>
  <c r="Q119" i="5" s="1"/>
  <c r="Q120" i="5" s="1"/>
  <c r="Q121" i="5" s="1"/>
  <c r="Q122" i="5" s="1"/>
  <c r="Q123" i="5" s="1"/>
  <c r="Q124" i="5" s="1"/>
  <c r="R113" i="5" s="1"/>
  <c r="R114" i="5" s="1"/>
  <c r="R115" i="5" s="1"/>
  <c r="R116" i="5" s="1"/>
  <c r="R117" i="5" s="1"/>
  <c r="R118" i="5" s="1"/>
  <c r="R119" i="5" s="1"/>
  <c r="R120" i="5" s="1"/>
  <c r="R121" i="5" s="1"/>
  <c r="R122" i="5" s="1"/>
  <c r="R123" i="5" s="1"/>
  <c r="R124" i="5" s="1"/>
  <c r="S113" i="5" s="1"/>
  <c r="S114" i="5" s="1"/>
  <c r="S115" i="5" s="1"/>
  <c r="S116" i="5" s="1"/>
  <c r="S117" i="5" s="1"/>
  <c r="S118" i="5" s="1"/>
  <c r="S119" i="5" s="1"/>
  <c r="S120" i="5" s="1"/>
  <c r="S121" i="5" s="1"/>
  <c r="S122" i="5" s="1"/>
  <c r="S123" i="5" s="1"/>
  <c r="S124" i="5" s="1"/>
  <c r="T113" i="5" s="1"/>
  <c r="T114" i="5" s="1"/>
  <c r="T115" i="5" s="1"/>
  <c r="T116" i="5" s="1"/>
  <c r="T117" i="5" s="1"/>
  <c r="T118" i="5" s="1"/>
  <c r="T119" i="5" s="1"/>
  <c r="T120" i="5" s="1"/>
  <c r="T121" i="5" s="1"/>
  <c r="T122" i="5" s="1"/>
  <c r="T123" i="5" s="1"/>
  <c r="T124" i="5" s="1"/>
  <c r="U113" i="5" s="1"/>
  <c r="U114" i="5" s="1"/>
  <c r="U115" i="5" s="1"/>
  <c r="U116" i="5" s="1"/>
  <c r="U117" i="5" s="1"/>
  <c r="U118" i="5" s="1"/>
  <c r="U119" i="5" s="1"/>
  <c r="U120" i="5" s="1"/>
  <c r="U121" i="5" s="1"/>
  <c r="U122" i="5" s="1"/>
  <c r="U123" i="5" s="1"/>
  <c r="U124" i="5" s="1"/>
  <c r="V113" i="5" s="1"/>
  <c r="V114" i="5" s="1"/>
  <c r="V115" i="5" s="1"/>
  <c r="V116" i="5" s="1"/>
  <c r="V117" i="5" s="1"/>
  <c r="V118" i="5" s="1"/>
  <c r="V119" i="5" s="1"/>
  <c r="V120" i="5" s="1"/>
  <c r="V121" i="5" s="1"/>
  <c r="V122" i="5" s="1"/>
  <c r="V123" i="5" s="1"/>
  <c r="V124" i="5" s="1"/>
  <c r="W113" i="5" s="1"/>
  <c r="W114" i="5" s="1"/>
  <c r="W115" i="5" s="1"/>
  <c r="W116" i="5" s="1"/>
  <c r="W117" i="5" s="1"/>
  <c r="W118" i="5" s="1"/>
  <c r="W119" i="5" s="1"/>
  <c r="W120" i="5" s="1"/>
  <c r="W121" i="5" s="1"/>
  <c r="W122" i="5" s="1"/>
  <c r="W123" i="5" s="1"/>
  <c r="W124" i="5" s="1"/>
  <c r="X113" i="5" s="1"/>
  <c r="X114" i="5" s="1"/>
  <c r="X115" i="5" s="1"/>
  <c r="X116" i="5" s="1"/>
  <c r="X117" i="5" s="1"/>
  <c r="X118" i="5" s="1"/>
  <c r="X119" i="5" s="1"/>
  <c r="X120" i="5" s="1"/>
  <c r="X121" i="5" s="1"/>
  <c r="X122" i="5" s="1"/>
  <c r="X123" i="5" s="1"/>
  <c r="X124" i="5" s="1"/>
  <c r="Y113" i="5" s="1"/>
  <c r="Y114" i="5" s="1"/>
  <c r="Y115" i="5" s="1"/>
  <c r="Y116" i="5" s="1"/>
  <c r="Y117" i="5" s="1"/>
  <c r="Y118" i="5" s="1"/>
  <c r="Y119" i="5" s="1"/>
  <c r="Y120" i="5" s="1"/>
  <c r="Y121" i="5" s="1"/>
  <c r="Y122" i="5" s="1"/>
  <c r="Y123" i="5" s="1"/>
  <c r="Y124" i="5" s="1"/>
  <c r="Z113" i="5" s="1"/>
  <c r="Z114" i="5" s="1"/>
  <c r="Z115" i="5" s="1"/>
  <c r="Z116" i="5" s="1"/>
  <c r="Z117" i="5" s="1"/>
  <c r="Z118" i="5" s="1"/>
  <c r="Z119" i="5" s="1"/>
  <c r="Z120" i="5" s="1"/>
  <c r="Z121" i="5" s="1"/>
  <c r="Z122" i="5" s="1"/>
  <c r="Z123" i="5" s="1"/>
  <c r="Z124" i="5" s="1"/>
  <c r="AA113" i="5" s="1"/>
  <c r="AA114" i="5" s="1"/>
  <c r="AA115" i="5" s="1"/>
  <c r="AA116" i="5" s="1"/>
  <c r="AA117" i="5" s="1"/>
  <c r="AA118" i="5" s="1"/>
  <c r="AA119" i="5" s="1"/>
  <c r="AA120" i="5" s="1"/>
  <c r="AA121" i="5" s="1"/>
  <c r="AA122" i="5" s="1"/>
  <c r="AA123" i="5" s="1"/>
  <c r="AA124" i="5" s="1"/>
  <c r="AB113" i="5" s="1"/>
  <c r="AB114" i="5" s="1"/>
  <c r="AB115" i="5" s="1"/>
  <c r="AB116" i="5" s="1"/>
  <c r="AB117" i="5" s="1"/>
  <c r="AB118" i="5" s="1"/>
  <c r="AB119" i="5" s="1"/>
  <c r="AB120" i="5" s="1"/>
  <c r="AB121" i="5" s="1"/>
  <c r="AB122" i="5" s="1"/>
  <c r="AB123" i="5" s="1"/>
  <c r="AB124" i="5" s="1"/>
  <c r="AC113" i="5" s="1"/>
  <c r="AC114" i="5" s="1"/>
  <c r="AC115" i="5" s="1"/>
  <c r="AC116" i="5" s="1"/>
  <c r="AC117" i="5" s="1"/>
  <c r="AC118" i="5" s="1"/>
  <c r="AC119" i="5" s="1"/>
  <c r="AC120" i="5" s="1"/>
  <c r="AC121" i="5" s="1"/>
  <c r="AC122" i="5" s="1"/>
  <c r="AC123" i="5" s="1"/>
  <c r="AC124" i="5" s="1"/>
  <c r="AD113" i="5" s="1"/>
  <c r="AD114" i="5" s="1"/>
  <c r="AD115" i="5" s="1"/>
  <c r="AD116" i="5" s="1"/>
  <c r="AD117" i="5" s="1"/>
  <c r="AD118" i="5" s="1"/>
  <c r="AD119" i="5" s="1"/>
  <c r="AD120" i="5" s="1"/>
  <c r="AD121" i="5" s="1"/>
  <c r="AD122" i="5" s="1"/>
  <c r="AD123" i="5" s="1"/>
  <c r="AD124" i="5" s="1"/>
  <c r="AE113" i="5" s="1"/>
  <c r="AE114" i="5" s="1"/>
  <c r="AE115" i="5" s="1"/>
  <c r="AE116" i="5" s="1"/>
  <c r="AE117" i="5" s="1"/>
  <c r="AE118" i="5" s="1"/>
  <c r="AE119" i="5" s="1"/>
  <c r="AE120" i="5" s="1"/>
  <c r="AE121" i="5" s="1"/>
  <c r="AE122" i="5" s="1"/>
  <c r="AE123" i="5" s="1"/>
  <c r="AE124" i="5" s="1"/>
  <c r="AI94" i="5"/>
  <c r="AI95" i="5" s="1"/>
  <c r="AI96" i="5" s="1"/>
  <c r="AI97" i="5" s="1"/>
  <c r="AI98" i="5" s="1"/>
  <c r="AI99" i="5" s="1"/>
  <c r="AI100" i="5" s="1"/>
  <c r="AI101" i="5" s="1"/>
  <c r="AI102" i="5" s="1"/>
  <c r="AI103" i="5" s="1"/>
  <c r="AI104" i="5" s="1"/>
  <c r="AI105" i="5" s="1"/>
  <c r="AJ94" i="5" s="1"/>
  <c r="AJ95" i="5" s="1"/>
  <c r="AJ96" i="5" s="1"/>
  <c r="AJ97" i="5" s="1"/>
  <c r="AJ98" i="5" s="1"/>
  <c r="AJ99" i="5" s="1"/>
  <c r="AJ100" i="5" s="1"/>
  <c r="AJ101" i="5" s="1"/>
  <c r="AJ102" i="5" s="1"/>
  <c r="AJ103" i="5" s="1"/>
  <c r="AJ104" i="5" s="1"/>
  <c r="AJ105" i="5" s="1"/>
  <c r="AK94" i="5" s="1"/>
  <c r="AK95" i="5" s="1"/>
  <c r="AK96" i="5" s="1"/>
  <c r="AK97" i="5" s="1"/>
  <c r="AK98" i="5" s="1"/>
  <c r="AK99" i="5" s="1"/>
  <c r="AK100" i="5" s="1"/>
  <c r="AK101" i="5" s="1"/>
  <c r="AK102" i="5" s="1"/>
  <c r="AK103" i="5" s="1"/>
  <c r="AK104" i="5" s="1"/>
  <c r="AK105" i="5" s="1"/>
  <c r="AL94" i="5" s="1"/>
  <c r="AL95" i="5" s="1"/>
  <c r="AL96" i="5" s="1"/>
  <c r="AL97" i="5" s="1"/>
  <c r="AL98" i="5" s="1"/>
  <c r="AL99" i="5" s="1"/>
  <c r="AL100" i="5" s="1"/>
  <c r="AL101" i="5" s="1"/>
  <c r="AL102" i="5" s="1"/>
  <c r="AL103" i="5" s="1"/>
  <c r="AL104" i="5" s="1"/>
  <c r="AL105" i="5" s="1"/>
  <c r="AM94" i="5" s="1"/>
  <c r="AM95" i="5" s="1"/>
  <c r="AM96" i="5" s="1"/>
  <c r="AM97" i="5" s="1"/>
  <c r="AM98" i="5" s="1"/>
  <c r="AM99" i="5" s="1"/>
  <c r="AM100" i="5" s="1"/>
  <c r="AM101" i="5" s="1"/>
  <c r="AM102" i="5" s="1"/>
  <c r="AM103" i="5" s="1"/>
  <c r="AM104" i="5" s="1"/>
  <c r="AM105" i="5" s="1"/>
  <c r="AN94" i="5" s="1"/>
  <c r="AN95" i="5" s="1"/>
  <c r="AN96" i="5" s="1"/>
  <c r="AN97" i="5" s="1"/>
  <c r="AN98" i="5" s="1"/>
  <c r="AN99" i="5" s="1"/>
  <c r="AN100" i="5" s="1"/>
  <c r="AN101" i="5" s="1"/>
  <c r="AN102" i="5" s="1"/>
  <c r="AN103" i="5" s="1"/>
  <c r="AN104" i="5" s="1"/>
  <c r="AN105" i="5" s="1"/>
  <c r="AO94" i="5" s="1"/>
  <c r="AO95" i="5" s="1"/>
  <c r="AO96" i="5" s="1"/>
  <c r="AO97" i="5" s="1"/>
  <c r="AO98" i="5" s="1"/>
  <c r="AO99" i="5" s="1"/>
  <c r="AO100" i="5" s="1"/>
  <c r="AO101" i="5" s="1"/>
  <c r="AO102" i="5" s="1"/>
  <c r="AO103" i="5" s="1"/>
  <c r="AO104" i="5" s="1"/>
  <c r="AO105" i="5" s="1"/>
  <c r="AP94" i="5" s="1"/>
  <c r="AP95" i="5" s="1"/>
  <c r="AP96" i="5" s="1"/>
  <c r="AP97" i="5" s="1"/>
  <c r="AP98" i="5" s="1"/>
  <c r="AP99" i="5" s="1"/>
  <c r="AP100" i="5" s="1"/>
  <c r="AP101" i="5" s="1"/>
  <c r="AP102" i="5" s="1"/>
  <c r="AP103" i="5" s="1"/>
  <c r="AP104" i="5" s="1"/>
  <c r="AP105" i="5" s="1"/>
  <c r="AQ94" i="5" s="1"/>
  <c r="AQ95" i="5" s="1"/>
  <c r="AQ96" i="5" s="1"/>
  <c r="AQ97" i="5" s="1"/>
  <c r="AQ98" i="5" s="1"/>
  <c r="AQ99" i="5" s="1"/>
  <c r="AQ100" i="5" s="1"/>
  <c r="AQ101" i="5" s="1"/>
  <c r="AQ102" i="5" s="1"/>
  <c r="AQ103" i="5" s="1"/>
  <c r="AQ104" i="5" s="1"/>
  <c r="AQ105" i="5" s="1"/>
  <c r="AR94" i="5" s="1"/>
  <c r="AR95" i="5" s="1"/>
  <c r="AR96" i="5" s="1"/>
  <c r="AR97" i="5" s="1"/>
  <c r="AR98" i="5" s="1"/>
  <c r="AR99" i="5" s="1"/>
  <c r="AR100" i="5" s="1"/>
  <c r="AR101" i="5" s="1"/>
  <c r="AR102" i="5" s="1"/>
  <c r="AR103" i="5" s="1"/>
  <c r="AR104" i="5" s="1"/>
  <c r="AR105" i="5" s="1"/>
  <c r="AS94" i="5" s="1"/>
  <c r="AS95" i="5" s="1"/>
  <c r="AS96" i="5" s="1"/>
  <c r="AS97" i="5" s="1"/>
  <c r="AS98" i="5" s="1"/>
  <c r="AS99" i="5" s="1"/>
  <c r="AS100" i="5" s="1"/>
  <c r="AS101" i="5" s="1"/>
  <c r="AS102" i="5" s="1"/>
  <c r="AS103" i="5" s="1"/>
  <c r="AS104" i="5" s="1"/>
  <c r="AS105" i="5" s="1"/>
  <c r="AT94" i="5" s="1"/>
  <c r="AT95" i="5" s="1"/>
  <c r="AT96" i="5" s="1"/>
  <c r="AT97" i="5" s="1"/>
  <c r="AT98" i="5" s="1"/>
  <c r="AT99" i="5" s="1"/>
  <c r="AT100" i="5" s="1"/>
  <c r="AT101" i="5" s="1"/>
  <c r="AT102" i="5" s="1"/>
  <c r="AT103" i="5" s="1"/>
  <c r="AT104" i="5" s="1"/>
  <c r="AT105" i="5" s="1"/>
  <c r="AU94" i="5" s="1"/>
  <c r="AU95" i="5" s="1"/>
  <c r="AU96" i="5" s="1"/>
  <c r="AU97" i="5" s="1"/>
  <c r="AU98" i="5" s="1"/>
  <c r="AU99" i="5" s="1"/>
  <c r="AU100" i="5" s="1"/>
  <c r="AU101" i="5" s="1"/>
  <c r="AU102" i="5" s="1"/>
  <c r="AU103" i="5" s="1"/>
  <c r="AU104" i="5" s="1"/>
  <c r="AU105" i="5" s="1"/>
  <c r="AV94" i="5" s="1"/>
  <c r="AV95" i="5" s="1"/>
  <c r="AV96" i="5" s="1"/>
  <c r="AV97" i="5" s="1"/>
  <c r="AV98" i="5" s="1"/>
  <c r="AV99" i="5" s="1"/>
  <c r="AV100" i="5" s="1"/>
  <c r="AV101" i="5" s="1"/>
  <c r="AV102" i="5" s="1"/>
  <c r="AV103" i="5" s="1"/>
  <c r="AV104" i="5" s="1"/>
  <c r="AV105" i="5" s="1"/>
  <c r="AW94" i="5" s="1"/>
  <c r="AW95" i="5" s="1"/>
  <c r="AW96" i="5" s="1"/>
  <c r="AW97" i="5" s="1"/>
  <c r="AW98" i="5" s="1"/>
  <c r="AW99" i="5" s="1"/>
  <c r="AW100" i="5" s="1"/>
  <c r="AW101" i="5" s="1"/>
  <c r="AW102" i="5" s="1"/>
  <c r="AW103" i="5" s="1"/>
  <c r="AW104" i="5" s="1"/>
  <c r="AW105" i="5" s="1"/>
  <c r="AX94" i="5" s="1"/>
  <c r="AX95" i="5" s="1"/>
  <c r="AX96" i="5" s="1"/>
  <c r="AX97" i="5" s="1"/>
  <c r="AX98" i="5" s="1"/>
  <c r="AX99" i="5" s="1"/>
  <c r="AX100" i="5" s="1"/>
  <c r="AX101" i="5" s="1"/>
  <c r="AX102" i="5" s="1"/>
  <c r="AX103" i="5" s="1"/>
  <c r="AX104" i="5" s="1"/>
  <c r="AX105" i="5" s="1"/>
  <c r="AY94" i="5" s="1"/>
  <c r="AY95" i="5" s="1"/>
  <c r="AY96" i="5" s="1"/>
  <c r="AY97" i="5" s="1"/>
  <c r="AY98" i="5" s="1"/>
  <c r="AY99" i="5" s="1"/>
  <c r="AY100" i="5" s="1"/>
  <c r="AY101" i="5" s="1"/>
  <c r="AY102" i="5" s="1"/>
  <c r="AY103" i="5" s="1"/>
  <c r="AY104" i="5" s="1"/>
  <c r="AY105" i="5" s="1"/>
  <c r="AZ94" i="5" s="1"/>
  <c r="AZ95" i="5" s="1"/>
  <c r="AZ96" i="5" s="1"/>
  <c r="AZ97" i="5" s="1"/>
  <c r="AZ98" i="5" s="1"/>
  <c r="AZ99" i="5" s="1"/>
  <c r="AZ100" i="5" s="1"/>
  <c r="AZ101" i="5" s="1"/>
  <c r="AZ102" i="5" s="1"/>
  <c r="AZ103" i="5" s="1"/>
  <c r="AZ104" i="5" s="1"/>
  <c r="AZ105" i="5" s="1"/>
  <c r="BA94" i="5" s="1"/>
  <c r="BA95" i="5" s="1"/>
  <c r="BA96" i="5" s="1"/>
  <c r="BA97" i="5" s="1"/>
  <c r="BA98" i="5" s="1"/>
  <c r="BA99" i="5" s="1"/>
  <c r="BA100" i="5" s="1"/>
  <c r="BA101" i="5" s="1"/>
  <c r="BA102" i="5" s="1"/>
  <c r="BA103" i="5" s="1"/>
  <c r="BA104" i="5" s="1"/>
  <c r="BA105" i="5" s="1"/>
  <c r="BB94" i="5" s="1"/>
  <c r="BB95" i="5" s="1"/>
  <c r="BB96" i="5" s="1"/>
  <c r="BB97" i="5" s="1"/>
  <c r="BB98" i="5" s="1"/>
  <c r="BB99" i="5" s="1"/>
  <c r="BB100" i="5" s="1"/>
  <c r="BB101" i="5" s="1"/>
  <c r="BB102" i="5" s="1"/>
  <c r="BB103" i="5" s="1"/>
  <c r="BB104" i="5" s="1"/>
  <c r="BB105" i="5" s="1"/>
  <c r="BC94" i="5" s="1"/>
  <c r="BC95" i="5" s="1"/>
  <c r="BC96" i="5" s="1"/>
  <c r="BC97" i="5" s="1"/>
  <c r="BC98" i="5" s="1"/>
  <c r="BC99" i="5" s="1"/>
  <c r="BC100" i="5" s="1"/>
  <c r="BC101" i="5" s="1"/>
  <c r="BC102" i="5" s="1"/>
  <c r="BC103" i="5" s="1"/>
  <c r="BC104" i="5" s="1"/>
  <c r="BC105" i="5" s="1"/>
  <c r="BD94" i="5" s="1"/>
  <c r="BD95" i="5" s="1"/>
  <c r="BD96" i="5" s="1"/>
  <c r="BD97" i="5" s="1"/>
  <c r="BD98" i="5" s="1"/>
  <c r="BD99" i="5" s="1"/>
  <c r="BD100" i="5" s="1"/>
  <c r="BD101" i="5" s="1"/>
  <c r="BD102" i="5" s="1"/>
  <c r="BD103" i="5" s="1"/>
  <c r="BD104" i="5" s="1"/>
  <c r="BD105" i="5" s="1"/>
  <c r="BE94" i="5" s="1"/>
  <c r="BE95" i="5" s="1"/>
  <c r="BE96" i="5" s="1"/>
  <c r="BE97" i="5" s="1"/>
  <c r="BE98" i="5" s="1"/>
  <c r="BE99" i="5" s="1"/>
  <c r="BE100" i="5" s="1"/>
  <c r="BE101" i="5" s="1"/>
  <c r="BE102" i="5" s="1"/>
  <c r="BE103" i="5" s="1"/>
  <c r="BE104" i="5" s="1"/>
  <c r="BE105" i="5" s="1"/>
  <c r="BF94" i="5" s="1"/>
  <c r="BF95" i="5" s="1"/>
  <c r="BF96" i="5" s="1"/>
  <c r="BF97" i="5" s="1"/>
  <c r="BF98" i="5" s="1"/>
  <c r="BF99" i="5" s="1"/>
  <c r="BF100" i="5" s="1"/>
  <c r="BF101" i="5" s="1"/>
  <c r="BF102" i="5" s="1"/>
  <c r="BF103" i="5" s="1"/>
  <c r="BF104" i="5" s="1"/>
  <c r="BF105" i="5" s="1"/>
  <c r="BG94" i="5" s="1"/>
  <c r="BG95" i="5" s="1"/>
  <c r="BG96" i="5" s="1"/>
  <c r="BG97" i="5" s="1"/>
  <c r="BG98" i="5" s="1"/>
  <c r="BG99" i="5" s="1"/>
  <c r="BG100" i="5" s="1"/>
  <c r="BG101" i="5" s="1"/>
  <c r="BG102" i="5" s="1"/>
  <c r="BG103" i="5" s="1"/>
  <c r="BG104" i="5" s="1"/>
  <c r="BG105" i="5" s="1"/>
  <c r="BH94" i="5" s="1"/>
  <c r="BH95" i="5" s="1"/>
  <c r="BH96" i="5" s="1"/>
  <c r="BH97" i="5" s="1"/>
  <c r="BH98" i="5" s="1"/>
  <c r="BH99" i="5" s="1"/>
  <c r="BH100" i="5" s="1"/>
  <c r="BH101" i="5" s="1"/>
  <c r="BH102" i="5" s="1"/>
  <c r="BH103" i="5" s="1"/>
  <c r="BH104" i="5" s="1"/>
  <c r="BH105" i="5" s="1"/>
  <c r="BI94" i="5" s="1"/>
  <c r="BI95" i="5" s="1"/>
  <c r="BI96" i="5" s="1"/>
  <c r="BI97" i="5" s="1"/>
  <c r="BI98" i="5" s="1"/>
  <c r="BI99" i="5" s="1"/>
  <c r="BI100" i="5" s="1"/>
  <c r="BI101" i="5" s="1"/>
  <c r="BI102" i="5" s="1"/>
  <c r="BI103" i="5" s="1"/>
  <c r="BI104" i="5" s="1"/>
  <c r="BI105" i="5" s="1"/>
  <c r="BJ94" i="5" s="1"/>
  <c r="BJ95" i="5" s="1"/>
  <c r="BJ96" i="5" s="1"/>
  <c r="BJ97" i="5" s="1"/>
  <c r="BJ98" i="5" s="1"/>
  <c r="BJ99" i="5" s="1"/>
  <c r="BJ100" i="5" s="1"/>
  <c r="BJ101" i="5" s="1"/>
  <c r="BJ102" i="5" s="1"/>
  <c r="BJ103" i="5" s="1"/>
  <c r="BJ104" i="5" s="1"/>
  <c r="BJ105" i="5" s="1"/>
  <c r="D94" i="5"/>
  <c r="D95" i="5" s="1"/>
  <c r="D96" i="5" s="1"/>
  <c r="D97" i="5" s="1"/>
  <c r="D98" i="5" s="1"/>
  <c r="D99" i="5" s="1"/>
  <c r="D100" i="5" s="1"/>
  <c r="D101" i="5" s="1"/>
  <c r="D102" i="5" s="1"/>
  <c r="D103" i="5" s="1"/>
  <c r="D104" i="5" s="1"/>
  <c r="D105" i="5" s="1"/>
  <c r="E94" i="5" s="1"/>
  <c r="E95" i="5" s="1"/>
  <c r="E96" i="5" s="1"/>
  <c r="E97" i="5" s="1"/>
  <c r="E98" i="5" s="1"/>
  <c r="E99" i="5" s="1"/>
  <c r="E100" i="5" s="1"/>
  <c r="E101" i="5" s="1"/>
  <c r="E102" i="5" s="1"/>
  <c r="E103" i="5" s="1"/>
  <c r="E104" i="5" s="1"/>
  <c r="E105" i="5" s="1"/>
  <c r="F94" i="5" s="1"/>
  <c r="F95" i="5" s="1"/>
  <c r="F96" i="5" s="1"/>
  <c r="F97" i="5" s="1"/>
  <c r="F98" i="5" s="1"/>
  <c r="F99" i="5" s="1"/>
  <c r="F100" i="5" s="1"/>
  <c r="F101" i="5" s="1"/>
  <c r="F102" i="5" s="1"/>
  <c r="F103" i="5" s="1"/>
  <c r="F104" i="5" s="1"/>
  <c r="F105" i="5" s="1"/>
  <c r="G94" i="5" s="1"/>
  <c r="G95" i="5" s="1"/>
  <c r="G96" i="5" s="1"/>
  <c r="G97" i="5" s="1"/>
  <c r="G98" i="5" s="1"/>
  <c r="G99" i="5" s="1"/>
  <c r="G100" i="5" s="1"/>
  <c r="G101" i="5" s="1"/>
  <c r="G102" i="5" s="1"/>
  <c r="G103" i="5" s="1"/>
  <c r="G104" i="5" s="1"/>
  <c r="G105" i="5" s="1"/>
  <c r="H94" i="5" s="1"/>
  <c r="H95" i="5" s="1"/>
  <c r="H96" i="5" s="1"/>
  <c r="H97" i="5" s="1"/>
  <c r="H98" i="5" s="1"/>
  <c r="H99" i="5" s="1"/>
  <c r="H100" i="5" s="1"/>
  <c r="H101" i="5" s="1"/>
  <c r="H102" i="5" s="1"/>
  <c r="H103" i="5" s="1"/>
  <c r="H104" i="5" s="1"/>
  <c r="H105" i="5" s="1"/>
  <c r="I94" i="5" s="1"/>
  <c r="I95" i="5" s="1"/>
  <c r="I96" i="5" s="1"/>
  <c r="I97" i="5" s="1"/>
  <c r="I98" i="5" s="1"/>
  <c r="I99" i="5" s="1"/>
  <c r="I100" i="5" s="1"/>
  <c r="I101" i="5" s="1"/>
  <c r="I102" i="5" s="1"/>
  <c r="I103" i="5" s="1"/>
  <c r="I104" i="5" s="1"/>
  <c r="I105" i="5" s="1"/>
  <c r="J94" i="5" s="1"/>
  <c r="J95" i="5" s="1"/>
  <c r="J96" i="5" s="1"/>
  <c r="J97" i="5" s="1"/>
  <c r="J98" i="5" s="1"/>
  <c r="J99" i="5" s="1"/>
  <c r="J100" i="5" s="1"/>
  <c r="J101" i="5" s="1"/>
  <c r="J102" i="5" s="1"/>
  <c r="J103" i="5" s="1"/>
  <c r="J104" i="5" s="1"/>
  <c r="J105" i="5" s="1"/>
  <c r="K94" i="5" s="1"/>
  <c r="K95" i="5" s="1"/>
  <c r="K96" i="5" s="1"/>
  <c r="K97" i="5" s="1"/>
  <c r="K98" i="5" s="1"/>
  <c r="K99" i="5" s="1"/>
  <c r="K100" i="5" s="1"/>
  <c r="K101" i="5" s="1"/>
  <c r="K102" i="5" s="1"/>
  <c r="K103" i="5" s="1"/>
  <c r="K104" i="5" s="1"/>
  <c r="K105" i="5" s="1"/>
  <c r="L94" i="5" s="1"/>
  <c r="L95" i="5" s="1"/>
  <c r="L96" i="5" s="1"/>
  <c r="L97" i="5" s="1"/>
  <c r="L98" i="5" s="1"/>
  <c r="L99" i="5" s="1"/>
  <c r="L100" i="5" s="1"/>
  <c r="L101" i="5" s="1"/>
  <c r="L102" i="5" s="1"/>
  <c r="L103" i="5" s="1"/>
  <c r="L104" i="5" s="1"/>
  <c r="L105" i="5" s="1"/>
  <c r="M94" i="5" s="1"/>
  <c r="M95" i="5" s="1"/>
  <c r="M96" i="5" s="1"/>
  <c r="M97" i="5" s="1"/>
  <c r="M98" i="5" s="1"/>
  <c r="M99" i="5" s="1"/>
  <c r="M100" i="5" s="1"/>
  <c r="M101" i="5" s="1"/>
  <c r="M102" i="5" s="1"/>
  <c r="M103" i="5" s="1"/>
  <c r="M104" i="5" s="1"/>
  <c r="M105" i="5" s="1"/>
  <c r="N94" i="5" s="1"/>
  <c r="N95" i="5" s="1"/>
  <c r="N96" i="5" s="1"/>
  <c r="N97" i="5" s="1"/>
  <c r="N98" i="5" s="1"/>
  <c r="N99" i="5" s="1"/>
  <c r="N100" i="5" s="1"/>
  <c r="N101" i="5" s="1"/>
  <c r="N102" i="5" s="1"/>
  <c r="N103" i="5" s="1"/>
  <c r="N104" i="5" s="1"/>
  <c r="N105" i="5" s="1"/>
  <c r="O94" i="5" s="1"/>
  <c r="O95" i="5" s="1"/>
  <c r="O96" i="5" s="1"/>
  <c r="O97" i="5" s="1"/>
  <c r="O98" i="5" s="1"/>
  <c r="O99" i="5" s="1"/>
  <c r="O100" i="5" s="1"/>
  <c r="O101" i="5" s="1"/>
  <c r="O102" i="5" s="1"/>
  <c r="O103" i="5" s="1"/>
  <c r="O104" i="5" s="1"/>
  <c r="O105" i="5" s="1"/>
  <c r="P94" i="5" s="1"/>
  <c r="P95" i="5" s="1"/>
  <c r="P96" i="5" s="1"/>
  <c r="P97" i="5" s="1"/>
  <c r="P98" i="5" s="1"/>
  <c r="P99" i="5" s="1"/>
  <c r="P100" i="5" s="1"/>
  <c r="P101" i="5" s="1"/>
  <c r="P102" i="5" s="1"/>
  <c r="P103" i="5" s="1"/>
  <c r="P104" i="5" s="1"/>
  <c r="P105" i="5" s="1"/>
  <c r="Q94" i="5" s="1"/>
  <c r="Q95" i="5" s="1"/>
  <c r="Q96" i="5" s="1"/>
  <c r="Q97" i="5" s="1"/>
  <c r="Q98" i="5" s="1"/>
  <c r="Q99" i="5" s="1"/>
  <c r="Q100" i="5" s="1"/>
  <c r="Q101" i="5" s="1"/>
  <c r="Q102" i="5" s="1"/>
  <c r="Q103" i="5" s="1"/>
  <c r="Q104" i="5" s="1"/>
  <c r="Q105" i="5" s="1"/>
  <c r="R94" i="5" s="1"/>
  <c r="R95" i="5" s="1"/>
  <c r="R96" i="5" s="1"/>
  <c r="R97" i="5" s="1"/>
  <c r="R98" i="5" s="1"/>
  <c r="R99" i="5" s="1"/>
  <c r="R100" i="5" s="1"/>
  <c r="R101" i="5" s="1"/>
  <c r="R102" i="5" s="1"/>
  <c r="R103" i="5" s="1"/>
  <c r="R104" i="5" s="1"/>
  <c r="R105" i="5" s="1"/>
  <c r="S94" i="5" s="1"/>
  <c r="S95" i="5" s="1"/>
  <c r="S96" i="5" s="1"/>
  <c r="S97" i="5" s="1"/>
  <c r="S98" i="5" s="1"/>
  <c r="S99" i="5" s="1"/>
  <c r="S100" i="5" s="1"/>
  <c r="S101" i="5" s="1"/>
  <c r="S102" i="5" s="1"/>
  <c r="S103" i="5" s="1"/>
  <c r="S104" i="5" s="1"/>
  <c r="S105" i="5" s="1"/>
  <c r="T94" i="5" s="1"/>
  <c r="T95" i="5" s="1"/>
  <c r="T96" i="5" s="1"/>
  <c r="T97" i="5" s="1"/>
  <c r="T98" i="5" s="1"/>
  <c r="T99" i="5" s="1"/>
  <c r="T100" i="5" s="1"/>
  <c r="T101" i="5" s="1"/>
  <c r="T102" i="5" s="1"/>
  <c r="T103" i="5" s="1"/>
  <c r="T104" i="5" s="1"/>
  <c r="T105" i="5" s="1"/>
  <c r="U94" i="5" s="1"/>
  <c r="U95" i="5" s="1"/>
  <c r="U96" i="5" s="1"/>
  <c r="U97" i="5" s="1"/>
  <c r="U98" i="5" s="1"/>
  <c r="U99" i="5" s="1"/>
  <c r="U100" i="5" s="1"/>
  <c r="U101" i="5" s="1"/>
  <c r="U102" i="5" s="1"/>
  <c r="U103" i="5" s="1"/>
  <c r="U104" i="5" s="1"/>
  <c r="U105" i="5" s="1"/>
  <c r="V94" i="5" s="1"/>
  <c r="V95" i="5" s="1"/>
  <c r="V96" i="5" s="1"/>
  <c r="V97" i="5" s="1"/>
  <c r="V98" i="5" s="1"/>
  <c r="V99" i="5" s="1"/>
  <c r="V100" i="5" s="1"/>
  <c r="V101" i="5" s="1"/>
  <c r="V102" i="5" s="1"/>
  <c r="V103" i="5" s="1"/>
  <c r="V104" i="5" s="1"/>
  <c r="V105" i="5" s="1"/>
  <c r="W94" i="5" s="1"/>
  <c r="W95" i="5" s="1"/>
  <c r="W96" i="5" s="1"/>
  <c r="W97" i="5" s="1"/>
  <c r="W98" i="5" s="1"/>
  <c r="W99" i="5" s="1"/>
  <c r="W100" i="5" s="1"/>
  <c r="W101" i="5" s="1"/>
  <c r="W102" i="5" s="1"/>
  <c r="W103" i="5" s="1"/>
  <c r="W104" i="5" s="1"/>
  <c r="W105" i="5" s="1"/>
  <c r="X94" i="5" s="1"/>
  <c r="X95" i="5" s="1"/>
  <c r="X96" i="5" s="1"/>
  <c r="X97" i="5" s="1"/>
  <c r="X98" i="5" s="1"/>
  <c r="X99" i="5" s="1"/>
  <c r="X100" i="5" s="1"/>
  <c r="X101" i="5" s="1"/>
  <c r="X102" i="5" s="1"/>
  <c r="X103" i="5" s="1"/>
  <c r="X104" i="5" s="1"/>
  <c r="X105" i="5" s="1"/>
  <c r="Y94" i="5" s="1"/>
  <c r="Y95" i="5" s="1"/>
  <c r="Y96" i="5" s="1"/>
  <c r="Y97" i="5" s="1"/>
  <c r="Y98" i="5" s="1"/>
  <c r="Y99" i="5" s="1"/>
  <c r="Y100" i="5" s="1"/>
  <c r="Y101" i="5" s="1"/>
  <c r="Y102" i="5" s="1"/>
  <c r="Y103" i="5" s="1"/>
  <c r="Y104" i="5" s="1"/>
  <c r="Y105" i="5" s="1"/>
  <c r="Z94" i="5" s="1"/>
  <c r="Z95" i="5" s="1"/>
  <c r="Z96" i="5" s="1"/>
  <c r="Z97" i="5" s="1"/>
  <c r="Z98" i="5" s="1"/>
  <c r="Z99" i="5" s="1"/>
  <c r="Z100" i="5" s="1"/>
  <c r="Z101" i="5" s="1"/>
  <c r="Z102" i="5" s="1"/>
  <c r="Z103" i="5" s="1"/>
  <c r="Z104" i="5" s="1"/>
  <c r="Z105" i="5" s="1"/>
  <c r="AA94" i="5" s="1"/>
  <c r="AA95" i="5" s="1"/>
  <c r="AA96" i="5" s="1"/>
  <c r="AA97" i="5" s="1"/>
  <c r="AA98" i="5" s="1"/>
  <c r="AA99" i="5" s="1"/>
  <c r="AA100" i="5" s="1"/>
  <c r="AA101" i="5" s="1"/>
  <c r="AA102" i="5" s="1"/>
  <c r="AA103" i="5" s="1"/>
  <c r="AA104" i="5" s="1"/>
  <c r="AA105" i="5" s="1"/>
  <c r="AB94" i="5" s="1"/>
  <c r="AB95" i="5" s="1"/>
  <c r="AB96" i="5" s="1"/>
  <c r="AB97" i="5" s="1"/>
  <c r="AB98" i="5" s="1"/>
  <c r="AB99" i="5" s="1"/>
  <c r="AB100" i="5" s="1"/>
  <c r="AB101" i="5" s="1"/>
  <c r="AB102" i="5" s="1"/>
  <c r="AB103" i="5" s="1"/>
  <c r="AB104" i="5" s="1"/>
  <c r="AB105" i="5" s="1"/>
  <c r="AC94" i="5" s="1"/>
  <c r="AC95" i="5" s="1"/>
  <c r="AC96" i="5" s="1"/>
  <c r="AC97" i="5" s="1"/>
  <c r="AC98" i="5" s="1"/>
  <c r="AC99" i="5" s="1"/>
  <c r="AC100" i="5" s="1"/>
  <c r="AC101" i="5" s="1"/>
  <c r="AC102" i="5" s="1"/>
  <c r="AC103" i="5" s="1"/>
  <c r="AC104" i="5" s="1"/>
  <c r="AC105" i="5" s="1"/>
  <c r="AD94" i="5" s="1"/>
  <c r="AD95" i="5" s="1"/>
  <c r="AD96" i="5" s="1"/>
  <c r="AD97" i="5" s="1"/>
  <c r="AD98" i="5" s="1"/>
  <c r="AD99" i="5" s="1"/>
  <c r="AD100" i="5" s="1"/>
  <c r="AD101" i="5" s="1"/>
  <c r="AD102" i="5" s="1"/>
  <c r="AD103" i="5" s="1"/>
  <c r="AD104" i="5" s="1"/>
  <c r="AD105" i="5" s="1"/>
  <c r="AE94" i="5" s="1"/>
  <c r="AE95" i="5" s="1"/>
  <c r="AE96" i="5" s="1"/>
  <c r="AE97" i="5" s="1"/>
  <c r="AE98" i="5" s="1"/>
  <c r="AE99" i="5" s="1"/>
  <c r="AE100" i="5" s="1"/>
  <c r="AE101" i="5" s="1"/>
  <c r="AE102" i="5" s="1"/>
  <c r="AE103" i="5" s="1"/>
  <c r="AE104" i="5" s="1"/>
  <c r="AE105" i="5" s="1"/>
  <c r="AI56" i="5"/>
  <c r="AI57" i="5" s="1"/>
  <c r="AI58" i="5" s="1"/>
  <c r="AI59" i="5" s="1"/>
  <c r="AI60" i="5" s="1"/>
  <c r="AI61" i="5" s="1"/>
  <c r="AI62" i="5" s="1"/>
  <c r="AI63" i="5" s="1"/>
  <c r="AI64" i="5" s="1"/>
  <c r="AI65" i="5" s="1"/>
  <c r="AI66" i="5" s="1"/>
  <c r="AI67" i="5" s="1"/>
  <c r="AJ56" i="5" s="1"/>
  <c r="AJ57" i="5" s="1"/>
  <c r="AJ58" i="5" s="1"/>
  <c r="AJ59" i="5" s="1"/>
  <c r="AJ60" i="5" s="1"/>
  <c r="AJ61" i="5" s="1"/>
  <c r="AJ62" i="5" s="1"/>
  <c r="AJ63" i="5" s="1"/>
  <c r="AJ64" i="5" s="1"/>
  <c r="AJ65" i="5" s="1"/>
  <c r="AJ66" i="5" s="1"/>
  <c r="AJ67" i="5" s="1"/>
  <c r="AK56" i="5" s="1"/>
  <c r="AK57" i="5" s="1"/>
  <c r="AK58" i="5" s="1"/>
  <c r="AK59" i="5" s="1"/>
  <c r="AK60" i="5" s="1"/>
  <c r="AK61" i="5" s="1"/>
  <c r="AK62" i="5" s="1"/>
  <c r="AK63" i="5" s="1"/>
  <c r="AK64" i="5" s="1"/>
  <c r="AK65" i="5" s="1"/>
  <c r="AK66" i="5" s="1"/>
  <c r="AK67" i="5" s="1"/>
  <c r="AL56" i="5" s="1"/>
  <c r="AL57" i="5" s="1"/>
  <c r="AL58" i="5" s="1"/>
  <c r="AL59" i="5" s="1"/>
  <c r="AL60" i="5" s="1"/>
  <c r="AL61" i="5" s="1"/>
  <c r="AL62" i="5" s="1"/>
  <c r="AL63" i="5" s="1"/>
  <c r="AL64" i="5" s="1"/>
  <c r="AL65" i="5" s="1"/>
  <c r="AL66" i="5" s="1"/>
  <c r="AL67" i="5" s="1"/>
  <c r="AM56" i="5" s="1"/>
  <c r="AM57" i="5" s="1"/>
  <c r="AM58" i="5" s="1"/>
  <c r="AM59" i="5" s="1"/>
  <c r="AM60" i="5" s="1"/>
  <c r="AM61" i="5" s="1"/>
  <c r="AM62" i="5" s="1"/>
  <c r="AM63" i="5" s="1"/>
  <c r="AM64" i="5" s="1"/>
  <c r="AM65" i="5" s="1"/>
  <c r="AM66" i="5" s="1"/>
  <c r="AM67" i="5" s="1"/>
  <c r="AN56" i="5" s="1"/>
  <c r="AN57" i="5" s="1"/>
  <c r="AN58" i="5" s="1"/>
  <c r="AN59" i="5" s="1"/>
  <c r="AN60" i="5" s="1"/>
  <c r="AN61" i="5" s="1"/>
  <c r="AN62" i="5" s="1"/>
  <c r="AN63" i="5" s="1"/>
  <c r="AN64" i="5" s="1"/>
  <c r="AN65" i="5" s="1"/>
  <c r="AN66" i="5" s="1"/>
  <c r="AN67" i="5" s="1"/>
  <c r="AO56" i="5" s="1"/>
  <c r="AO57" i="5" s="1"/>
  <c r="AO58" i="5" s="1"/>
  <c r="AO59" i="5" s="1"/>
  <c r="AO60" i="5" s="1"/>
  <c r="AO61" i="5" s="1"/>
  <c r="AO62" i="5" s="1"/>
  <c r="AO63" i="5" s="1"/>
  <c r="AO64" i="5" s="1"/>
  <c r="AO65" i="5" s="1"/>
  <c r="AO66" i="5" s="1"/>
  <c r="AO67" i="5" s="1"/>
  <c r="AP56" i="5" s="1"/>
  <c r="AP57" i="5" s="1"/>
  <c r="AP58" i="5" s="1"/>
  <c r="AP59" i="5" s="1"/>
  <c r="AP60" i="5" s="1"/>
  <c r="AP61" i="5" s="1"/>
  <c r="AP62" i="5" s="1"/>
  <c r="AP63" i="5" s="1"/>
  <c r="AP64" i="5" s="1"/>
  <c r="AP65" i="5" s="1"/>
  <c r="AP66" i="5" s="1"/>
  <c r="AP67" i="5" s="1"/>
  <c r="AQ56" i="5" s="1"/>
  <c r="AQ57" i="5" s="1"/>
  <c r="AQ58" i="5" s="1"/>
  <c r="AQ59" i="5" s="1"/>
  <c r="AQ60" i="5" s="1"/>
  <c r="AQ61" i="5" s="1"/>
  <c r="AQ62" i="5" s="1"/>
  <c r="AQ63" i="5" s="1"/>
  <c r="AQ64" i="5" s="1"/>
  <c r="AQ65" i="5" s="1"/>
  <c r="AQ66" i="5" s="1"/>
  <c r="AQ67" i="5" s="1"/>
  <c r="AR56" i="5" s="1"/>
  <c r="AR57" i="5" s="1"/>
  <c r="AR58" i="5" s="1"/>
  <c r="AR59" i="5" s="1"/>
  <c r="AR60" i="5" s="1"/>
  <c r="AR61" i="5" s="1"/>
  <c r="AR62" i="5" s="1"/>
  <c r="AR63" i="5" s="1"/>
  <c r="AR64" i="5" s="1"/>
  <c r="AR65" i="5" s="1"/>
  <c r="AR66" i="5" s="1"/>
  <c r="AR67" i="5" s="1"/>
  <c r="AS56" i="5" s="1"/>
  <c r="AS57" i="5" s="1"/>
  <c r="AS58" i="5" s="1"/>
  <c r="AS59" i="5" s="1"/>
  <c r="AS60" i="5" s="1"/>
  <c r="AS61" i="5" s="1"/>
  <c r="AS62" i="5" s="1"/>
  <c r="AS63" i="5" s="1"/>
  <c r="AS64" i="5" s="1"/>
  <c r="AS65" i="5" s="1"/>
  <c r="AS66" i="5" s="1"/>
  <c r="AS67" i="5" s="1"/>
  <c r="AT56" i="5" s="1"/>
  <c r="AT57" i="5" s="1"/>
  <c r="AT58" i="5" s="1"/>
  <c r="AT59" i="5" s="1"/>
  <c r="AT60" i="5" s="1"/>
  <c r="AT61" i="5" s="1"/>
  <c r="AT62" i="5" s="1"/>
  <c r="AT63" i="5" s="1"/>
  <c r="AT64" i="5" s="1"/>
  <c r="AT65" i="5" s="1"/>
  <c r="AT66" i="5" s="1"/>
  <c r="AT67" i="5" s="1"/>
  <c r="AU56" i="5" s="1"/>
  <c r="AU57" i="5" s="1"/>
  <c r="AU58" i="5" s="1"/>
  <c r="AU59" i="5" s="1"/>
  <c r="AU60" i="5" s="1"/>
  <c r="AU61" i="5" s="1"/>
  <c r="AU62" i="5" s="1"/>
  <c r="AU63" i="5" s="1"/>
  <c r="AU64" i="5" s="1"/>
  <c r="AU65" i="5" s="1"/>
  <c r="AU66" i="5" s="1"/>
  <c r="AU67" i="5" s="1"/>
  <c r="AV56" i="5" s="1"/>
  <c r="AV57" i="5" s="1"/>
  <c r="AV58" i="5" s="1"/>
  <c r="AV59" i="5" s="1"/>
  <c r="AV60" i="5" s="1"/>
  <c r="AV61" i="5" s="1"/>
  <c r="AV62" i="5" s="1"/>
  <c r="AV63" i="5" s="1"/>
  <c r="AV64" i="5" s="1"/>
  <c r="AV65" i="5" s="1"/>
  <c r="AV66" i="5" s="1"/>
  <c r="AV67" i="5" s="1"/>
  <c r="AW56" i="5" s="1"/>
  <c r="AW57" i="5" s="1"/>
  <c r="AW58" i="5" s="1"/>
  <c r="AW59" i="5" s="1"/>
  <c r="AW60" i="5" s="1"/>
  <c r="AW61" i="5" s="1"/>
  <c r="AW62" i="5" s="1"/>
  <c r="AW63" i="5" s="1"/>
  <c r="AW64" i="5" s="1"/>
  <c r="AW65" i="5" s="1"/>
  <c r="AW66" i="5" s="1"/>
  <c r="AW67" i="5" s="1"/>
  <c r="AX56" i="5" s="1"/>
  <c r="AX57" i="5" s="1"/>
  <c r="AX58" i="5" s="1"/>
  <c r="AX59" i="5" s="1"/>
  <c r="AX60" i="5" s="1"/>
  <c r="AX61" i="5" s="1"/>
  <c r="AX62" i="5" s="1"/>
  <c r="AX63" i="5" s="1"/>
  <c r="AX64" i="5" s="1"/>
  <c r="AX65" i="5" s="1"/>
  <c r="AX66" i="5" s="1"/>
  <c r="AX67" i="5" s="1"/>
  <c r="AY56" i="5" s="1"/>
  <c r="AY57" i="5" s="1"/>
  <c r="AY58" i="5" s="1"/>
  <c r="AY59" i="5" s="1"/>
  <c r="AY60" i="5" s="1"/>
  <c r="AY61" i="5" s="1"/>
  <c r="AY62" i="5" s="1"/>
  <c r="AY63" i="5" s="1"/>
  <c r="AY64" i="5" s="1"/>
  <c r="AY65" i="5" s="1"/>
  <c r="AY66" i="5" s="1"/>
  <c r="AY67" i="5" s="1"/>
  <c r="AZ56" i="5" s="1"/>
  <c r="AZ57" i="5" s="1"/>
  <c r="AZ58" i="5" s="1"/>
  <c r="AZ59" i="5" s="1"/>
  <c r="AZ60" i="5" s="1"/>
  <c r="AZ61" i="5" s="1"/>
  <c r="AZ62" i="5" s="1"/>
  <c r="AZ63" i="5" s="1"/>
  <c r="AZ64" i="5" s="1"/>
  <c r="AZ65" i="5" s="1"/>
  <c r="AZ66" i="5" s="1"/>
  <c r="AZ67" i="5" s="1"/>
  <c r="BA56" i="5" s="1"/>
  <c r="BA57" i="5" s="1"/>
  <c r="BA58" i="5" s="1"/>
  <c r="BA59" i="5" s="1"/>
  <c r="BA60" i="5" s="1"/>
  <c r="BA61" i="5" s="1"/>
  <c r="BA62" i="5" s="1"/>
  <c r="BA63" i="5" s="1"/>
  <c r="BA64" i="5" s="1"/>
  <c r="BA65" i="5" s="1"/>
  <c r="BA66" i="5" s="1"/>
  <c r="BA67" i="5" s="1"/>
  <c r="BB56" i="5" s="1"/>
  <c r="BB57" i="5" s="1"/>
  <c r="BB58" i="5" s="1"/>
  <c r="BB59" i="5" s="1"/>
  <c r="BB60" i="5" s="1"/>
  <c r="BB61" i="5" s="1"/>
  <c r="BB62" i="5" s="1"/>
  <c r="BB63" i="5" s="1"/>
  <c r="BB64" i="5" s="1"/>
  <c r="BB65" i="5" s="1"/>
  <c r="BB66" i="5" s="1"/>
  <c r="BB67" i="5" s="1"/>
  <c r="BC56" i="5" s="1"/>
  <c r="BC57" i="5" s="1"/>
  <c r="BC58" i="5" s="1"/>
  <c r="BC59" i="5" s="1"/>
  <c r="BC60" i="5" s="1"/>
  <c r="BC61" i="5" s="1"/>
  <c r="BC62" i="5" s="1"/>
  <c r="BC63" i="5" s="1"/>
  <c r="BC64" i="5" s="1"/>
  <c r="BC65" i="5" s="1"/>
  <c r="BC66" i="5" s="1"/>
  <c r="BC67" i="5" s="1"/>
  <c r="BD56" i="5" s="1"/>
  <c r="BD57" i="5" s="1"/>
  <c r="BD58" i="5" s="1"/>
  <c r="BD59" i="5" s="1"/>
  <c r="BD60" i="5" s="1"/>
  <c r="BD61" i="5" s="1"/>
  <c r="BD62" i="5" s="1"/>
  <c r="BD63" i="5" s="1"/>
  <c r="BD64" i="5" s="1"/>
  <c r="BD65" i="5" s="1"/>
  <c r="BD66" i="5" s="1"/>
  <c r="BD67" i="5" s="1"/>
  <c r="BE56" i="5" s="1"/>
  <c r="BE57" i="5" s="1"/>
  <c r="BE58" i="5" s="1"/>
  <c r="BE59" i="5" s="1"/>
  <c r="BE60" i="5" s="1"/>
  <c r="BE61" i="5" s="1"/>
  <c r="BE62" i="5" s="1"/>
  <c r="BE63" i="5" s="1"/>
  <c r="BE64" i="5" s="1"/>
  <c r="BE65" i="5" s="1"/>
  <c r="BE66" i="5" s="1"/>
  <c r="BE67" i="5" s="1"/>
  <c r="BF56" i="5" s="1"/>
  <c r="BF57" i="5" s="1"/>
  <c r="BF58" i="5" s="1"/>
  <c r="BF59" i="5" s="1"/>
  <c r="BF60" i="5" s="1"/>
  <c r="BF61" i="5" s="1"/>
  <c r="BF62" i="5" s="1"/>
  <c r="BF63" i="5" s="1"/>
  <c r="BF64" i="5" s="1"/>
  <c r="BF65" i="5" s="1"/>
  <c r="BF66" i="5" s="1"/>
  <c r="BF67" i="5" s="1"/>
  <c r="BG56" i="5" s="1"/>
  <c r="BG57" i="5" s="1"/>
  <c r="BG58" i="5" s="1"/>
  <c r="BG59" i="5" s="1"/>
  <c r="BG60" i="5" s="1"/>
  <c r="BG61" i="5" s="1"/>
  <c r="BG62" i="5" s="1"/>
  <c r="BG63" i="5" s="1"/>
  <c r="BG64" i="5" s="1"/>
  <c r="BG65" i="5" s="1"/>
  <c r="BG66" i="5" s="1"/>
  <c r="BG67" i="5" s="1"/>
  <c r="BH56" i="5" s="1"/>
  <c r="BH57" i="5" s="1"/>
  <c r="BH58" i="5" s="1"/>
  <c r="BH59" i="5" s="1"/>
  <c r="BH60" i="5" s="1"/>
  <c r="BH61" i="5" s="1"/>
  <c r="BH62" i="5" s="1"/>
  <c r="BH63" i="5" s="1"/>
  <c r="BH64" i="5" s="1"/>
  <c r="BH65" i="5" s="1"/>
  <c r="BH66" i="5" s="1"/>
  <c r="BH67" i="5" s="1"/>
  <c r="BI56" i="5" s="1"/>
  <c r="BI57" i="5" s="1"/>
  <c r="BI58" i="5" s="1"/>
  <c r="BI59" i="5" s="1"/>
  <c r="BI60" i="5" s="1"/>
  <c r="BI61" i="5" s="1"/>
  <c r="BI62" i="5" s="1"/>
  <c r="BI63" i="5" s="1"/>
  <c r="BI64" i="5" s="1"/>
  <c r="BI65" i="5" s="1"/>
  <c r="BI66" i="5" s="1"/>
  <c r="BI67" i="5" s="1"/>
  <c r="BJ56" i="5" s="1"/>
  <c r="BJ57" i="5" s="1"/>
  <c r="BJ58" i="5" s="1"/>
  <c r="BJ59" i="5" s="1"/>
  <c r="BJ60" i="5" s="1"/>
  <c r="BJ61" i="5" s="1"/>
  <c r="BJ62" i="5" s="1"/>
  <c r="BJ63" i="5" s="1"/>
  <c r="BJ64" i="5" s="1"/>
  <c r="BJ65" i="5" s="1"/>
  <c r="BJ66" i="5" s="1"/>
  <c r="BJ67" i="5" s="1"/>
  <c r="D56" i="5"/>
  <c r="D57" i="5" s="1"/>
  <c r="D58" i="5" s="1"/>
  <c r="D59" i="5" s="1"/>
  <c r="D60" i="5" s="1"/>
  <c r="D61" i="5" s="1"/>
  <c r="D62" i="5" s="1"/>
  <c r="D63" i="5" s="1"/>
  <c r="D64" i="5" s="1"/>
  <c r="D65" i="5" s="1"/>
  <c r="D66" i="5" s="1"/>
  <c r="D67" i="5" s="1"/>
  <c r="E56" i="5" s="1"/>
  <c r="E57" i="5" s="1"/>
  <c r="E58" i="5" s="1"/>
  <c r="E59" i="5" s="1"/>
  <c r="E60" i="5" s="1"/>
  <c r="E61" i="5" s="1"/>
  <c r="E62" i="5" s="1"/>
  <c r="E63" i="5" s="1"/>
  <c r="E64" i="5" s="1"/>
  <c r="E65" i="5" s="1"/>
  <c r="E66" i="5" s="1"/>
  <c r="E67" i="5" s="1"/>
  <c r="F56" i="5" s="1"/>
  <c r="F57" i="5" s="1"/>
  <c r="F58" i="5" s="1"/>
  <c r="F59" i="5" s="1"/>
  <c r="F60" i="5" s="1"/>
  <c r="F61" i="5" s="1"/>
  <c r="F62" i="5" s="1"/>
  <c r="F63" i="5" s="1"/>
  <c r="F64" i="5" s="1"/>
  <c r="F65" i="5" s="1"/>
  <c r="F66" i="5" s="1"/>
  <c r="F67" i="5" s="1"/>
  <c r="G56" i="5" s="1"/>
  <c r="G57" i="5" s="1"/>
  <c r="G58" i="5" s="1"/>
  <c r="G59" i="5" s="1"/>
  <c r="G60" i="5" s="1"/>
  <c r="G61" i="5" s="1"/>
  <c r="G62" i="5" s="1"/>
  <c r="G63" i="5" s="1"/>
  <c r="G64" i="5" s="1"/>
  <c r="G65" i="5" s="1"/>
  <c r="G66" i="5" s="1"/>
  <c r="G67" i="5" s="1"/>
  <c r="H56" i="5" s="1"/>
  <c r="H57" i="5" s="1"/>
  <c r="H58" i="5" s="1"/>
  <c r="H59" i="5" s="1"/>
  <c r="H60" i="5" s="1"/>
  <c r="H61" i="5" s="1"/>
  <c r="H62" i="5" s="1"/>
  <c r="H63" i="5" s="1"/>
  <c r="H64" i="5" s="1"/>
  <c r="H65" i="5" s="1"/>
  <c r="H66" i="5" s="1"/>
  <c r="H67" i="5" s="1"/>
  <c r="I56" i="5" s="1"/>
  <c r="I57" i="5" s="1"/>
  <c r="I58" i="5" s="1"/>
  <c r="I59" i="5" s="1"/>
  <c r="I60" i="5" s="1"/>
  <c r="I61" i="5" s="1"/>
  <c r="I62" i="5" s="1"/>
  <c r="I63" i="5" s="1"/>
  <c r="I64" i="5" s="1"/>
  <c r="I65" i="5" s="1"/>
  <c r="I66" i="5" s="1"/>
  <c r="I67" i="5" s="1"/>
  <c r="J56" i="5" s="1"/>
  <c r="J57" i="5" s="1"/>
  <c r="J58" i="5" s="1"/>
  <c r="J59" i="5" s="1"/>
  <c r="J60" i="5" s="1"/>
  <c r="J61" i="5" s="1"/>
  <c r="J62" i="5" s="1"/>
  <c r="J63" i="5" s="1"/>
  <c r="J64" i="5" s="1"/>
  <c r="J65" i="5" s="1"/>
  <c r="J66" i="5" s="1"/>
  <c r="J67" i="5" s="1"/>
  <c r="K56" i="5" s="1"/>
  <c r="K57" i="5" s="1"/>
  <c r="K58" i="5" s="1"/>
  <c r="K59" i="5" s="1"/>
  <c r="K60" i="5" s="1"/>
  <c r="K61" i="5" s="1"/>
  <c r="K62" i="5" s="1"/>
  <c r="K63" i="5" s="1"/>
  <c r="K64" i="5" s="1"/>
  <c r="K65" i="5" s="1"/>
  <c r="K66" i="5" s="1"/>
  <c r="K67" i="5" s="1"/>
  <c r="L56" i="5" s="1"/>
  <c r="L57" i="5" s="1"/>
  <c r="L58" i="5" s="1"/>
  <c r="L59" i="5" s="1"/>
  <c r="L60" i="5" s="1"/>
  <c r="L61" i="5" s="1"/>
  <c r="L62" i="5" s="1"/>
  <c r="L63" i="5" s="1"/>
  <c r="L64" i="5" s="1"/>
  <c r="L65" i="5" s="1"/>
  <c r="L66" i="5" s="1"/>
  <c r="L67" i="5" s="1"/>
  <c r="M56" i="5" s="1"/>
  <c r="M57" i="5" s="1"/>
  <c r="M58" i="5" s="1"/>
  <c r="M59" i="5" s="1"/>
  <c r="M60" i="5" s="1"/>
  <c r="M61" i="5" s="1"/>
  <c r="M62" i="5" s="1"/>
  <c r="M63" i="5" s="1"/>
  <c r="M64" i="5" s="1"/>
  <c r="M65" i="5" s="1"/>
  <c r="M66" i="5" s="1"/>
  <c r="M67" i="5" s="1"/>
  <c r="N56" i="5" s="1"/>
  <c r="N57" i="5" s="1"/>
  <c r="N58" i="5" s="1"/>
  <c r="N59" i="5" s="1"/>
  <c r="N60" i="5" s="1"/>
  <c r="N61" i="5" s="1"/>
  <c r="N62" i="5" s="1"/>
  <c r="N63" i="5" s="1"/>
  <c r="N64" i="5" s="1"/>
  <c r="N65" i="5" s="1"/>
  <c r="N66" i="5" s="1"/>
  <c r="N67" i="5" s="1"/>
  <c r="O56" i="5" s="1"/>
  <c r="O57" i="5" s="1"/>
  <c r="O58" i="5" s="1"/>
  <c r="O59" i="5" s="1"/>
  <c r="O60" i="5" s="1"/>
  <c r="O61" i="5" s="1"/>
  <c r="O62" i="5" s="1"/>
  <c r="O63" i="5" s="1"/>
  <c r="O64" i="5" s="1"/>
  <c r="O65" i="5" s="1"/>
  <c r="O66" i="5" s="1"/>
  <c r="O67" i="5" s="1"/>
  <c r="P56" i="5" s="1"/>
  <c r="P57" i="5" s="1"/>
  <c r="P58" i="5" s="1"/>
  <c r="P59" i="5" s="1"/>
  <c r="P60" i="5" s="1"/>
  <c r="P61" i="5" s="1"/>
  <c r="P62" i="5" s="1"/>
  <c r="P63" i="5" s="1"/>
  <c r="P64" i="5" s="1"/>
  <c r="P65" i="5" s="1"/>
  <c r="P66" i="5" s="1"/>
  <c r="P67" i="5" s="1"/>
  <c r="Q56" i="5" s="1"/>
  <c r="Q57" i="5" s="1"/>
  <c r="Q58" i="5" s="1"/>
  <c r="Q59" i="5" s="1"/>
  <c r="Q60" i="5" s="1"/>
  <c r="Q61" i="5" s="1"/>
  <c r="Q62" i="5" s="1"/>
  <c r="Q63" i="5" s="1"/>
  <c r="Q64" i="5" s="1"/>
  <c r="Q65" i="5" s="1"/>
  <c r="Q66" i="5" s="1"/>
  <c r="Q67" i="5" s="1"/>
  <c r="R56" i="5" s="1"/>
  <c r="R57" i="5" s="1"/>
  <c r="R58" i="5" s="1"/>
  <c r="R59" i="5" s="1"/>
  <c r="R60" i="5" s="1"/>
  <c r="R61" i="5" s="1"/>
  <c r="R62" i="5" s="1"/>
  <c r="R63" i="5" s="1"/>
  <c r="R64" i="5" s="1"/>
  <c r="R65" i="5" s="1"/>
  <c r="R66" i="5" s="1"/>
  <c r="R67" i="5" s="1"/>
  <c r="S56" i="5" s="1"/>
  <c r="S57" i="5" s="1"/>
  <c r="S58" i="5" s="1"/>
  <c r="S59" i="5" s="1"/>
  <c r="S60" i="5" s="1"/>
  <c r="S61" i="5" s="1"/>
  <c r="S62" i="5" s="1"/>
  <c r="S63" i="5" s="1"/>
  <c r="S64" i="5" s="1"/>
  <c r="S65" i="5" s="1"/>
  <c r="S66" i="5" s="1"/>
  <c r="S67" i="5" s="1"/>
  <c r="T56" i="5" s="1"/>
  <c r="T57" i="5" s="1"/>
  <c r="T58" i="5" s="1"/>
  <c r="T59" i="5" s="1"/>
  <c r="T60" i="5" s="1"/>
  <c r="T61" i="5" s="1"/>
  <c r="T62" i="5" s="1"/>
  <c r="T63" i="5" s="1"/>
  <c r="T64" i="5" s="1"/>
  <c r="T65" i="5" s="1"/>
  <c r="T66" i="5" s="1"/>
  <c r="T67" i="5" s="1"/>
  <c r="U56" i="5" s="1"/>
  <c r="U57" i="5" s="1"/>
  <c r="U58" i="5" s="1"/>
  <c r="U59" i="5" s="1"/>
  <c r="U60" i="5" s="1"/>
  <c r="U61" i="5" s="1"/>
  <c r="U62" i="5" s="1"/>
  <c r="U63" i="5" s="1"/>
  <c r="U64" i="5" s="1"/>
  <c r="U65" i="5" s="1"/>
  <c r="U66" i="5" s="1"/>
  <c r="U67" i="5" s="1"/>
  <c r="V56" i="5" s="1"/>
  <c r="V57" i="5" s="1"/>
  <c r="V58" i="5" s="1"/>
  <c r="V59" i="5" s="1"/>
  <c r="V60" i="5" s="1"/>
  <c r="V61" i="5" s="1"/>
  <c r="V62" i="5" s="1"/>
  <c r="V63" i="5" s="1"/>
  <c r="V64" i="5" s="1"/>
  <c r="V65" i="5" s="1"/>
  <c r="V66" i="5" s="1"/>
  <c r="V67" i="5" s="1"/>
  <c r="W56" i="5" s="1"/>
  <c r="W57" i="5" s="1"/>
  <c r="W58" i="5" s="1"/>
  <c r="W59" i="5" s="1"/>
  <c r="W60" i="5" s="1"/>
  <c r="W61" i="5" s="1"/>
  <c r="W62" i="5" s="1"/>
  <c r="W63" i="5" s="1"/>
  <c r="W64" i="5" s="1"/>
  <c r="W65" i="5" s="1"/>
  <c r="W66" i="5" s="1"/>
  <c r="W67" i="5" s="1"/>
  <c r="X56" i="5" s="1"/>
  <c r="X57" i="5" s="1"/>
  <c r="X58" i="5" s="1"/>
  <c r="X59" i="5" s="1"/>
  <c r="X60" i="5" s="1"/>
  <c r="X61" i="5" s="1"/>
  <c r="X62" i="5" s="1"/>
  <c r="X63" i="5" s="1"/>
  <c r="X64" i="5" s="1"/>
  <c r="X65" i="5" s="1"/>
  <c r="X66" i="5" s="1"/>
  <c r="X67" i="5" s="1"/>
  <c r="Y56" i="5" s="1"/>
  <c r="Y57" i="5" s="1"/>
  <c r="Y58" i="5" s="1"/>
  <c r="Y59" i="5" s="1"/>
  <c r="Y60" i="5" s="1"/>
  <c r="Y61" i="5" s="1"/>
  <c r="Y62" i="5" s="1"/>
  <c r="Y63" i="5" s="1"/>
  <c r="Y64" i="5" s="1"/>
  <c r="Y65" i="5" s="1"/>
  <c r="Y66" i="5" s="1"/>
  <c r="Y67" i="5" s="1"/>
  <c r="Z56" i="5" s="1"/>
  <c r="Z57" i="5" s="1"/>
  <c r="Z58" i="5" s="1"/>
  <c r="Z59" i="5" s="1"/>
  <c r="Z60" i="5" s="1"/>
  <c r="Z61" i="5" s="1"/>
  <c r="Z62" i="5" s="1"/>
  <c r="Z63" i="5" s="1"/>
  <c r="Z64" i="5" s="1"/>
  <c r="Z65" i="5" s="1"/>
  <c r="Z66" i="5" s="1"/>
  <c r="Z67" i="5" s="1"/>
  <c r="AA56" i="5" s="1"/>
  <c r="AA57" i="5" s="1"/>
  <c r="AA58" i="5" s="1"/>
  <c r="AA59" i="5" s="1"/>
  <c r="AA60" i="5" s="1"/>
  <c r="AA61" i="5" s="1"/>
  <c r="AA62" i="5" s="1"/>
  <c r="AA63" i="5" s="1"/>
  <c r="AA64" i="5" s="1"/>
  <c r="AA65" i="5" s="1"/>
  <c r="AA66" i="5" s="1"/>
  <c r="AA67" i="5" s="1"/>
  <c r="AB56" i="5" s="1"/>
  <c r="AB57" i="5" s="1"/>
  <c r="AB58" i="5" s="1"/>
  <c r="AB59" i="5" s="1"/>
  <c r="AB60" i="5" s="1"/>
  <c r="AB61" i="5" s="1"/>
  <c r="AB62" i="5" s="1"/>
  <c r="AB63" i="5" s="1"/>
  <c r="AB64" i="5" s="1"/>
  <c r="AB65" i="5" s="1"/>
  <c r="AB66" i="5" s="1"/>
  <c r="AB67" i="5" s="1"/>
  <c r="AC56" i="5" s="1"/>
  <c r="AC57" i="5" s="1"/>
  <c r="AC58" i="5" s="1"/>
  <c r="AC59" i="5" s="1"/>
  <c r="AC60" i="5" s="1"/>
  <c r="AC61" i="5" s="1"/>
  <c r="AC62" i="5" s="1"/>
  <c r="AC63" i="5" s="1"/>
  <c r="AC64" i="5" s="1"/>
  <c r="AC65" i="5" s="1"/>
  <c r="AC66" i="5" s="1"/>
  <c r="AC67" i="5" s="1"/>
  <c r="AD56" i="5" s="1"/>
  <c r="AD57" i="5" s="1"/>
  <c r="AD58" i="5" s="1"/>
  <c r="AD59" i="5" s="1"/>
  <c r="AD60" i="5" s="1"/>
  <c r="AD61" i="5" s="1"/>
  <c r="AD62" i="5" s="1"/>
  <c r="AD63" i="5" s="1"/>
  <c r="AD64" i="5" s="1"/>
  <c r="AD65" i="5" s="1"/>
  <c r="AD66" i="5" s="1"/>
  <c r="AD67" i="5" s="1"/>
  <c r="AE56" i="5" s="1"/>
  <c r="AE57" i="5" s="1"/>
  <c r="AE58" i="5" s="1"/>
  <c r="AE59" i="5" s="1"/>
  <c r="AE60" i="5" s="1"/>
  <c r="AE61" i="5" s="1"/>
  <c r="AE62" i="5" s="1"/>
  <c r="AE63" i="5" s="1"/>
  <c r="AE64" i="5" s="1"/>
  <c r="AE65" i="5" s="1"/>
  <c r="AE66" i="5" s="1"/>
  <c r="AE67" i="5" s="1"/>
  <c r="AI37" i="5"/>
  <c r="AI38" i="5" s="1"/>
  <c r="AI39" i="5" s="1"/>
  <c r="AI40" i="5" s="1"/>
  <c r="AI41" i="5" s="1"/>
  <c r="AI42" i="5" s="1"/>
  <c r="AI43" i="5" s="1"/>
  <c r="AI44" i="5" s="1"/>
  <c r="AI45" i="5" s="1"/>
  <c r="AI46" i="5" s="1"/>
  <c r="AI47" i="5" s="1"/>
  <c r="AI48" i="5" s="1"/>
  <c r="AJ37" i="5" s="1"/>
  <c r="AJ38" i="5" s="1"/>
  <c r="AJ39" i="5" s="1"/>
  <c r="AJ40" i="5" s="1"/>
  <c r="AJ41" i="5" s="1"/>
  <c r="AJ42" i="5" s="1"/>
  <c r="AJ43" i="5" s="1"/>
  <c r="AJ44" i="5" s="1"/>
  <c r="AJ45" i="5" s="1"/>
  <c r="AJ46" i="5" s="1"/>
  <c r="AJ47" i="5" s="1"/>
  <c r="AJ48" i="5" s="1"/>
  <c r="AK37" i="5" s="1"/>
  <c r="AK38" i="5" s="1"/>
  <c r="AK39" i="5" s="1"/>
  <c r="AK40" i="5" s="1"/>
  <c r="AK41" i="5" s="1"/>
  <c r="AK42" i="5" s="1"/>
  <c r="AK43" i="5" s="1"/>
  <c r="AK44" i="5" s="1"/>
  <c r="AK45" i="5" s="1"/>
  <c r="AK46" i="5" s="1"/>
  <c r="AK47" i="5" s="1"/>
  <c r="AK48" i="5" s="1"/>
  <c r="AL37" i="5" s="1"/>
  <c r="AL38" i="5" s="1"/>
  <c r="AL39" i="5" s="1"/>
  <c r="AL40" i="5" s="1"/>
  <c r="AL41" i="5" s="1"/>
  <c r="AL42" i="5" s="1"/>
  <c r="AL43" i="5" s="1"/>
  <c r="AL44" i="5" s="1"/>
  <c r="AL45" i="5" s="1"/>
  <c r="AL46" i="5" s="1"/>
  <c r="AL47" i="5" s="1"/>
  <c r="AL48" i="5" s="1"/>
  <c r="AM37" i="5" s="1"/>
  <c r="AM38" i="5" s="1"/>
  <c r="AM39" i="5" s="1"/>
  <c r="AM40" i="5" s="1"/>
  <c r="AM41" i="5" s="1"/>
  <c r="AM42" i="5" s="1"/>
  <c r="AM43" i="5" s="1"/>
  <c r="AM44" i="5" s="1"/>
  <c r="AM45" i="5" s="1"/>
  <c r="AM46" i="5" s="1"/>
  <c r="AM47" i="5" s="1"/>
  <c r="AM48" i="5" s="1"/>
  <c r="AN37" i="5" s="1"/>
  <c r="AN38" i="5" s="1"/>
  <c r="AN39" i="5" s="1"/>
  <c r="AN40" i="5" s="1"/>
  <c r="AN41" i="5" s="1"/>
  <c r="AN42" i="5" s="1"/>
  <c r="AN43" i="5" s="1"/>
  <c r="AN44" i="5" s="1"/>
  <c r="AN45" i="5" s="1"/>
  <c r="AN46" i="5" s="1"/>
  <c r="AN47" i="5" s="1"/>
  <c r="AN48" i="5" s="1"/>
  <c r="AO37" i="5" s="1"/>
  <c r="AO38" i="5" s="1"/>
  <c r="AO39" i="5" s="1"/>
  <c r="AO40" i="5" s="1"/>
  <c r="AO41" i="5" s="1"/>
  <c r="AO42" i="5" s="1"/>
  <c r="AO43" i="5" s="1"/>
  <c r="AO44" i="5" s="1"/>
  <c r="AO45" i="5" s="1"/>
  <c r="AO46" i="5" s="1"/>
  <c r="AO47" i="5" s="1"/>
  <c r="AO48" i="5" s="1"/>
  <c r="AP37" i="5" s="1"/>
  <c r="AP38" i="5" s="1"/>
  <c r="AP39" i="5" s="1"/>
  <c r="AP40" i="5" s="1"/>
  <c r="AP41" i="5" s="1"/>
  <c r="AP42" i="5" s="1"/>
  <c r="AP43" i="5" s="1"/>
  <c r="AP44" i="5" s="1"/>
  <c r="AP45" i="5" s="1"/>
  <c r="AP46" i="5" s="1"/>
  <c r="AP47" i="5" s="1"/>
  <c r="AP48" i="5" s="1"/>
  <c r="AQ37" i="5" s="1"/>
  <c r="AQ38" i="5" s="1"/>
  <c r="AQ39" i="5" s="1"/>
  <c r="AQ40" i="5" s="1"/>
  <c r="AQ41" i="5" s="1"/>
  <c r="AQ42" i="5" s="1"/>
  <c r="AQ43" i="5" s="1"/>
  <c r="AQ44" i="5" s="1"/>
  <c r="AQ45" i="5" s="1"/>
  <c r="AQ46" i="5" s="1"/>
  <c r="AQ47" i="5" s="1"/>
  <c r="AQ48" i="5" s="1"/>
  <c r="AR37" i="5" s="1"/>
  <c r="AR38" i="5" s="1"/>
  <c r="AR39" i="5" s="1"/>
  <c r="AR40" i="5" s="1"/>
  <c r="AR41" i="5" s="1"/>
  <c r="AR42" i="5" s="1"/>
  <c r="AR43" i="5" s="1"/>
  <c r="AR44" i="5" s="1"/>
  <c r="AR45" i="5" s="1"/>
  <c r="AR46" i="5" s="1"/>
  <c r="AR47" i="5" s="1"/>
  <c r="AR48" i="5" s="1"/>
  <c r="AS37" i="5" s="1"/>
  <c r="AS38" i="5" s="1"/>
  <c r="AS39" i="5" s="1"/>
  <c r="AS40" i="5" s="1"/>
  <c r="AS41" i="5" s="1"/>
  <c r="AS42" i="5" s="1"/>
  <c r="AS43" i="5" s="1"/>
  <c r="AS44" i="5" s="1"/>
  <c r="AS45" i="5" s="1"/>
  <c r="AS46" i="5" s="1"/>
  <c r="AS47" i="5" s="1"/>
  <c r="AS48" i="5" s="1"/>
  <c r="AT37" i="5" s="1"/>
  <c r="AT38" i="5" s="1"/>
  <c r="AT39" i="5" s="1"/>
  <c r="AT40" i="5" s="1"/>
  <c r="AT41" i="5" s="1"/>
  <c r="AT42" i="5" s="1"/>
  <c r="AT43" i="5" s="1"/>
  <c r="AT44" i="5" s="1"/>
  <c r="AT45" i="5" s="1"/>
  <c r="AT46" i="5" s="1"/>
  <c r="AT47" i="5" s="1"/>
  <c r="AT48" i="5" s="1"/>
  <c r="AU37" i="5" s="1"/>
  <c r="AU38" i="5" s="1"/>
  <c r="AU39" i="5" s="1"/>
  <c r="AU40" i="5" s="1"/>
  <c r="AU41" i="5" s="1"/>
  <c r="AU42" i="5" s="1"/>
  <c r="AU43" i="5" s="1"/>
  <c r="AU44" i="5" s="1"/>
  <c r="AU45" i="5" s="1"/>
  <c r="AU46" i="5" s="1"/>
  <c r="AU47" i="5" s="1"/>
  <c r="AU48" i="5" s="1"/>
  <c r="AV37" i="5" s="1"/>
  <c r="AV38" i="5" s="1"/>
  <c r="AV39" i="5" s="1"/>
  <c r="AV40" i="5" s="1"/>
  <c r="AV41" i="5" s="1"/>
  <c r="AV42" i="5" s="1"/>
  <c r="AV43" i="5" s="1"/>
  <c r="AV44" i="5" s="1"/>
  <c r="AV45" i="5" s="1"/>
  <c r="AV46" i="5" s="1"/>
  <c r="AV47" i="5" s="1"/>
  <c r="AV48" i="5" s="1"/>
  <c r="AW37" i="5" s="1"/>
  <c r="AW38" i="5" s="1"/>
  <c r="AW39" i="5" s="1"/>
  <c r="AW40" i="5" s="1"/>
  <c r="AW41" i="5" s="1"/>
  <c r="AW42" i="5" s="1"/>
  <c r="AW43" i="5" s="1"/>
  <c r="AW44" i="5" s="1"/>
  <c r="AW45" i="5" s="1"/>
  <c r="AW46" i="5" s="1"/>
  <c r="AW47" i="5" s="1"/>
  <c r="AW48" i="5" s="1"/>
  <c r="AX37" i="5" s="1"/>
  <c r="AX38" i="5" s="1"/>
  <c r="AX39" i="5" s="1"/>
  <c r="AX40" i="5" s="1"/>
  <c r="AX41" i="5" s="1"/>
  <c r="AX42" i="5" s="1"/>
  <c r="AX43" i="5" s="1"/>
  <c r="AX44" i="5" s="1"/>
  <c r="AX45" i="5" s="1"/>
  <c r="AX46" i="5" s="1"/>
  <c r="AX47" i="5" s="1"/>
  <c r="AX48" i="5" s="1"/>
  <c r="AY37" i="5" s="1"/>
  <c r="AY38" i="5" s="1"/>
  <c r="AY39" i="5" s="1"/>
  <c r="AY40" i="5" s="1"/>
  <c r="AY41" i="5" s="1"/>
  <c r="AY42" i="5" s="1"/>
  <c r="AY43" i="5" s="1"/>
  <c r="AY44" i="5" s="1"/>
  <c r="AY45" i="5" s="1"/>
  <c r="AY46" i="5" s="1"/>
  <c r="AY47" i="5" s="1"/>
  <c r="AY48" i="5" s="1"/>
  <c r="AZ37" i="5" s="1"/>
  <c r="AZ38" i="5" s="1"/>
  <c r="AZ39" i="5" s="1"/>
  <c r="AZ40" i="5" s="1"/>
  <c r="AZ41" i="5" s="1"/>
  <c r="AZ42" i="5" s="1"/>
  <c r="AZ43" i="5" s="1"/>
  <c r="AZ44" i="5" s="1"/>
  <c r="AZ45" i="5" s="1"/>
  <c r="AZ46" i="5" s="1"/>
  <c r="AZ47" i="5" s="1"/>
  <c r="AZ48" i="5" s="1"/>
  <c r="BA37" i="5" s="1"/>
  <c r="BA38" i="5" s="1"/>
  <c r="BA39" i="5" s="1"/>
  <c r="BA40" i="5" s="1"/>
  <c r="BA41" i="5" s="1"/>
  <c r="BA42" i="5" s="1"/>
  <c r="BA43" i="5" s="1"/>
  <c r="BA44" i="5" s="1"/>
  <c r="BA45" i="5" s="1"/>
  <c r="BA46" i="5" s="1"/>
  <c r="BA47" i="5" s="1"/>
  <c r="BA48" i="5" s="1"/>
  <c r="BB37" i="5" s="1"/>
  <c r="BB38" i="5" s="1"/>
  <c r="BB39" i="5" s="1"/>
  <c r="BB40" i="5" s="1"/>
  <c r="BB41" i="5" s="1"/>
  <c r="BB42" i="5" s="1"/>
  <c r="BB43" i="5" s="1"/>
  <c r="BB44" i="5" s="1"/>
  <c r="BB45" i="5" s="1"/>
  <c r="BB46" i="5" s="1"/>
  <c r="BB47" i="5" s="1"/>
  <c r="BB48" i="5" s="1"/>
  <c r="BC37" i="5" s="1"/>
  <c r="BC38" i="5" s="1"/>
  <c r="BC39" i="5" s="1"/>
  <c r="BC40" i="5" s="1"/>
  <c r="BC41" i="5" s="1"/>
  <c r="BC42" i="5" s="1"/>
  <c r="BC43" i="5" s="1"/>
  <c r="BC44" i="5" s="1"/>
  <c r="BC45" i="5" s="1"/>
  <c r="BC46" i="5" s="1"/>
  <c r="BC47" i="5" s="1"/>
  <c r="BC48" i="5" s="1"/>
  <c r="BD37" i="5" s="1"/>
  <c r="BD38" i="5" s="1"/>
  <c r="BD39" i="5" s="1"/>
  <c r="BD40" i="5" s="1"/>
  <c r="BD41" i="5" s="1"/>
  <c r="BD42" i="5" s="1"/>
  <c r="BD43" i="5" s="1"/>
  <c r="BD44" i="5" s="1"/>
  <c r="BD45" i="5" s="1"/>
  <c r="BD46" i="5" s="1"/>
  <c r="BD47" i="5" s="1"/>
  <c r="BD48" i="5" s="1"/>
  <c r="BE37" i="5" s="1"/>
  <c r="BE38" i="5" s="1"/>
  <c r="BE39" i="5" s="1"/>
  <c r="BE40" i="5" s="1"/>
  <c r="BE41" i="5" s="1"/>
  <c r="BE42" i="5" s="1"/>
  <c r="BE43" i="5" s="1"/>
  <c r="BE44" i="5" s="1"/>
  <c r="BE45" i="5" s="1"/>
  <c r="BE46" i="5" s="1"/>
  <c r="BE47" i="5" s="1"/>
  <c r="BE48" i="5" s="1"/>
  <c r="BF37" i="5" s="1"/>
  <c r="BF38" i="5" s="1"/>
  <c r="BF39" i="5" s="1"/>
  <c r="BF40" i="5" s="1"/>
  <c r="BF41" i="5" s="1"/>
  <c r="BF42" i="5" s="1"/>
  <c r="BF43" i="5" s="1"/>
  <c r="BF44" i="5" s="1"/>
  <c r="BF45" i="5" s="1"/>
  <c r="BF46" i="5" s="1"/>
  <c r="BF47" i="5" s="1"/>
  <c r="BF48" i="5" s="1"/>
  <c r="BG37" i="5" s="1"/>
  <c r="BG38" i="5" s="1"/>
  <c r="BG39" i="5" s="1"/>
  <c r="BG40" i="5" s="1"/>
  <c r="BG41" i="5" s="1"/>
  <c r="BG42" i="5" s="1"/>
  <c r="BG43" i="5" s="1"/>
  <c r="BG44" i="5" s="1"/>
  <c r="BG45" i="5" s="1"/>
  <c r="BG46" i="5" s="1"/>
  <c r="BG47" i="5" s="1"/>
  <c r="BG48" i="5" s="1"/>
  <c r="BH37" i="5" s="1"/>
  <c r="BH38" i="5" s="1"/>
  <c r="BH39" i="5" s="1"/>
  <c r="BH40" i="5" s="1"/>
  <c r="BH41" i="5" s="1"/>
  <c r="BH42" i="5" s="1"/>
  <c r="BH43" i="5" s="1"/>
  <c r="BH44" i="5" s="1"/>
  <c r="BH45" i="5" s="1"/>
  <c r="BH46" i="5" s="1"/>
  <c r="BH47" i="5" s="1"/>
  <c r="BH48" i="5" s="1"/>
  <c r="BI37" i="5" s="1"/>
  <c r="BI38" i="5" s="1"/>
  <c r="BI39" i="5" s="1"/>
  <c r="BI40" i="5" s="1"/>
  <c r="BI41" i="5" s="1"/>
  <c r="BI42" i="5" s="1"/>
  <c r="BI43" i="5" s="1"/>
  <c r="BI44" i="5" s="1"/>
  <c r="BI45" i="5" s="1"/>
  <c r="BI46" i="5" s="1"/>
  <c r="BI47" i="5" s="1"/>
  <c r="BI48" i="5" s="1"/>
  <c r="BJ37" i="5" s="1"/>
  <c r="BJ38" i="5" s="1"/>
  <c r="BJ39" i="5" s="1"/>
  <c r="BJ40" i="5" s="1"/>
  <c r="BJ41" i="5" s="1"/>
  <c r="BJ42" i="5" s="1"/>
  <c r="BJ43" i="5" s="1"/>
  <c r="BJ44" i="5" s="1"/>
  <c r="BJ45" i="5" s="1"/>
  <c r="BJ46" i="5" s="1"/>
  <c r="BJ47" i="5" s="1"/>
  <c r="BJ48" i="5" s="1"/>
  <c r="D37" i="5"/>
  <c r="D38" i="5" s="1"/>
  <c r="D39" i="5" s="1"/>
  <c r="D40" i="5" s="1"/>
  <c r="D41" i="5" s="1"/>
  <c r="D42" i="5" s="1"/>
  <c r="D43" i="5" s="1"/>
  <c r="D44" i="5" s="1"/>
  <c r="D45" i="5" s="1"/>
  <c r="D46" i="5" s="1"/>
  <c r="D47" i="5" s="1"/>
  <c r="D48" i="5" s="1"/>
  <c r="E37" i="5" s="1"/>
  <c r="E38" i="5" s="1"/>
  <c r="E39" i="5" s="1"/>
  <c r="E40" i="5" s="1"/>
  <c r="E41" i="5" s="1"/>
  <c r="E42" i="5" s="1"/>
  <c r="E43" i="5" s="1"/>
  <c r="E44" i="5" s="1"/>
  <c r="E45" i="5" s="1"/>
  <c r="E46" i="5" s="1"/>
  <c r="E47" i="5" s="1"/>
  <c r="E48" i="5" s="1"/>
  <c r="F37" i="5" s="1"/>
  <c r="F38" i="5" s="1"/>
  <c r="F39" i="5" s="1"/>
  <c r="F40" i="5" s="1"/>
  <c r="F41" i="5" s="1"/>
  <c r="F42" i="5" s="1"/>
  <c r="F43" i="5" s="1"/>
  <c r="F44" i="5" s="1"/>
  <c r="F45" i="5" s="1"/>
  <c r="F46" i="5" s="1"/>
  <c r="F47" i="5" s="1"/>
  <c r="F48" i="5" s="1"/>
  <c r="G37" i="5" s="1"/>
  <c r="G38" i="5" s="1"/>
  <c r="G39" i="5" s="1"/>
  <c r="G40" i="5" s="1"/>
  <c r="G41" i="5" s="1"/>
  <c r="G42" i="5" s="1"/>
  <c r="G43" i="5" s="1"/>
  <c r="G44" i="5" s="1"/>
  <c r="G45" i="5" s="1"/>
  <c r="G46" i="5" s="1"/>
  <c r="G47" i="5" s="1"/>
  <c r="G48" i="5" s="1"/>
  <c r="H37" i="5" s="1"/>
  <c r="H38" i="5" s="1"/>
  <c r="H39" i="5" s="1"/>
  <c r="H40" i="5" s="1"/>
  <c r="H41" i="5" s="1"/>
  <c r="H42" i="5" s="1"/>
  <c r="H43" i="5" s="1"/>
  <c r="H44" i="5" s="1"/>
  <c r="H45" i="5" s="1"/>
  <c r="H46" i="5" s="1"/>
  <c r="H47" i="5" s="1"/>
  <c r="H48" i="5" s="1"/>
  <c r="I37" i="5" s="1"/>
  <c r="I38" i="5" s="1"/>
  <c r="I39" i="5" s="1"/>
  <c r="I40" i="5" s="1"/>
  <c r="I41" i="5" s="1"/>
  <c r="I42" i="5" s="1"/>
  <c r="I43" i="5" s="1"/>
  <c r="I44" i="5" s="1"/>
  <c r="I45" i="5" s="1"/>
  <c r="I46" i="5" s="1"/>
  <c r="I47" i="5" s="1"/>
  <c r="I48" i="5" s="1"/>
  <c r="J37" i="5" s="1"/>
  <c r="J38" i="5" s="1"/>
  <c r="J39" i="5" s="1"/>
  <c r="J40" i="5" s="1"/>
  <c r="J41" i="5" s="1"/>
  <c r="J42" i="5" s="1"/>
  <c r="J43" i="5" s="1"/>
  <c r="J44" i="5" s="1"/>
  <c r="J45" i="5" s="1"/>
  <c r="J46" i="5" s="1"/>
  <c r="J47" i="5" s="1"/>
  <c r="J48" i="5" s="1"/>
  <c r="K37" i="5" s="1"/>
  <c r="K38" i="5" s="1"/>
  <c r="K39" i="5" s="1"/>
  <c r="K40" i="5" s="1"/>
  <c r="K41" i="5" s="1"/>
  <c r="K42" i="5" s="1"/>
  <c r="K43" i="5" s="1"/>
  <c r="K44" i="5" s="1"/>
  <c r="K45" i="5" s="1"/>
  <c r="K46" i="5" s="1"/>
  <c r="K47" i="5" s="1"/>
  <c r="K48" i="5" s="1"/>
  <c r="L37" i="5" s="1"/>
  <c r="L38" i="5" s="1"/>
  <c r="L39" i="5" s="1"/>
  <c r="L40" i="5" s="1"/>
  <c r="L41" i="5" s="1"/>
  <c r="L42" i="5" s="1"/>
  <c r="L43" i="5" s="1"/>
  <c r="L44" i="5" s="1"/>
  <c r="L45" i="5" s="1"/>
  <c r="L46" i="5" s="1"/>
  <c r="L47" i="5" s="1"/>
  <c r="L48" i="5" s="1"/>
  <c r="M37" i="5" s="1"/>
  <c r="M38" i="5" s="1"/>
  <c r="M39" i="5" s="1"/>
  <c r="M40" i="5" s="1"/>
  <c r="M41" i="5" s="1"/>
  <c r="M42" i="5" s="1"/>
  <c r="M43" i="5" s="1"/>
  <c r="M44" i="5" s="1"/>
  <c r="M45" i="5" s="1"/>
  <c r="M46" i="5" s="1"/>
  <c r="M47" i="5" s="1"/>
  <c r="M48" i="5" s="1"/>
  <c r="N37" i="5" s="1"/>
  <c r="N38" i="5" s="1"/>
  <c r="N39" i="5" s="1"/>
  <c r="N40" i="5" s="1"/>
  <c r="N41" i="5" s="1"/>
  <c r="N42" i="5" s="1"/>
  <c r="N43" i="5" s="1"/>
  <c r="N44" i="5" s="1"/>
  <c r="N45" i="5" s="1"/>
  <c r="N46" i="5" s="1"/>
  <c r="N47" i="5" s="1"/>
  <c r="N48" i="5" s="1"/>
  <c r="O37" i="5" s="1"/>
  <c r="O38" i="5" s="1"/>
  <c r="O39" i="5" s="1"/>
  <c r="O40" i="5" s="1"/>
  <c r="O41" i="5" s="1"/>
  <c r="O42" i="5" s="1"/>
  <c r="O43" i="5" s="1"/>
  <c r="O44" i="5" s="1"/>
  <c r="O45" i="5" s="1"/>
  <c r="O46" i="5" s="1"/>
  <c r="O47" i="5" s="1"/>
  <c r="O48" i="5" s="1"/>
  <c r="P37" i="5" s="1"/>
  <c r="P38" i="5" s="1"/>
  <c r="P39" i="5" s="1"/>
  <c r="P40" i="5" s="1"/>
  <c r="P41" i="5" s="1"/>
  <c r="P42" i="5" s="1"/>
  <c r="P43" i="5" s="1"/>
  <c r="P44" i="5" s="1"/>
  <c r="P45" i="5" s="1"/>
  <c r="P46" i="5" s="1"/>
  <c r="P47" i="5" s="1"/>
  <c r="P48" i="5" s="1"/>
  <c r="Q37" i="5" s="1"/>
  <c r="Q38" i="5" s="1"/>
  <c r="Q39" i="5" s="1"/>
  <c r="Q40" i="5" s="1"/>
  <c r="Q41" i="5" s="1"/>
  <c r="Q42" i="5" s="1"/>
  <c r="Q43" i="5" s="1"/>
  <c r="Q44" i="5" s="1"/>
  <c r="Q45" i="5" s="1"/>
  <c r="Q46" i="5" s="1"/>
  <c r="Q47" i="5" s="1"/>
  <c r="Q48" i="5" s="1"/>
  <c r="R37" i="5" s="1"/>
  <c r="R38" i="5" s="1"/>
  <c r="R39" i="5" s="1"/>
  <c r="R40" i="5" s="1"/>
  <c r="R41" i="5" s="1"/>
  <c r="R42" i="5" s="1"/>
  <c r="R43" i="5" s="1"/>
  <c r="R44" i="5" s="1"/>
  <c r="R45" i="5" s="1"/>
  <c r="R46" i="5" s="1"/>
  <c r="R47" i="5" s="1"/>
  <c r="R48" i="5" s="1"/>
  <c r="S37" i="5" s="1"/>
  <c r="S38" i="5" s="1"/>
  <c r="S39" i="5" s="1"/>
  <c r="S40" i="5" s="1"/>
  <c r="S41" i="5" s="1"/>
  <c r="S42" i="5" s="1"/>
  <c r="S43" i="5" s="1"/>
  <c r="S44" i="5" s="1"/>
  <c r="S45" i="5" s="1"/>
  <c r="S46" i="5" s="1"/>
  <c r="S47" i="5" s="1"/>
  <c r="S48" i="5" s="1"/>
  <c r="T37" i="5" s="1"/>
  <c r="T38" i="5" s="1"/>
  <c r="T39" i="5" s="1"/>
  <c r="T40" i="5" s="1"/>
  <c r="T41" i="5" s="1"/>
  <c r="T42" i="5" s="1"/>
  <c r="T43" i="5" s="1"/>
  <c r="T44" i="5" s="1"/>
  <c r="T45" i="5" s="1"/>
  <c r="T46" i="5" s="1"/>
  <c r="T47" i="5" s="1"/>
  <c r="T48" i="5" s="1"/>
  <c r="U37" i="5" s="1"/>
  <c r="U38" i="5" s="1"/>
  <c r="U39" i="5" s="1"/>
  <c r="U40" i="5" s="1"/>
  <c r="U41" i="5" s="1"/>
  <c r="U42" i="5" s="1"/>
  <c r="U43" i="5" s="1"/>
  <c r="U44" i="5" s="1"/>
  <c r="U45" i="5" s="1"/>
  <c r="U46" i="5" s="1"/>
  <c r="U47" i="5" s="1"/>
  <c r="U48" i="5" s="1"/>
  <c r="V37" i="5" s="1"/>
  <c r="V38" i="5" s="1"/>
  <c r="V39" i="5" s="1"/>
  <c r="V40" i="5" s="1"/>
  <c r="V41" i="5" s="1"/>
  <c r="V42" i="5" s="1"/>
  <c r="V43" i="5" s="1"/>
  <c r="V44" i="5" s="1"/>
  <c r="V45" i="5" s="1"/>
  <c r="V46" i="5" s="1"/>
  <c r="V47" i="5" s="1"/>
  <c r="V48" i="5" s="1"/>
  <c r="W37" i="5" s="1"/>
  <c r="W38" i="5" s="1"/>
  <c r="W39" i="5" s="1"/>
  <c r="W40" i="5" s="1"/>
  <c r="W41" i="5" s="1"/>
  <c r="W42" i="5" s="1"/>
  <c r="W43" i="5" s="1"/>
  <c r="W44" i="5" s="1"/>
  <c r="W45" i="5" s="1"/>
  <c r="W46" i="5" s="1"/>
  <c r="W47" i="5" s="1"/>
  <c r="W48" i="5" s="1"/>
  <c r="X37" i="5" s="1"/>
  <c r="X38" i="5" s="1"/>
  <c r="X39" i="5" s="1"/>
  <c r="X40" i="5" s="1"/>
  <c r="X41" i="5" s="1"/>
  <c r="X42" i="5" s="1"/>
  <c r="X43" i="5" s="1"/>
  <c r="X44" i="5" s="1"/>
  <c r="X45" i="5" s="1"/>
  <c r="X46" i="5" s="1"/>
  <c r="X47" i="5" s="1"/>
  <c r="X48" i="5" s="1"/>
  <c r="Y37" i="5" s="1"/>
  <c r="Y38" i="5" s="1"/>
  <c r="Y39" i="5" s="1"/>
  <c r="Y40" i="5" s="1"/>
  <c r="Y41" i="5" s="1"/>
  <c r="Y42" i="5" s="1"/>
  <c r="Y43" i="5" s="1"/>
  <c r="Y44" i="5" s="1"/>
  <c r="Y45" i="5" s="1"/>
  <c r="Y46" i="5" s="1"/>
  <c r="Y47" i="5" s="1"/>
  <c r="Y48" i="5" s="1"/>
  <c r="Z37" i="5" s="1"/>
  <c r="Z38" i="5" s="1"/>
  <c r="Z39" i="5" s="1"/>
  <c r="Z40" i="5" s="1"/>
  <c r="Z41" i="5" s="1"/>
  <c r="Z42" i="5" s="1"/>
  <c r="Z43" i="5" s="1"/>
  <c r="Z44" i="5" s="1"/>
  <c r="Z45" i="5" s="1"/>
  <c r="Z46" i="5" s="1"/>
  <c r="Z47" i="5" s="1"/>
  <c r="Z48" i="5" s="1"/>
  <c r="AA37" i="5" s="1"/>
  <c r="AA38" i="5" s="1"/>
  <c r="AA39" i="5" s="1"/>
  <c r="AA40" i="5" s="1"/>
  <c r="AA41" i="5" s="1"/>
  <c r="AA42" i="5" s="1"/>
  <c r="AA43" i="5" s="1"/>
  <c r="AA44" i="5" s="1"/>
  <c r="AA45" i="5" s="1"/>
  <c r="AA46" i="5" s="1"/>
  <c r="AA47" i="5" s="1"/>
  <c r="AA48" i="5" s="1"/>
  <c r="AB37" i="5" s="1"/>
  <c r="AB38" i="5" s="1"/>
  <c r="AB39" i="5" s="1"/>
  <c r="AB40" i="5" s="1"/>
  <c r="AB41" i="5" s="1"/>
  <c r="AB42" i="5" s="1"/>
  <c r="AB43" i="5" s="1"/>
  <c r="AB44" i="5" s="1"/>
  <c r="AB45" i="5" s="1"/>
  <c r="AB46" i="5" s="1"/>
  <c r="AB47" i="5" s="1"/>
  <c r="AB48" i="5" s="1"/>
  <c r="AC37" i="5" s="1"/>
  <c r="AC38" i="5" s="1"/>
  <c r="AC39" i="5" s="1"/>
  <c r="AC40" i="5" s="1"/>
  <c r="AC41" i="5" s="1"/>
  <c r="AC42" i="5" s="1"/>
  <c r="AC43" i="5" s="1"/>
  <c r="AC44" i="5" s="1"/>
  <c r="AC45" i="5" s="1"/>
  <c r="AC46" i="5" s="1"/>
  <c r="AC47" i="5" s="1"/>
  <c r="AC48" i="5" s="1"/>
  <c r="AD37" i="5" s="1"/>
  <c r="AD38" i="5" s="1"/>
  <c r="AD39" i="5" s="1"/>
  <c r="AD40" i="5" s="1"/>
  <c r="AD41" i="5" s="1"/>
  <c r="AD42" i="5" s="1"/>
  <c r="AD43" i="5" s="1"/>
  <c r="AD44" i="5" s="1"/>
  <c r="AD45" i="5" s="1"/>
  <c r="AD46" i="5" s="1"/>
  <c r="AD47" i="5" s="1"/>
  <c r="AD48" i="5" s="1"/>
  <c r="AE37" i="5" s="1"/>
  <c r="AE38" i="5" s="1"/>
  <c r="AE39" i="5" s="1"/>
  <c r="AE40" i="5" s="1"/>
  <c r="AE41" i="5" s="1"/>
  <c r="AE42" i="5" s="1"/>
  <c r="AE43" i="5" s="1"/>
  <c r="AE44" i="5" s="1"/>
  <c r="AE45" i="5" s="1"/>
  <c r="AE46" i="5" s="1"/>
  <c r="AE47" i="5" s="1"/>
  <c r="AE48" i="5" s="1"/>
  <c r="AI15" i="5"/>
  <c r="AI16" i="5" s="1"/>
  <c r="AI17" i="5" s="1"/>
  <c r="AI18" i="5" s="1"/>
  <c r="AI19" i="5" s="1"/>
  <c r="AI20" i="5" s="1"/>
  <c r="AI21" i="5" s="1"/>
  <c r="AI22" i="5" s="1"/>
  <c r="AI23" i="5" s="1"/>
  <c r="AI24" i="5" s="1"/>
  <c r="AI25" i="5" s="1"/>
  <c r="AI26" i="5" s="1"/>
  <c r="AJ15" i="5" s="1"/>
  <c r="AJ16" i="5" s="1"/>
  <c r="AJ17" i="5" s="1"/>
  <c r="AJ18" i="5" s="1"/>
  <c r="AJ19" i="5" s="1"/>
  <c r="AJ20" i="5" s="1"/>
  <c r="AJ21" i="5" s="1"/>
  <c r="AJ22" i="5" s="1"/>
  <c r="AJ23" i="5" s="1"/>
  <c r="AJ24" i="5" s="1"/>
  <c r="AJ25" i="5" s="1"/>
  <c r="AJ26" i="5" s="1"/>
  <c r="AK15" i="5" s="1"/>
  <c r="AK16" i="5" s="1"/>
  <c r="AK17" i="5" s="1"/>
  <c r="AK18" i="5" s="1"/>
  <c r="AK19" i="5" s="1"/>
  <c r="AK20" i="5" s="1"/>
  <c r="AK21" i="5" s="1"/>
  <c r="AK22" i="5" s="1"/>
  <c r="AK23" i="5" s="1"/>
  <c r="AK24" i="5" s="1"/>
  <c r="AK25" i="5" s="1"/>
  <c r="AK26" i="5" s="1"/>
  <c r="AL15" i="5" s="1"/>
  <c r="AL16" i="5" s="1"/>
  <c r="AL17" i="5" s="1"/>
  <c r="AL18" i="5" s="1"/>
  <c r="AL19" i="5" s="1"/>
  <c r="AL20" i="5" s="1"/>
  <c r="AL21" i="5" s="1"/>
  <c r="AL22" i="5" s="1"/>
  <c r="AL23" i="5" s="1"/>
  <c r="AL24" i="5" s="1"/>
  <c r="AL25" i="5" s="1"/>
  <c r="AL26" i="5" s="1"/>
  <c r="AM15" i="5" s="1"/>
  <c r="AM16" i="5" s="1"/>
  <c r="AM17" i="5" s="1"/>
  <c r="AM18" i="5" s="1"/>
  <c r="AM19" i="5" s="1"/>
  <c r="AM20" i="5" s="1"/>
  <c r="AM21" i="5" s="1"/>
  <c r="AM22" i="5" s="1"/>
  <c r="AM23" i="5" s="1"/>
  <c r="AM24" i="5" s="1"/>
  <c r="AM25" i="5" s="1"/>
  <c r="AM26" i="5" s="1"/>
  <c r="AN15" i="5" s="1"/>
  <c r="AN16" i="5" s="1"/>
  <c r="AN17" i="5" s="1"/>
  <c r="AN18" i="5" s="1"/>
  <c r="AN19" i="5" s="1"/>
  <c r="AN20" i="5" s="1"/>
  <c r="AN21" i="5" s="1"/>
  <c r="AN22" i="5" s="1"/>
  <c r="AN23" i="5" s="1"/>
  <c r="AN24" i="5" s="1"/>
  <c r="AN25" i="5" s="1"/>
  <c r="AN26" i="5" s="1"/>
  <c r="AO15" i="5" s="1"/>
  <c r="AO16" i="5" s="1"/>
  <c r="AO17" i="5" s="1"/>
  <c r="AO18" i="5" s="1"/>
  <c r="AO19" i="5" s="1"/>
  <c r="AO20" i="5" s="1"/>
  <c r="AO21" i="5" s="1"/>
  <c r="AO22" i="5" s="1"/>
  <c r="AO23" i="5" s="1"/>
  <c r="AO24" i="5" s="1"/>
  <c r="AO25" i="5" s="1"/>
  <c r="AO26" i="5" s="1"/>
  <c r="AP15" i="5" s="1"/>
  <c r="AP16" i="5" s="1"/>
  <c r="AP17" i="5" s="1"/>
  <c r="AP18" i="5" s="1"/>
  <c r="AP19" i="5" s="1"/>
  <c r="AP20" i="5" s="1"/>
  <c r="AP21" i="5" s="1"/>
  <c r="AP22" i="5" s="1"/>
  <c r="AP23" i="5" s="1"/>
  <c r="AP24" i="5" s="1"/>
  <c r="AP25" i="5" s="1"/>
  <c r="AP26" i="5" s="1"/>
  <c r="AQ15" i="5" s="1"/>
  <c r="AQ16" i="5" s="1"/>
  <c r="AQ17" i="5" s="1"/>
  <c r="AQ18" i="5" s="1"/>
  <c r="AQ19" i="5" s="1"/>
  <c r="AQ20" i="5" s="1"/>
  <c r="AQ21" i="5" s="1"/>
  <c r="AQ22" i="5" s="1"/>
  <c r="AQ23" i="5" s="1"/>
  <c r="AQ24" i="5" s="1"/>
  <c r="AQ25" i="5" s="1"/>
  <c r="AQ26" i="5" s="1"/>
  <c r="AR15" i="5" s="1"/>
  <c r="AR16" i="5" s="1"/>
  <c r="AR17" i="5" s="1"/>
  <c r="AR18" i="5" s="1"/>
  <c r="AR19" i="5" s="1"/>
  <c r="AR20" i="5" s="1"/>
  <c r="AR21" i="5" s="1"/>
  <c r="AR22" i="5" s="1"/>
  <c r="AR23" i="5" s="1"/>
  <c r="AR24" i="5" s="1"/>
  <c r="AR25" i="5" s="1"/>
  <c r="AR26" i="5" s="1"/>
  <c r="AS15" i="5" s="1"/>
  <c r="AS16" i="5" s="1"/>
  <c r="AS17" i="5" s="1"/>
  <c r="AS18" i="5" s="1"/>
  <c r="AS19" i="5" s="1"/>
  <c r="AS20" i="5" s="1"/>
  <c r="AS21" i="5" s="1"/>
  <c r="AS22" i="5" s="1"/>
  <c r="AS23" i="5" s="1"/>
  <c r="AS24" i="5" s="1"/>
  <c r="AS25" i="5" s="1"/>
  <c r="AS26" i="5" s="1"/>
  <c r="AT15" i="5" s="1"/>
  <c r="AT16" i="5" s="1"/>
  <c r="AT17" i="5" s="1"/>
  <c r="AT18" i="5" s="1"/>
  <c r="AT19" i="5" s="1"/>
  <c r="AT20" i="5" s="1"/>
  <c r="AT21" i="5" s="1"/>
  <c r="AT22" i="5" s="1"/>
  <c r="AT23" i="5" s="1"/>
  <c r="AT24" i="5" s="1"/>
  <c r="AT25" i="5" s="1"/>
  <c r="AT26" i="5" s="1"/>
  <c r="AU15" i="5" s="1"/>
  <c r="AU16" i="5" s="1"/>
  <c r="AU17" i="5" s="1"/>
  <c r="AU18" i="5" s="1"/>
  <c r="AU19" i="5" s="1"/>
  <c r="AU20" i="5" s="1"/>
  <c r="AU21" i="5" s="1"/>
  <c r="AU22" i="5" s="1"/>
  <c r="AU23" i="5" s="1"/>
  <c r="AU24" i="5" s="1"/>
  <c r="AU25" i="5" s="1"/>
  <c r="AU26" i="5" s="1"/>
  <c r="AV15" i="5" s="1"/>
  <c r="AV16" i="5" s="1"/>
  <c r="AV17" i="5" s="1"/>
  <c r="AV18" i="5" s="1"/>
  <c r="AV19" i="5" s="1"/>
  <c r="AV20" i="5" s="1"/>
  <c r="AV21" i="5" s="1"/>
  <c r="AV22" i="5" s="1"/>
  <c r="AV23" i="5" s="1"/>
  <c r="AV24" i="5" s="1"/>
  <c r="AV25" i="5" s="1"/>
  <c r="AV26" i="5" s="1"/>
  <c r="AW15" i="5" s="1"/>
  <c r="AW16" i="5" s="1"/>
  <c r="AW17" i="5" s="1"/>
  <c r="AW18" i="5" s="1"/>
  <c r="AW19" i="5" s="1"/>
  <c r="AW20" i="5" s="1"/>
  <c r="AW21" i="5" s="1"/>
  <c r="AW22" i="5" s="1"/>
  <c r="AW23" i="5" s="1"/>
  <c r="AW24" i="5" s="1"/>
  <c r="AW25" i="5" s="1"/>
  <c r="AW26" i="5" s="1"/>
  <c r="AX15" i="5" s="1"/>
  <c r="AX16" i="5" s="1"/>
  <c r="AX17" i="5" s="1"/>
  <c r="AX18" i="5" s="1"/>
  <c r="AX19" i="5" s="1"/>
  <c r="AX20" i="5" s="1"/>
  <c r="AX21" i="5" s="1"/>
  <c r="AX22" i="5" s="1"/>
  <c r="AX23" i="5" s="1"/>
  <c r="AX24" i="5" s="1"/>
  <c r="AX25" i="5" s="1"/>
  <c r="AX26" i="5" s="1"/>
  <c r="AY15" i="5" s="1"/>
  <c r="AY16" i="5" s="1"/>
  <c r="AY17" i="5" s="1"/>
  <c r="AY18" i="5" s="1"/>
  <c r="AY19" i="5" s="1"/>
  <c r="AY20" i="5" s="1"/>
  <c r="AY21" i="5" s="1"/>
  <c r="AY22" i="5" s="1"/>
  <c r="AY23" i="5" s="1"/>
  <c r="AY24" i="5" s="1"/>
  <c r="AY25" i="5" s="1"/>
  <c r="AY26" i="5" s="1"/>
  <c r="AZ15" i="5" s="1"/>
  <c r="AZ16" i="5" s="1"/>
  <c r="AZ17" i="5" s="1"/>
  <c r="AZ18" i="5" s="1"/>
  <c r="AZ19" i="5" s="1"/>
  <c r="AZ20" i="5" s="1"/>
  <c r="AZ21" i="5" s="1"/>
  <c r="AZ22" i="5" s="1"/>
  <c r="AZ23" i="5" s="1"/>
  <c r="AZ24" i="5" s="1"/>
  <c r="AZ25" i="5" s="1"/>
  <c r="AZ26" i="5" s="1"/>
  <c r="BA15" i="5" s="1"/>
  <c r="BA16" i="5" s="1"/>
  <c r="BA17" i="5" s="1"/>
  <c r="BA18" i="5" s="1"/>
  <c r="BA19" i="5" s="1"/>
  <c r="BA20" i="5" s="1"/>
  <c r="BA21" i="5" s="1"/>
  <c r="BA22" i="5" s="1"/>
  <c r="BA23" i="5" s="1"/>
  <c r="BA24" i="5" s="1"/>
  <c r="BA25" i="5" s="1"/>
  <c r="BA26" i="5" s="1"/>
  <c r="BB15" i="5" s="1"/>
  <c r="BB16" i="5" s="1"/>
  <c r="BB17" i="5" s="1"/>
  <c r="BB18" i="5" s="1"/>
  <c r="BB19" i="5" s="1"/>
  <c r="BB20" i="5" s="1"/>
  <c r="BB21" i="5" s="1"/>
  <c r="BB22" i="5" s="1"/>
  <c r="BB23" i="5" s="1"/>
  <c r="BB24" i="5" s="1"/>
  <c r="BB25" i="5" s="1"/>
  <c r="BB26" i="5" s="1"/>
  <c r="BC15" i="5" s="1"/>
  <c r="BC16" i="5" s="1"/>
  <c r="BC17" i="5" s="1"/>
  <c r="BC18" i="5" s="1"/>
  <c r="BC19" i="5" s="1"/>
  <c r="BC20" i="5" s="1"/>
  <c r="BC21" i="5" s="1"/>
  <c r="BC22" i="5" s="1"/>
  <c r="BC23" i="5" s="1"/>
  <c r="BC24" i="5" s="1"/>
  <c r="BC25" i="5" s="1"/>
  <c r="BC26" i="5" s="1"/>
  <c r="BD15" i="5" s="1"/>
  <c r="BD16" i="5" s="1"/>
  <c r="BD17" i="5" s="1"/>
  <c r="BD18" i="5" s="1"/>
  <c r="BD19" i="5" s="1"/>
  <c r="BD20" i="5" s="1"/>
  <c r="BD21" i="5" s="1"/>
  <c r="BD22" i="5" s="1"/>
  <c r="BD23" i="5" s="1"/>
  <c r="BD24" i="5" s="1"/>
  <c r="BD25" i="5" s="1"/>
  <c r="BD26" i="5" s="1"/>
  <c r="BE15" i="5" s="1"/>
  <c r="BE16" i="5" s="1"/>
  <c r="BE17" i="5" s="1"/>
  <c r="BE18" i="5" s="1"/>
  <c r="BE19" i="5" s="1"/>
  <c r="BE20" i="5" s="1"/>
  <c r="BE21" i="5" s="1"/>
  <c r="BE22" i="5" s="1"/>
  <c r="BE23" i="5" s="1"/>
  <c r="BE24" i="5" s="1"/>
  <c r="BE25" i="5" s="1"/>
  <c r="BE26" i="5" s="1"/>
  <c r="BF15" i="5" s="1"/>
  <c r="BF16" i="5" s="1"/>
  <c r="BF17" i="5" s="1"/>
  <c r="BF18" i="5" s="1"/>
  <c r="BF19" i="5" s="1"/>
  <c r="BF20" i="5" s="1"/>
  <c r="BF21" i="5" s="1"/>
  <c r="BF22" i="5" s="1"/>
  <c r="BF23" i="5" s="1"/>
  <c r="BF24" i="5" s="1"/>
  <c r="BF25" i="5" s="1"/>
  <c r="BF26" i="5" s="1"/>
  <c r="BG15" i="5" s="1"/>
  <c r="BG16" i="5" s="1"/>
  <c r="BG17" i="5" s="1"/>
  <c r="BG18" i="5" s="1"/>
  <c r="BG19" i="5" s="1"/>
  <c r="BG20" i="5" s="1"/>
  <c r="BG21" i="5" s="1"/>
  <c r="BG22" i="5" s="1"/>
  <c r="BG23" i="5" s="1"/>
  <c r="BG24" i="5" s="1"/>
  <c r="BG25" i="5" s="1"/>
  <c r="BG26" i="5" s="1"/>
  <c r="BH15" i="5" s="1"/>
  <c r="BH16" i="5" s="1"/>
  <c r="BH17" i="5" s="1"/>
  <c r="BH18" i="5" s="1"/>
  <c r="BH19" i="5" s="1"/>
  <c r="BH20" i="5" s="1"/>
  <c r="BH21" i="5" s="1"/>
  <c r="BH22" i="5" s="1"/>
  <c r="BH23" i="5" s="1"/>
  <c r="BH24" i="5" s="1"/>
  <c r="BH25" i="5" s="1"/>
  <c r="BH26" i="5" s="1"/>
  <c r="BI15" i="5" s="1"/>
  <c r="BI16" i="5" s="1"/>
  <c r="BI17" i="5" s="1"/>
  <c r="BI18" i="5" s="1"/>
  <c r="BI19" i="5" s="1"/>
  <c r="BI20" i="5" s="1"/>
  <c r="BI21" i="5" s="1"/>
  <c r="BI22" i="5" s="1"/>
  <c r="BI23" i="5" s="1"/>
  <c r="BI24" i="5" s="1"/>
  <c r="BI25" i="5" s="1"/>
  <c r="BI26" i="5" s="1"/>
  <c r="BJ15" i="5" s="1"/>
  <c r="BJ16" i="5" s="1"/>
  <c r="BJ17" i="5" s="1"/>
  <c r="BJ18" i="5" s="1"/>
  <c r="BJ19" i="5" s="1"/>
  <c r="BJ20" i="5" s="1"/>
  <c r="BJ21" i="5" s="1"/>
  <c r="BJ22" i="5" s="1"/>
  <c r="BJ23" i="5" s="1"/>
  <c r="BJ24" i="5" s="1"/>
  <c r="BJ25" i="5" s="1"/>
  <c r="BJ26" i="5" s="1"/>
  <c r="D15" i="5"/>
  <c r="D16" i="5" s="1"/>
  <c r="D17" i="5" s="1"/>
  <c r="D18" i="5" s="1"/>
  <c r="D19" i="5" s="1"/>
  <c r="D20" i="5" s="1"/>
  <c r="D21" i="5" s="1"/>
  <c r="D22" i="5" s="1"/>
  <c r="D23" i="5" s="1"/>
  <c r="D24" i="5" s="1"/>
  <c r="D25" i="5" s="1"/>
  <c r="D26" i="5" s="1"/>
  <c r="E15" i="5" s="1"/>
  <c r="E16" i="5" s="1"/>
  <c r="E17" i="5" s="1"/>
  <c r="E18" i="5" s="1"/>
  <c r="E19" i="5" s="1"/>
  <c r="E20" i="5" s="1"/>
  <c r="E21" i="5" s="1"/>
  <c r="E22" i="5" s="1"/>
  <c r="E23" i="5" s="1"/>
  <c r="E24" i="5" s="1"/>
  <c r="E25" i="5" s="1"/>
  <c r="E26" i="5" s="1"/>
  <c r="F15" i="5" s="1"/>
  <c r="F16" i="5" s="1"/>
  <c r="F17" i="5" s="1"/>
  <c r="F18" i="5" s="1"/>
  <c r="F19" i="5" s="1"/>
  <c r="F20" i="5" s="1"/>
  <c r="F21" i="5" s="1"/>
  <c r="F22" i="5" s="1"/>
  <c r="F23" i="5" s="1"/>
  <c r="F24" i="5" s="1"/>
  <c r="F25" i="5" s="1"/>
  <c r="F26" i="5" s="1"/>
  <c r="G15" i="5" s="1"/>
  <c r="G16" i="5" s="1"/>
  <c r="G17" i="5" s="1"/>
  <c r="G18" i="5" s="1"/>
  <c r="G19" i="5" s="1"/>
  <c r="G20" i="5" s="1"/>
  <c r="G21" i="5" s="1"/>
  <c r="G22" i="5" s="1"/>
  <c r="G23" i="5" s="1"/>
  <c r="G24" i="5" s="1"/>
  <c r="G25" i="5" s="1"/>
  <c r="G26" i="5" s="1"/>
  <c r="H15" i="5" s="1"/>
  <c r="H16" i="5" s="1"/>
  <c r="H17" i="5" s="1"/>
  <c r="H18" i="5" s="1"/>
  <c r="H19" i="5" s="1"/>
  <c r="H20" i="5" s="1"/>
  <c r="H21" i="5" s="1"/>
  <c r="H22" i="5" s="1"/>
  <c r="H23" i="5" s="1"/>
  <c r="H24" i="5" s="1"/>
  <c r="H25" i="5" s="1"/>
  <c r="H26" i="5" s="1"/>
  <c r="I15" i="5" s="1"/>
  <c r="I16" i="5" s="1"/>
  <c r="I17" i="5" s="1"/>
  <c r="I18" i="5" s="1"/>
  <c r="I19" i="5" s="1"/>
  <c r="I20" i="5" s="1"/>
  <c r="I21" i="5" s="1"/>
  <c r="I22" i="5" s="1"/>
  <c r="I23" i="5" s="1"/>
  <c r="I24" i="5" s="1"/>
  <c r="I25" i="5" s="1"/>
  <c r="I26" i="5" s="1"/>
  <c r="J15" i="5" s="1"/>
  <c r="J16" i="5" s="1"/>
  <c r="J17" i="5" s="1"/>
  <c r="J18" i="5" s="1"/>
  <c r="J19" i="5" s="1"/>
  <c r="J20" i="5" s="1"/>
  <c r="J21" i="5" s="1"/>
  <c r="J22" i="5" s="1"/>
  <c r="J23" i="5" s="1"/>
  <c r="J24" i="5" s="1"/>
  <c r="J25" i="5" s="1"/>
  <c r="J26" i="5" s="1"/>
  <c r="K15" i="5" s="1"/>
  <c r="K16" i="5" s="1"/>
  <c r="K17" i="5" s="1"/>
  <c r="K18" i="5" s="1"/>
  <c r="K19" i="5" s="1"/>
  <c r="K20" i="5" s="1"/>
  <c r="K21" i="5" s="1"/>
  <c r="K22" i="5" s="1"/>
  <c r="K23" i="5" s="1"/>
  <c r="K24" i="5" s="1"/>
  <c r="K25" i="5" s="1"/>
  <c r="K26" i="5" s="1"/>
  <c r="L15" i="5" s="1"/>
  <c r="L16" i="5" s="1"/>
  <c r="L17" i="5" s="1"/>
  <c r="L18" i="5" s="1"/>
  <c r="L19" i="5" s="1"/>
  <c r="L20" i="5" s="1"/>
  <c r="L21" i="5" s="1"/>
  <c r="L22" i="5" s="1"/>
  <c r="L23" i="5" s="1"/>
  <c r="L24" i="5" s="1"/>
  <c r="L25" i="5" s="1"/>
  <c r="L26" i="5" s="1"/>
  <c r="M15" i="5" s="1"/>
  <c r="M16" i="5" s="1"/>
  <c r="M17" i="5" s="1"/>
  <c r="M18" i="5" s="1"/>
  <c r="M19" i="5" s="1"/>
  <c r="M20" i="5" s="1"/>
  <c r="M21" i="5" s="1"/>
  <c r="M22" i="5" s="1"/>
  <c r="M23" i="5" s="1"/>
  <c r="M24" i="5" s="1"/>
  <c r="M25" i="5" s="1"/>
  <c r="M26" i="5" s="1"/>
  <c r="N15" i="5" s="1"/>
  <c r="N16" i="5" s="1"/>
  <c r="N17" i="5" s="1"/>
  <c r="N18" i="5" s="1"/>
  <c r="N19" i="5" s="1"/>
  <c r="N20" i="5" s="1"/>
  <c r="N21" i="5" s="1"/>
  <c r="N22" i="5" s="1"/>
  <c r="N23" i="5" s="1"/>
  <c r="N24" i="5" s="1"/>
  <c r="N25" i="5" s="1"/>
  <c r="N26" i="5" s="1"/>
  <c r="O15" i="5" s="1"/>
  <c r="O16" i="5" s="1"/>
  <c r="O17" i="5" s="1"/>
  <c r="O18" i="5" s="1"/>
  <c r="O19" i="5" s="1"/>
  <c r="O20" i="5" s="1"/>
  <c r="O21" i="5" s="1"/>
  <c r="O22" i="5" s="1"/>
  <c r="O23" i="5" s="1"/>
  <c r="O24" i="5" s="1"/>
  <c r="O25" i="5" s="1"/>
  <c r="O26" i="5" s="1"/>
  <c r="P15" i="5" s="1"/>
  <c r="P16" i="5" s="1"/>
  <c r="P17" i="5" s="1"/>
  <c r="P18" i="5" s="1"/>
  <c r="P19" i="5" s="1"/>
  <c r="P20" i="5" s="1"/>
  <c r="P21" i="5" s="1"/>
  <c r="P22" i="5" s="1"/>
  <c r="P23" i="5" s="1"/>
  <c r="P24" i="5" s="1"/>
  <c r="P25" i="5" s="1"/>
  <c r="P26" i="5" s="1"/>
  <c r="Q15" i="5" s="1"/>
  <c r="Q16" i="5" s="1"/>
  <c r="Q17" i="5" s="1"/>
  <c r="Q18" i="5" s="1"/>
  <c r="Q19" i="5" s="1"/>
  <c r="Q20" i="5" s="1"/>
  <c r="Q21" i="5" s="1"/>
  <c r="Q22" i="5" s="1"/>
  <c r="Q23" i="5" s="1"/>
  <c r="Q24" i="5" s="1"/>
  <c r="Q25" i="5" s="1"/>
  <c r="Q26" i="5" s="1"/>
  <c r="R15" i="5" s="1"/>
  <c r="R16" i="5" s="1"/>
  <c r="R17" i="5" s="1"/>
  <c r="R18" i="5" s="1"/>
  <c r="R19" i="5" s="1"/>
  <c r="R20" i="5" s="1"/>
  <c r="R21" i="5" s="1"/>
  <c r="R22" i="5" s="1"/>
  <c r="R23" i="5" s="1"/>
  <c r="R24" i="5" s="1"/>
  <c r="R25" i="5" s="1"/>
  <c r="R26" i="5" s="1"/>
  <c r="S15" i="5" s="1"/>
  <c r="S16" i="5" s="1"/>
  <c r="S17" i="5" s="1"/>
  <c r="S18" i="5" s="1"/>
  <c r="S19" i="5" s="1"/>
  <c r="S20" i="5" s="1"/>
  <c r="S21" i="5" s="1"/>
  <c r="S22" i="5" s="1"/>
  <c r="S23" i="5" s="1"/>
  <c r="S24" i="5" s="1"/>
  <c r="S25" i="5" s="1"/>
  <c r="S26" i="5" s="1"/>
  <c r="T15" i="5" s="1"/>
  <c r="T16" i="5" s="1"/>
  <c r="T17" i="5" s="1"/>
  <c r="T18" i="5" s="1"/>
  <c r="T19" i="5" s="1"/>
  <c r="T20" i="5" s="1"/>
  <c r="T21" i="5" s="1"/>
  <c r="T22" i="5" s="1"/>
  <c r="T23" i="5" s="1"/>
  <c r="T24" i="5" s="1"/>
  <c r="T25" i="5" s="1"/>
  <c r="T26" i="5" s="1"/>
  <c r="U15" i="5" s="1"/>
  <c r="U16" i="5" s="1"/>
  <c r="U17" i="5" s="1"/>
  <c r="U18" i="5" s="1"/>
  <c r="U19" i="5" s="1"/>
  <c r="U20" i="5" s="1"/>
  <c r="U21" i="5" s="1"/>
  <c r="U22" i="5" s="1"/>
  <c r="U23" i="5" s="1"/>
  <c r="U24" i="5" s="1"/>
  <c r="U25" i="5" s="1"/>
  <c r="U26" i="5" s="1"/>
  <c r="V15" i="5" s="1"/>
  <c r="V16" i="5" s="1"/>
  <c r="V17" i="5" s="1"/>
  <c r="V18" i="5" s="1"/>
  <c r="V19" i="5" s="1"/>
  <c r="V20" i="5" s="1"/>
  <c r="V21" i="5" s="1"/>
  <c r="V22" i="5" s="1"/>
  <c r="V23" i="5" s="1"/>
  <c r="V24" i="5" s="1"/>
  <c r="V25" i="5" s="1"/>
  <c r="V26" i="5" s="1"/>
  <c r="W15" i="5" s="1"/>
  <c r="W16" i="5" s="1"/>
  <c r="W17" i="5" s="1"/>
  <c r="W18" i="5" s="1"/>
  <c r="W19" i="5" s="1"/>
  <c r="W20" i="5" s="1"/>
  <c r="W21" i="5" s="1"/>
  <c r="W22" i="5" s="1"/>
  <c r="W23" i="5" s="1"/>
  <c r="W24" i="5" s="1"/>
  <c r="W25" i="5" s="1"/>
  <c r="W26" i="5" s="1"/>
  <c r="X15" i="5" s="1"/>
  <c r="X16" i="5" s="1"/>
  <c r="X17" i="5" s="1"/>
  <c r="X18" i="5" s="1"/>
  <c r="X19" i="5" s="1"/>
  <c r="X20" i="5" s="1"/>
  <c r="X21" i="5" s="1"/>
  <c r="X22" i="5" s="1"/>
  <c r="X23" i="5" s="1"/>
  <c r="X24" i="5" s="1"/>
  <c r="X25" i="5" s="1"/>
  <c r="X26" i="5" s="1"/>
  <c r="Y15" i="5" s="1"/>
  <c r="Y16" i="5" s="1"/>
  <c r="Y17" i="5" s="1"/>
  <c r="Y18" i="5" s="1"/>
  <c r="Y19" i="5" s="1"/>
  <c r="Y20" i="5" s="1"/>
  <c r="Y21" i="5" s="1"/>
  <c r="Y22" i="5" s="1"/>
  <c r="Y23" i="5" s="1"/>
  <c r="Y24" i="5" s="1"/>
  <c r="Y25" i="5" s="1"/>
  <c r="Y26" i="5" s="1"/>
  <c r="Z15" i="5" s="1"/>
  <c r="Z16" i="5" s="1"/>
  <c r="Z17" i="5" s="1"/>
  <c r="Z18" i="5" s="1"/>
  <c r="Z19" i="5" s="1"/>
  <c r="Z20" i="5" s="1"/>
  <c r="Z21" i="5" s="1"/>
  <c r="Z22" i="5" s="1"/>
  <c r="Z23" i="5" s="1"/>
  <c r="Z24" i="5" s="1"/>
  <c r="Z25" i="5" s="1"/>
  <c r="Z26" i="5" s="1"/>
  <c r="AA15" i="5" s="1"/>
  <c r="AA16" i="5" s="1"/>
  <c r="AA17" i="5" s="1"/>
  <c r="AA18" i="5" s="1"/>
  <c r="AA19" i="5" s="1"/>
  <c r="AA20" i="5" s="1"/>
  <c r="AA21" i="5" s="1"/>
  <c r="AA22" i="5" s="1"/>
  <c r="AA23" i="5" s="1"/>
  <c r="AA24" i="5" s="1"/>
  <c r="AA25" i="5" s="1"/>
  <c r="AA26" i="5" s="1"/>
  <c r="AB15" i="5" s="1"/>
  <c r="AB16" i="5" s="1"/>
  <c r="AB17" i="5" s="1"/>
  <c r="AB18" i="5" s="1"/>
  <c r="AB19" i="5" s="1"/>
  <c r="AB20" i="5" s="1"/>
  <c r="AB21" i="5" s="1"/>
  <c r="AB22" i="5" s="1"/>
  <c r="AB23" i="5" s="1"/>
  <c r="AB24" i="5" s="1"/>
  <c r="AB25" i="5" s="1"/>
  <c r="AB26" i="5" s="1"/>
  <c r="AC15" i="5" s="1"/>
  <c r="AC16" i="5" s="1"/>
  <c r="AC17" i="5" s="1"/>
  <c r="AC18" i="5" s="1"/>
  <c r="AC19" i="5" s="1"/>
  <c r="AC20" i="5" s="1"/>
  <c r="AC21" i="5" s="1"/>
  <c r="AC22" i="5" s="1"/>
  <c r="AC23" i="5" s="1"/>
  <c r="AC24" i="5" s="1"/>
  <c r="AC25" i="5" s="1"/>
  <c r="AC26" i="5" s="1"/>
  <c r="AD15" i="5" s="1"/>
  <c r="AD16" i="5" s="1"/>
  <c r="AD17" i="5" s="1"/>
  <c r="AD18" i="5" s="1"/>
  <c r="AD19" i="5" s="1"/>
  <c r="AD20" i="5" s="1"/>
  <c r="AD21" i="5" s="1"/>
  <c r="AD22" i="5" s="1"/>
  <c r="AD23" i="5" s="1"/>
  <c r="AD24" i="5" s="1"/>
  <c r="AD25" i="5" s="1"/>
  <c r="AD26" i="5" s="1"/>
  <c r="AE15" i="5" s="1"/>
  <c r="AE16" i="5" s="1"/>
  <c r="AE17" i="5" s="1"/>
  <c r="AE18" i="5" s="1"/>
  <c r="AE19" i="5" s="1"/>
  <c r="AE20" i="5" s="1"/>
  <c r="AE21" i="5" s="1"/>
  <c r="AE22" i="5" s="1"/>
  <c r="AE23" i="5" s="1"/>
  <c r="AE24" i="5" s="1"/>
  <c r="AE25" i="5" s="1"/>
  <c r="AE26" i="5" s="1"/>
  <c r="AI151" i="4"/>
  <c r="AI152" i="4" s="1"/>
  <c r="AI153" i="4" s="1"/>
  <c r="AI154" i="4" s="1"/>
  <c r="AI155" i="4" s="1"/>
  <c r="AI156" i="4" s="1"/>
  <c r="AI157" i="4" s="1"/>
  <c r="AI158" i="4" s="1"/>
  <c r="AI159" i="4" s="1"/>
  <c r="AI160" i="4" s="1"/>
  <c r="AI161" i="4" s="1"/>
  <c r="AI162" i="4" s="1"/>
  <c r="AJ151" i="4" s="1"/>
  <c r="AJ152" i="4" s="1"/>
  <c r="AJ153" i="4" s="1"/>
  <c r="AJ154" i="4" s="1"/>
  <c r="AJ155" i="4" s="1"/>
  <c r="AJ156" i="4" s="1"/>
  <c r="AJ157" i="4" s="1"/>
  <c r="AJ158" i="4" s="1"/>
  <c r="AJ159" i="4" s="1"/>
  <c r="AJ160" i="4" s="1"/>
  <c r="AJ161" i="4" s="1"/>
  <c r="AJ162" i="4" s="1"/>
  <c r="AK151" i="4" s="1"/>
  <c r="AK152" i="4" s="1"/>
  <c r="AK153" i="4" s="1"/>
  <c r="AK154" i="4" s="1"/>
  <c r="AK155" i="4" s="1"/>
  <c r="AK156" i="4" s="1"/>
  <c r="AK157" i="4" s="1"/>
  <c r="AK158" i="4" s="1"/>
  <c r="AK159" i="4" s="1"/>
  <c r="AK160" i="4" s="1"/>
  <c r="AK161" i="4" s="1"/>
  <c r="AK162" i="4" s="1"/>
  <c r="AL151" i="4" s="1"/>
  <c r="AL152" i="4" s="1"/>
  <c r="AL153" i="4" s="1"/>
  <c r="AL154" i="4" s="1"/>
  <c r="AL155" i="4" s="1"/>
  <c r="AL156" i="4" s="1"/>
  <c r="AL157" i="4" s="1"/>
  <c r="AL158" i="4" s="1"/>
  <c r="AL159" i="4" s="1"/>
  <c r="AL160" i="4" s="1"/>
  <c r="AL161" i="4" s="1"/>
  <c r="AL162" i="4" s="1"/>
  <c r="AM151" i="4" s="1"/>
  <c r="AM152" i="4" s="1"/>
  <c r="AM153" i="4" s="1"/>
  <c r="AM154" i="4" s="1"/>
  <c r="AM155" i="4" s="1"/>
  <c r="AM156" i="4" s="1"/>
  <c r="AM157" i="4" s="1"/>
  <c r="AM158" i="4" s="1"/>
  <c r="AM159" i="4" s="1"/>
  <c r="AM160" i="4" s="1"/>
  <c r="AM161" i="4" s="1"/>
  <c r="AM162" i="4" s="1"/>
  <c r="AN151" i="4" s="1"/>
  <c r="AN152" i="4" s="1"/>
  <c r="AN153" i="4" s="1"/>
  <c r="AN154" i="4" s="1"/>
  <c r="AN155" i="4" s="1"/>
  <c r="AN156" i="4" s="1"/>
  <c r="AN157" i="4" s="1"/>
  <c r="AN158" i="4" s="1"/>
  <c r="AN159" i="4" s="1"/>
  <c r="AN160" i="4" s="1"/>
  <c r="AN161" i="4" s="1"/>
  <c r="AN162" i="4" s="1"/>
  <c r="AO151" i="4" s="1"/>
  <c r="AO152" i="4" s="1"/>
  <c r="AO153" i="4" s="1"/>
  <c r="AO154" i="4" s="1"/>
  <c r="AO155" i="4" s="1"/>
  <c r="AO156" i="4" s="1"/>
  <c r="AO157" i="4" s="1"/>
  <c r="AO158" i="4" s="1"/>
  <c r="AO159" i="4" s="1"/>
  <c r="AO160" i="4" s="1"/>
  <c r="AO161" i="4" s="1"/>
  <c r="AO162" i="4" s="1"/>
  <c r="AP151" i="4" s="1"/>
  <c r="AP152" i="4" s="1"/>
  <c r="AP153" i="4" s="1"/>
  <c r="AP154" i="4" s="1"/>
  <c r="AP155" i="4" s="1"/>
  <c r="AP156" i="4" s="1"/>
  <c r="AP157" i="4" s="1"/>
  <c r="AP158" i="4" s="1"/>
  <c r="AP159" i="4" s="1"/>
  <c r="AP160" i="4" s="1"/>
  <c r="AP161" i="4" s="1"/>
  <c r="AP162" i="4" s="1"/>
  <c r="AQ151" i="4" s="1"/>
  <c r="AQ152" i="4" s="1"/>
  <c r="AQ153" i="4" s="1"/>
  <c r="AQ154" i="4" s="1"/>
  <c r="AQ155" i="4" s="1"/>
  <c r="AQ156" i="4" s="1"/>
  <c r="AQ157" i="4" s="1"/>
  <c r="AQ158" i="4" s="1"/>
  <c r="AQ159" i="4" s="1"/>
  <c r="AQ160" i="4" s="1"/>
  <c r="AQ161" i="4" s="1"/>
  <c r="AQ162" i="4" s="1"/>
  <c r="AR151" i="4" s="1"/>
  <c r="AR152" i="4" s="1"/>
  <c r="AR153" i="4" s="1"/>
  <c r="AR154" i="4" s="1"/>
  <c r="AR155" i="4" s="1"/>
  <c r="AR156" i="4" s="1"/>
  <c r="AR157" i="4" s="1"/>
  <c r="AR158" i="4" s="1"/>
  <c r="AR159" i="4" s="1"/>
  <c r="AR160" i="4" s="1"/>
  <c r="AR161" i="4" s="1"/>
  <c r="AR162" i="4" s="1"/>
  <c r="AS151" i="4" s="1"/>
  <c r="AS152" i="4" s="1"/>
  <c r="AS153" i="4" s="1"/>
  <c r="AS154" i="4" s="1"/>
  <c r="AS155" i="4" s="1"/>
  <c r="AS156" i="4" s="1"/>
  <c r="AS157" i="4" s="1"/>
  <c r="AS158" i="4" s="1"/>
  <c r="AS159" i="4" s="1"/>
  <c r="AS160" i="4" s="1"/>
  <c r="AS161" i="4" s="1"/>
  <c r="AS162" i="4" s="1"/>
  <c r="AT151" i="4" s="1"/>
  <c r="AT152" i="4" s="1"/>
  <c r="AT153" i="4" s="1"/>
  <c r="AT154" i="4" s="1"/>
  <c r="AT155" i="4" s="1"/>
  <c r="AT156" i="4" s="1"/>
  <c r="AT157" i="4" s="1"/>
  <c r="AT158" i="4" s="1"/>
  <c r="AT159" i="4" s="1"/>
  <c r="AT160" i="4" s="1"/>
  <c r="AT161" i="4" s="1"/>
  <c r="AT162" i="4" s="1"/>
  <c r="AU151" i="4" s="1"/>
  <c r="AU152" i="4" s="1"/>
  <c r="AU153" i="4" s="1"/>
  <c r="AU154" i="4" s="1"/>
  <c r="AU155" i="4" s="1"/>
  <c r="AU156" i="4" s="1"/>
  <c r="AU157" i="4" s="1"/>
  <c r="AU158" i="4" s="1"/>
  <c r="AU159" i="4" s="1"/>
  <c r="AU160" i="4" s="1"/>
  <c r="AU161" i="4" s="1"/>
  <c r="AU162" i="4" s="1"/>
  <c r="AV151" i="4" s="1"/>
  <c r="AV152" i="4" s="1"/>
  <c r="AV153" i="4" s="1"/>
  <c r="AV154" i="4" s="1"/>
  <c r="AV155" i="4" s="1"/>
  <c r="AV156" i="4" s="1"/>
  <c r="AV157" i="4" s="1"/>
  <c r="AV158" i="4" s="1"/>
  <c r="AV159" i="4" s="1"/>
  <c r="AV160" i="4" s="1"/>
  <c r="AV161" i="4" s="1"/>
  <c r="AV162" i="4" s="1"/>
  <c r="AW151" i="4" s="1"/>
  <c r="AW152" i="4" s="1"/>
  <c r="AW153" i="4" s="1"/>
  <c r="AW154" i="4" s="1"/>
  <c r="AW155" i="4" s="1"/>
  <c r="AW156" i="4" s="1"/>
  <c r="AW157" i="4" s="1"/>
  <c r="AW158" i="4" s="1"/>
  <c r="AW159" i="4" s="1"/>
  <c r="AW160" i="4" s="1"/>
  <c r="AW161" i="4" s="1"/>
  <c r="AW162" i="4" s="1"/>
  <c r="AX151" i="4" s="1"/>
  <c r="AX152" i="4" s="1"/>
  <c r="AX153" i="4" s="1"/>
  <c r="AX154" i="4" s="1"/>
  <c r="AX155" i="4" s="1"/>
  <c r="AX156" i="4" s="1"/>
  <c r="AX157" i="4" s="1"/>
  <c r="AX158" i="4" s="1"/>
  <c r="AX159" i="4" s="1"/>
  <c r="AX160" i="4" s="1"/>
  <c r="AX161" i="4" s="1"/>
  <c r="AX162" i="4" s="1"/>
  <c r="AY151" i="4" s="1"/>
  <c r="AY152" i="4" s="1"/>
  <c r="AY153" i="4" s="1"/>
  <c r="AY154" i="4" s="1"/>
  <c r="AY155" i="4" s="1"/>
  <c r="AY156" i="4" s="1"/>
  <c r="AY157" i="4" s="1"/>
  <c r="AY158" i="4" s="1"/>
  <c r="AY159" i="4" s="1"/>
  <c r="AY160" i="4" s="1"/>
  <c r="AY161" i="4" s="1"/>
  <c r="AY162" i="4" s="1"/>
  <c r="AZ151" i="4" s="1"/>
  <c r="AZ152" i="4" s="1"/>
  <c r="AZ153" i="4" s="1"/>
  <c r="AZ154" i="4" s="1"/>
  <c r="AZ155" i="4" s="1"/>
  <c r="AZ156" i="4" s="1"/>
  <c r="AZ157" i="4" s="1"/>
  <c r="AZ158" i="4" s="1"/>
  <c r="AZ159" i="4" s="1"/>
  <c r="AZ160" i="4" s="1"/>
  <c r="AZ161" i="4" s="1"/>
  <c r="AZ162" i="4" s="1"/>
  <c r="BA151" i="4" s="1"/>
  <c r="BA152" i="4" s="1"/>
  <c r="BA153" i="4" s="1"/>
  <c r="BA154" i="4" s="1"/>
  <c r="BA155" i="4" s="1"/>
  <c r="BA156" i="4" s="1"/>
  <c r="BA157" i="4" s="1"/>
  <c r="BA158" i="4" s="1"/>
  <c r="BA159" i="4" s="1"/>
  <c r="BA160" i="4" s="1"/>
  <c r="BA161" i="4" s="1"/>
  <c r="BA162" i="4" s="1"/>
  <c r="BB151" i="4" s="1"/>
  <c r="BB152" i="4" s="1"/>
  <c r="BB153" i="4" s="1"/>
  <c r="BB154" i="4" s="1"/>
  <c r="BB155" i="4" s="1"/>
  <c r="BB156" i="4" s="1"/>
  <c r="BB157" i="4" s="1"/>
  <c r="BB158" i="4" s="1"/>
  <c r="BB159" i="4" s="1"/>
  <c r="BB160" i="4" s="1"/>
  <c r="BB161" i="4" s="1"/>
  <c r="BB162" i="4" s="1"/>
  <c r="BC151" i="4" s="1"/>
  <c r="BC152" i="4" s="1"/>
  <c r="BC153" i="4" s="1"/>
  <c r="BC154" i="4" s="1"/>
  <c r="BC155" i="4" s="1"/>
  <c r="BC156" i="4" s="1"/>
  <c r="BC157" i="4" s="1"/>
  <c r="BC158" i="4" s="1"/>
  <c r="BC159" i="4" s="1"/>
  <c r="BC160" i="4" s="1"/>
  <c r="BC161" i="4" s="1"/>
  <c r="BC162" i="4" s="1"/>
  <c r="BD151" i="4" s="1"/>
  <c r="BD152" i="4" s="1"/>
  <c r="BD153" i="4" s="1"/>
  <c r="BD154" i="4" s="1"/>
  <c r="BD155" i="4" s="1"/>
  <c r="BD156" i="4" s="1"/>
  <c r="BD157" i="4" s="1"/>
  <c r="BD158" i="4" s="1"/>
  <c r="BD159" i="4" s="1"/>
  <c r="BD160" i="4" s="1"/>
  <c r="BD161" i="4" s="1"/>
  <c r="BD162" i="4" s="1"/>
  <c r="BE151" i="4" s="1"/>
  <c r="BE152" i="4" s="1"/>
  <c r="BE153" i="4" s="1"/>
  <c r="BE154" i="4" s="1"/>
  <c r="BE155" i="4" s="1"/>
  <c r="BE156" i="4" s="1"/>
  <c r="BE157" i="4" s="1"/>
  <c r="BE158" i="4" s="1"/>
  <c r="BE159" i="4" s="1"/>
  <c r="BE160" i="4" s="1"/>
  <c r="BE161" i="4" s="1"/>
  <c r="BE162" i="4" s="1"/>
  <c r="BF151" i="4" s="1"/>
  <c r="BF152" i="4" s="1"/>
  <c r="BF153" i="4" s="1"/>
  <c r="BF154" i="4" s="1"/>
  <c r="BF155" i="4" s="1"/>
  <c r="BF156" i="4" s="1"/>
  <c r="BF157" i="4" s="1"/>
  <c r="BF158" i="4" s="1"/>
  <c r="BF159" i="4" s="1"/>
  <c r="BF160" i="4" s="1"/>
  <c r="BF161" i="4" s="1"/>
  <c r="BF162" i="4" s="1"/>
  <c r="BG151" i="4" s="1"/>
  <c r="BG152" i="4" s="1"/>
  <c r="BG153" i="4" s="1"/>
  <c r="BG154" i="4" s="1"/>
  <c r="BG155" i="4" s="1"/>
  <c r="BG156" i="4" s="1"/>
  <c r="BG157" i="4" s="1"/>
  <c r="BG158" i="4" s="1"/>
  <c r="BG159" i="4" s="1"/>
  <c r="BG160" i="4" s="1"/>
  <c r="BG161" i="4" s="1"/>
  <c r="BG162" i="4" s="1"/>
  <c r="BH151" i="4" s="1"/>
  <c r="BH152" i="4" s="1"/>
  <c r="BH153" i="4" s="1"/>
  <c r="BH154" i="4" s="1"/>
  <c r="BH155" i="4" s="1"/>
  <c r="BH156" i="4" s="1"/>
  <c r="BH157" i="4" s="1"/>
  <c r="BH158" i="4" s="1"/>
  <c r="BH159" i="4" s="1"/>
  <c r="BH160" i="4" s="1"/>
  <c r="BH161" i="4" s="1"/>
  <c r="BH162" i="4" s="1"/>
  <c r="BI151" i="4" s="1"/>
  <c r="BI152" i="4" s="1"/>
  <c r="BI153" i="4" s="1"/>
  <c r="BI154" i="4" s="1"/>
  <c r="BI155" i="4" s="1"/>
  <c r="BI156" i="4" s="1"/>
  <c r="BI157" i="4" s="1"/>
  <c r="BI158" i="4" s="1"/>
  <c r="BI159" i="4" s="1"/>
  <c r="BI160" i="4" s="1"/>
  <c r="BI161" i="4" s="1"/>
  <c r="BI162" i="4" s="1"/>
  <c r="BJ151" i="4" s="1"/>
  <c r="BJ152" i="4" s="1"/>
  <c r="BJ153" i="4" s="1"/>
  <c r="BJ154" i="4" s="1"/>
  <c r="BJ155" i="4" s="1"/>
  <c r="BJ156" i="4" s="1"/>
  <c r="BJ157" i="4" s="1"/>
  <c r="BJ158" i="4" s="1"/>
  <c r="BJ159" i="4" s="1"/>
  <c r="BJ160" i="4" s="1"/>
  <c r="BJ161" i="4" s="1"/>
  <c r="BJ162" i="4" s="1"/>
  <c r="D151" i="4"/>
  <c r="D152" i="4" s="1"/>
  <c r="D153" i="4" s="1"/>
  <c r="D154" i="4" s="1"/>
  <c r="D155" i="4" s="1"/>
  <c r="D156" i="4" s="1"/>
  <c r="D157" i="4" s="1"/>
  <c r="D158" i="4" s="1"/>
  <c r="D159" i="4" s="1"/>
  <c r="D160" i="4" s="1"/>
  <c r="D161" i="4" s="1"/>
  <c r="D162" i="4" s="1"/>
  <c r="E151" i="4" s="1"/>
  <c r="E152" i="4" s="1"/>
  <c r="E153" i="4" s="1"/>
  <c r="E154" i="4" s="1"/>
  <c r="E155" i="4" s="1"/>
  <c r="E156" i="4" s="1"/>
  <c r="E157" i="4" s="1"/>
  <c r="E158" i="4" s="1"/>
  <c r="E159" i="4" s="1"/>
  <c r="E160" i="4" s="1"/>
  <c r="E161" i="4" s="1"/>
  <c r="E162" i="4" s="1"/>
  <c r="F151" i="4" s="1"/>
  <c r="F152" i="4" s="1"/>
  <c r="F153" i="4" s="1"/>
  <c r="F154" i="4" s="1"/>
  <c r="F155" i="4" s="1"/>
  <c r="F156" i="4" s="1"/>
  <c r="F157" i="4" s="1"/>
  <c r="F158" i="4" s="1"/>
  <c r="F159" i="4" s="1"/>
  <c r="F160" i="4" s="1"/>
  <c r="F161" i="4" s="1"/>
  <c r="F162" i="4" s="1"/>
  <c r="G151" i="4" s="1"/>
  <c r="G152" i="4" s="1"/>
  <c r="G153" i="4" s="1"/>
  <c r="G154" i="4" s="1"/>
  <c r="G155" i="4" s="1"/>
  <c r="G156" i="4" s="1"/>
  <c r="G157" i="4" s="1"/>
  <c r="G158" i="4" s="1"/>
  <c r="G159" i="4" s="1"/>
  <c r="G160" i="4" s="1"/>
  <c r="G161" i="4" s="1"/>
  <c r="G162" i="4" s="1"/>
  <c r="H151" i="4" s="1"/>
  <c r="H152" i="4" s="1"/>
  <c r="H153" i="4" s="1"/>
  <c r="H154" i="4" s="1"/>
  <c r="H155" i="4" s="1"/>
  <c r="H156" i="4" s="1"/>
  <c r="H157" i="4" s="1"/>
  <c r="H158" i="4" s="1"/>
  <c r="H159" i="4" s="1"/>
  <c r="H160" i="4" s="1"/>
  <c r="H161" i="4" s="1"/>
  <c r="H162" i="4" s="1"/>
  <c r="I151" i="4" s="1"/>
  <c r="I152" i="4" s="1"/>
  <c r="I153" i="4" s="1"/>
  <c r="I154" i="4" s="1"/>
  <c r="I155" i="4" s="1"/>
  <c r="I156" i="4" s="1"/>
  <c r="I157" i="4" s="1"/>
  <c r="I158" i="4" s="1"/>
  <c r="I159" i="4" s="1"/>
  <c r="I160" i="4" s="1"/>
  <c r="I161" i="4" s="1"/>
  <c r="I162" i="4" s="1"/>
  <c r="J151" i="4" s="1"/>
  <c r="J152" i="4" s="1"/>
  <c r="J153" i="4" s="1"/>
  <c r="J154" i="4" s="1"/>
  <c r="J155" i="4" s="1"/>
  <c r="J156" i="4" s="1"/>
  <c r="J157" i="4" s="1"/>
  <c r="J158" i="4" s="1"/>
  <c r="J159" i="4" s="1"/>
  <c r="J160" i="4" s="1"/>
  <c r="J161" i="4" s="1"/>
  <c r="J162" i="4" s="1"/>
  <c r="K151" i="4" s="1"/>
  <c r="K152" i="4" s="1"/>
  <c r="K153" i="4" s="1"/>
  <c r="K154" i="4" s="1"/>
  <c r="K155" i="4" s="1"/>
  <c r="K156" i="4" s="1"/>
  <c r="K157" i="4" s="1"/>
  <c r="K158" i="4" s="1"/>
  <c r="K159" i="4" s="1"/>
  <c r="K160" i="4" s="1"/>
  <c r="K161" i="4" s="1"/>
  <c r="K162" i="4" s="1"/>
  <c r="L151" i="4" s="1"/>
  <c r="L152" i="4" s="1"/>
  <c r="L153" i="4" s="1"/>
  <c r="L154" i="4" s="1"/>
  <c r="L155" i="4" s="1"/>
  <c r="L156" i="4" s="1"/>
  <c r="L157" i="4" s="1"/>
  <c r="L158" i="4" s="1"/>
  <c r="L159" i="4" s="1"/>
  <c r="L160" i="4" s="1"/>
  <c r="L161" i="4" s="1"/>
  <c r="L162" i="4" s="1"/>
  <c r="M151" i="4" s="1"/>
  <c r="M152" i="4" s="1"/>
  <c r="M153" i="4" s="1"/>
  <c r="M154" i="4" s="1"/>
  <c r="M155" i="4" s="1"/>
  <c r="M156" i="4" s="1"/>
  <c r="M157" i="4" s="1"/>
  <c r="M158" i="4" s="1"/>
  <c r="M159" i="4" s="1"/>
  <c r="M160" i="4" s="1"/>
  <c r="M161" i="4" s="1"/>
  <c r="M162" i="4" s="1"/>
  <c r="N151" i="4" s="1"/>
  <c r="N152" i="4" s="1"/>
  <c r="N153" i="4" s="1"/>
  <c r="N154" i="4" s="1"/>
  <c r="N155" i="4" s="1"/>
  <c r="AI132" i="4"/>
  <c r="AI133" i="4" s="1"/>
  <c r="AI134" i="4" s="1"/>
  <c r="AI135" i="4" s="1"/>
  <c r="AI136" i="4" s="1"/>
  <c r="AI137" i="4" s="1"/>
  <c r="AI138" i="4" s="1"/>
  <c r="AI139" i="4" s="1"/>
  <c r="AI140" i="4" s="1"/>
  <c r="AI141" i="4" s="1"/>
  <c r="AI142" i="4" s="1"/>
  <c r="AI143" i="4" s="1"/>
  <c r="AJ132" i="4" s="1"/>
  <c r="AJ133" i="4" s="1"/>
  <c r="AJ134" i="4" s="1"/>
  <c r="AJ135" i="4" s="1"/>
  <c r="AJ136" i="4" s="1"/>
  <c r="AJ137" i="4" s="1"/>
  <c r="AJ138" i="4" s="1"/>
  <c r="AJ139" i="4" s="1"/>
  <c r="AJ140" i="4" s="1"/>
  <c r="AJ141" i="4" s="1"/>
  <c r="AJ142" i="4" s="1"/>
  <c r="AJ143" i="4" s="1"/>
  <c r="AK132" i="4" s="1"/>
  <c r="AK133" i="4" s="1"/>
  <c r="AK134" i="4" s="1"/>
  <c r="AK135" i="4" s="1"/>
  <c r="AK136" i="4" s="1"/>
  <c r="AK137" i="4" s="1"/>
  <c r="AK138" i="4" s="1"/>
  <c r="AK139" i="4" s="1"/>
  <c r="AK140" i="4" s="1"/>
  <c r="AK141" i="4" s="1"/>
  <c r="AK142" i="4" s="1"/>
  <c r="AK143" i="4" s="1"/>
  <c r="AL132" i="4" s="1"/>
  <c r="AL133" i="4" s="1"/>
  <c r="AL134" i="4" s="1"/>
  <c r="AL135" i="4" s="1"/>
  <c r="AL136" i="4" s="1"/>
  <c r="AL137" i="4" s="1"/>
  <c r="AL138" i="4" s="1"/>
  <c r="AL139" i="4" s="1"/>
  <c r="AL140" i="4" s="1"/>
  <c r="AL141" i="4" s="1"/>
  <c r="AL142" i="4" s="1"/>
  <c r="AL143" i="4" s="1"/>
  <c r="AM132" i="4" s="1"/>
  <c r="AM133" i="4" s="1"/>
  <c r="AM134" i="4" s="1"/>
  <c r="AM135" i="4" s="1"/>
  <c r="AM136" i="4" s="1"/>
  <c r="AM137" i="4" s="1"/>
  <c r="AM138" i="4" s="1"/>
  <c r="AM139" i="4" s="1"/>
  <c r="AM140" i="4" s="1"/>
  <c r="AM141" i="4" s="1"/>
  <c r="AM142" i="4" s="1"/>
  <c r="AM143" i="4" s="1"/>
  <c r="AN132" i="4" s="1"/>
  <c r="AN133" i="4" s="1"/>
  <c r="AN134" i="4" s="1"/>
  <c r="AN135" i="4" s="1"/>
  <c r="AN136" i="4" s="1"/>
  <c r="AN137" i="4" s="1"/>
  <c r="AN138" i="4" s="1"/>
  <c r="AN139" i="4" s="1"/>
  <c r="AN140" i="4" s="1"/>
  <c r="AN141" i="4" s="1"/>
  <c r="AN142" i="4" s="1"/>
  <c r="AN143" i="4" s="1"/>
  <c r="AO132" i="4" s="1"/>
  <c r="AO133" i="4" s="1"/>
  <c r="AO134" i="4" s="1"/>
  <c r="AO135" i="4" s="1"/>
  <c r="AO136" i="4" s="1"/>
  <c r="AO137" i="4" s="1"/>
  <c r="AO138" i="4" s="1"/>
  <c r="AO139" i="4" s="1"/>
  <c r="AO140" i="4" s="1"/>
  <c r="AO141" i="4" s="1"/>
  <c r="AO142" i="4" s="1"/>
  <c r="AO143" i="4" s="1"/>
  <c r="AP132" i="4" s="1"/>
  <c r="AP133" i="4" s="1"/>
  <c r="AP134" i="4" s="1"/>
  <c r="AP135" i="4" s="1"/>
  <c r="AP136" i="4" s="1"/>
  <c r="AP137" i="4" s="1"/>
  <c r="AP138" i="4" s="1"/>
  <c r="AP139" i="4" s="1"/>
  <c r="AP140" i="4" s="1"/>
  <c r="AP141" i="4" s="1"/>
  <c r="AP142" i="4" s="1"/>
  <c r="AP143" i="4" s="1"/>
  <c r="AQ132" i="4" s="1"/>
  <c r="AQ133" i="4" s="1"/>
  <c r="AQ134" i="4" s="1"/>
  <c r="AQ135" i="4" s="1"/>
  <c r="AQ136" i="4" s="1"/>
  <c r="AQ137" i="4" s="1"/>
  <c r="AQ138" i="4" s="1"/>
  <c r="AQ139" i="4" s="1"/>
  <c r="AQ140" i="4" s="1"/>
  <c r="AQ141" i="4" s="1"/>
  <c r="AQ142" i="4" s="1"/>
  <c r="AQ143" i="4" s="1"/>
  <c r="AR132" i="4" s="1"/>
  <c r="AR133" i="4" s="1"/>
  <c r="AR134" i="4" s="1"/>
  <c r="AR135" i="4" s="1"/>
  <c r="AR136" i="4" s="1"/>
  <c r="AR137" i="4" s="1"/>
  <c r="AR138" i="4" s="1"/>
  <c r="AR139" i="4" s="1"/>
  <c r="AR140" i="4" s="1"/>
  <c r="AR141" i="4" s="1"/>
  <c r="AR142" i="4" s="1"/>
  <c r="AR143" i="4" s="1"/>
  <c r="AS132" i="4" s="1"/>
  <c r="AS133" i="4" s="1"/>
  <c r="AS134" i="4" s="1"/>
  <c r="AS135" i="4" s="1"/>
  <c r="AS136" i="4" s="1"/>
  <c r="AS137" i="4" s="1"/>
  <c r="AS138" i="4" s="1"/>
  <c r="AS139" i="4" s="1"/>
  <c r="AS140" i="4" s="1"/>
  <c r="AS141" i="4" s="1"/>
  <c r="AS142" i="4" s="1"/>
  <c r="AS143" i="4" s="1"/>
  <c r="AT132" i="4" s="1"/>
  <c r="AT133" i="4" s="1"/>
  <c r="AT134" i="4" s="1"/>
  <c r="AT135" i="4" s="1"/>
  <c r="AT136" i="4" s="1"/>
  <c r="AT137" i="4" s="1"/>
  <c r="AT138" i="4" s="1"/>
  <c r="AT139" i="4" s="1"/>
  <c r="AT140" i="4" s="1"/>
  <c r="AT141" i="4" s="1"/>
  <c r="AT142" i="4" s="1"/>
  <c r="AT143" i="4" s="1"/>
  <c r="AU132" i="4" s="1"/>
  <c r="AU133" i="4" s="1"/>
  <c r="AU134" i="4" s="1"/>
  <c r="AU135" i="4" s="1"/>
  <c r="AU136" i="4" s="1"/>
  <c r="AU137" i="4" s="1"/>
  <c r="AU138" i="4" s="1"/>
  <c r="AU139" i="4" s="1"/>
  <c r="AU140" i="4" s="1"/>
  <c r="AU141" i="4" s="1"/>
  <c r="AU142" i="4" s="1"/>
  <c r="AU143" i="4" s="1"/>
  <c r="AV132" i="4" s="1"/>
  <c r="AV133" i="4" s="1"/>
  <c r="AV134" i="4" s="1"/>
  <c r="AV135" i="4" s="1"/>
  <c r="AV136" i="4" s="1"/>
  <c r="AV137" i="4" s="1"/>
  <c r="AV138" i="4" s="1"/>
  <c r="AV139" i="4" s="1"/>
  <c r="AV140" i="4" s="1"/>
  <c r="AV141" i="4" s="1"/>
  <c r="AV142" i="4" s="1"/>
  <c r="AV143" i="4" s="1"/>
  <c r="AW132" i="4" s="1"/>
  <c r="AW133" i="4" s="1"/>
  <c r="AW134" i="4" s="1"/>
  <c r="AW135" i="4" s="1"/>
  <c r="AW136" i="4" s="1"/>
  <c r="AW137" i="4" s="1"/>
  <c r="AW138" i="4" s="1"/>
  <c r="AW139" i="4" s="1"/>
  <c r="AW140" i="4" s="1"/>
  <c r="AW141" i="4" s="1"/>
  <c r="AW142" i="4" s="1"/>
  <c r="AW143" i="4" s="1"/>
  <c r="AX132" i="4" s="1"/>
  <c r="AX133" i="4" s="1"/>
  <c r="AX134" i="4" s="1"/>
  <c r="AX135" i="4" s="1"/>
  <c r="AX136" i="4" s="1"/>
  <c r="AX137" i="4" s="1"/>
  <c r="AX138" i="4" s="1"/>
  <c r="AX139" i="4" s="1"/>
  <c r="AX140" i="4" s="1"/>
  <c r="AX141" i="4" s="1"/>
  <c r="AX142" i="4" s="1"/>
  <c r="AX143" i="4" s="1"/>
  <c r="AY132" i="4" s="1"/>
  <c r="AY133" i="4" s="1"/>
  <c r="AY134" i="4" s="1"/>
  <c r="AY135" i="4" s="1"/>
  <c r="AY136" i="4" s="1"/>
  <c r="AY137" i="4" s="1"/>
  <c r="AY138" i="4" s="1"/>
  <c r="AY139" i="4" s="1"/>
  <c r="AY140" i="4" s="1"/>
  <c r="AY141" i="4" s="1"/>
  <c r="AY142" i="4" s="1"/>
  <c r="AY143" i="4" s="1"/>
  <c r="AZ132" i="4" s="1"/>
  <c r="AZ133" i="4" s="1"/>
  <c r="AZ134" i="4" s="1"/>
  <c r="AZ135" i="4" s="1"/>
  <c r="AZ136" i="4" s="1"/>
  <c r="AZ137" i="4" s="1"/>
  <c r="AZ138" i="4" s="1"/>
  <c r="AZ139" i="4" s="1"/>
  <c r="AZ140" i="4" s="1"/>
  <c r="AZ141" i="4" s="1"/>
  <c r="AZ142" i="4" s="1"/>
  <c r="AZ143" i="4" s="1"/>
  <c r="BA132" i="4" s="1"/>
  <c r="BA133" i="4" s="1"/>
  <c r="BA134" i="4" s="1"/>
  <c r="BA135" i="4" s="1"/>
  <c r="BA136" i="4" s="1"/>
  <c r="BA137" i="4" s="1"/>
  <c r="BA138" i="4" s="1"/>
  <c r="BA139" i="4" s="1"/>
  <c r="BA140" i="4" s="1"/>
  <c r="BA141" i="4" s="1"/>
  <c r="BA142" i="4" s="1"/>
  <c r="BA143" i="4" s="1"/>
  <c r="BB132" i="4" s="1"/>
  <c r="BB133" i="4" s="1"/>
  <c r="BB134" i="4" s="1"/>
  <c r="BB135" i="4" s="1"/>
  <c r="BB136" i="4" s="1"/>
  <c r="BB137" i="4" s="1"/>
  <c r="BB138" i="4" s="1"/>
  <c r="BB139" i="4" s="1"/>
  <c r="BB140" i="4" s="1"/>
  <c r="BB141" i="4" s="1"/>
  <c r="BB142" i="4" s="1"/>
  <c r="BB143" i="4" s="1"/>
  <c r="BC132" i="4" s="1"/>
  <c r="BC133" i="4" s="1"/>
  <c r="BC134" i="4" s="1"/>
  <c r="BC135" i="4" s="1"/>
  <c r="BC136" i="4" s="1"/>
  <c r="BC137" i="4" s="1"/>
  <c r="BC138" i="4" s="1"/>
  <c r="BC139" i="4" s="1"/>
  <c r="BC140" i="4" s="1"/>
  <c r="BC141" i="4" s="1"/>
  <c r="BC142" i="4" s="1"/>
  <c r="BC143" i="4" s="1"/>
  <c r="BD132" i="4" s="1"/>
  <c r="BD133" i="4" s="1"/>
  <c r="BD134" i="4" s="1"/>
  <c r="BD135" i="4" s="1"/>
  <c r="BD136" i="4" s="1"/>
  <c r="BD137" i="4" s="1"/>
  <c r="BD138" i="4" s="1"/>
  <c r="BD139" i="4" s="1"/>
  <c r="BD140" i="4" s="1"/>
  <c r="BD141" i="4" s="1"/>
  <c r="BD142" i="4" s="1"/>
  <c r="BD143" i="4" s="1"/>
  <c r="BE132" i="4" s="1"/>
  <c r="BE133" i="4" s="1"/>
  <c r="BE134" i="4" s="1"/>
  <c r="BE135" i="4" s="1"/>
  <c r="BE136" i="4" s="1"/>
  <c r="BE137" i="4" s="1"/>
  <c r="BE138" i="4" s="1"/>
  <c r="BE139" i="4" s="1"/>
  <c r="BE140" i="4" s="1"/>
  <c r="BE141" i="4" s="1"/>
  <c r="BE142" i="4" s="1"/>
  <c r="BE143" i="4" s="1"/>
  <c r="BF132" i="4" s="1"/>
  <c r="BF133" i="4" s="1"/>
  <c r="BF134" i="4" s="1"/>
  <c r="BF135" i="4" s="1"/>
  <c r="BF136" i="4" s="1"/>
  <c r="BF137" i="4" s="1"/>
  <c r="BF138" i="4" s="1"/>
  <c r="BF139" i="4" s="1"/>
  <c r="BF140" i="4" s="1"/>
  <c r="BF141" i="4" s="1"/>
  <c r="BF142" i="4" s="1"/>
  <c r="BF143" i="4" s="1"/>
  <c r="BG132" i="4" s="1"/>
  <c r="BG133" i="4" s="1"/>
  <c r="BG134" i="4" s="1"/>
  <c r="BG135" i="4" s="1"/>
  <c r="BG136" i="4" s="1"/>
  <c r="BG137" i="4" s="1"/>
  <c r="BG138" i="4" s="1"/>
  <c r="BG139" i="4" s="1"/>
  <c r="BG140" i="4" s="1"/>
  <c r="BG141" i="4" s="1"/>
  <c r="BG142" i="4" s="1"/>
  <c r="BG143" i="4" s="1"/>
  <c r="BH132" i="4" s="1"/>
  <c r="BH133" i="4" s="1"/>
  <c r="BH134" i="4" s="1"/>
  <c r="BH135" i="4" s="1"/>
  <c r="BH136" i="4" s="1"/>
  <c r="BH137" i="4" s="1"/>
  <c r="BH138" i="4" s="1"/>
  <c r="BH139" i="4" s="1"/>
  <c r="BH140" i="4" s="1"/>
  <c r="BH141" i="4" s="1"/>
  <c r="BH142" i="4" s="1"/>
  <c r="BH143" i="4" s="1"/>
  <c r="BI132" i="4" s="1"/>
  <c r="BI133" i="4" s="1"/>
  <c r="BI134" i="4" s="1"/>
  <c r="BI135" i="4" s="1"/>
  <c r="BI136" i="4" s="1"/>
  <c r="BI137" i="4" s="1"/>
  <c r="BI138" i="4" s="1"/>
  <c r="BI139" i="4" s="1"/>
  <c r="BI140" i="4" s="1"/>
  <c r="BI141" i="4" s="1"/>
  <c r="BI142" i="4" s="1"/>
  <c r="BI143" i="4" s="1"/>
  <c r="BJ132" i="4" s="1"/>
  <c r="BJ133" i="4" s="1"/>
  <c r="BJ134" i="4" s="1"/>
  <c r="BJ135" i="4" s="1"/>
  <c r="BJ136" i="4" s="1"/>
  <c r="BJ137" i="4" s="1"/>
  <c r="BJ138" i="4" s="1"/>
  <c r="BJ139" i="4" s="1"/>
  <c r="BJ140" i="4" s="1"/>
  <c r="BJ141" i="4" s="1"/>
  <c r="BJ142" i="4" s="1"/>
  <c r="BJ143" i="4" s="1"/>
  <c r="D132" i="4"/>
  <c r="D133" i="4" s="1"/>
  <c r="D134" i="4" s="1"/>
  <c r="D135" i="4" s="1"/>
  <c r="D136" i="4" s="1"/>
  <c r="D137" i="4" s="1"/>
  <c r="D138" i="4" s="1"/>
  <c r="D139" i="4" s="1"/>
  <c r="D140" i="4" s="1"/>
  <c r="D141" i="4" s="1"/>
  <c r="D142" i="4" s="1"/>
  <c r="D143" i="4" s="1"/>
  <c r="E132" i="4" s="1"/>
  <c r="E133" i="4" s="1"/>
  <c r="E134" i="4" s="1"/>
  <c r="E135" i="4" s="1"/>
  <c r="E136" i="4" s="1"/>
  <c r="E137" i="4" s="1"/>
  <c r="E138" i="4" s="1"/>
  <c r="E139" i="4" s="1"/>
  <c r="E140" i="4" s="1"/>
  <c r="E141" i="4" s="1"/>
  <c r="E142" i="4" s="1"/>
  <c r="E143" i="4" s="1"/>
  <c r="F132" i="4" s="1"/>
  <c r="F133" i="4" s="1"/>
  <c r="F134" i="4" s="1"/>
  <c r="F135" i="4" s="1"/>
  <c r="F136" i="4" s="1"/>
  <c r="F137" i="4" s="1"/>
  <c r="F138" i="4" s="1"/>
  <c r="F139" i="4" s="1"/>
  <c r="F140" i="4" s="1"/>
  <c r="F141" i="4" s="1"/>
  <c r="F142" i="4" s="1"/>
  <c r="F143" i="4" s="1"/>
  <c r="G132" i="4" s="1"/>
  <c r="G133" i="4" s="1"/>
  <c r="G134" i="4" s="1"/>
  <c r="G135" i="4" s="1"/>
  <c r="G136" i="4" s="1"/>
  <c r="G137" i="4" s="1"/>
  <c r="G138" i="4" s="1"/>
  <c r="G139" i="4" s="1"/>
  <c r="G140" i="4" s="1"/>
  <c r="G141" i="4" s="1"/>
  <c r="G142" i="4" s="1"/>
  <c r="G143" i="4" s="1"/>
  <c r="H132" i="4" s="1"/>
  <c r="H133" i="4" s="1"/>
  <c r="H134" i="4" s="1"/>
  <c r="H135" i="4" s="1"/>
  <c r="H136" i="4" s="1"/>
  <c r="H137" i="4" s="1"/>
  <c r="H138" i="4" s="1"/>
  <c r="H139" i="4" s="1"/>
  <c r="H140" i="4" s="1"/>
  <c r="H141" i="4" s="1"/>
  <c r="H142" i="4" s="1"/>
  <c r="H143" i="4" s="1"/>
  <c r="I132" i="4" s="1"/>
  <c r="I133" i="4" s="1"/>
  <c r="I134" i="4" s="1"/>
  <c r="I135" i="4" s="1"/>
  <c r="I136" i="4" s="1"/>
  <c r="I137" i="4" s="1"/>
  <c r="I138" i="4" s="1"/>
  <c r="I139" i="4" s="1"/>
  <c r="I140" i="4" s="1"/>
  <c r="I141" i="4" s="1"/>
  <c r="I142" i="4" s="1"/>
  <c r="I143" i="4" s="1"/>
  <c r="J132" i="4" s="1"/>
  <c r="J133" i="4" s="1"/>
  <c r="J134" i="4" s="1"/>
  <c r="J135" i="4" s="1"/>
  <c r="J136" i="4" s="1"/>
  <c r="J137" i="4" s="1"/>
  <c r="J138" i="4" s="1"/>
  <c r="J139" i="4" s="1"/>
  <c r="J140" i="4" s="1"/>
  <c r="J141" i="4" s="1"/>
  <c r="J142" i="4" s="1"/>
  <c r="J143" i="4" s="1"/>
  <c r="K132" i="4" s="1"/>
  <c r="K133" i="4" s="1"/>
  <c r="K134" i="4" s="1"/>
  <c r="K135" i="4" s="1"/>
  <c r="K136" i="4" s="1"/>
  <c r="K137" i="4" s="1"/>
  <c r="K138" i="4" s="1"/>
  <c r="K139" i="4" s="1"/>
  <c r="K140" i="4" s="1"/>
  <c r="K141" i="4" s="1"/>
  <c r="K142" i="4" s="1"/>
  <c r="K143" i="4" s="1"/>
  <c r="L132" i="4" s="1"/>
  <c r="L133" i="4" s="1"/>
  <c r="L134" i="4" s="1"/>
  <c r="L135" i="4" s="1"/>
  <c r="L136" i="4" s="1"/>
  <c r="L137" i="4" s="1"/>
  <c r="L138" i="4" s="1"/>
  <c r="L139" i="4" s="1"/>
  <c r="L140" i="4" s="1"/>
  <c r="L141" i="4" s="1"/>
  <c r="L142" i="4" s="1"/>
  <c r="L143" i="4" s="1"/>
  <c r="M132" i="4" s="1"/>
  <c r="M133" i="4" s="1"/>
  <c r="M134" i="4" s="1"/>
  <c r="M135" i="4" s="1"/>
  <c r="M136" i="4" s="1"/>
  <c r="M137" i="4" s="1"/>
  <c r="M138" i="4" s="1"/>
  <c r="M139" i="4" s="1"/>
  <c r="M140" i="4" s="1"/>
  <c r="M141" i="4" s="1"/>
  <c r="M142" i="4" s="1"/>
  <c r="M143" i="4" s="1"/>
  <c r="N132" i="4" s="1"/>
  <c r="N133" i="4" s="1"/>
  <c r="N134" i="4" s="1"/>
  <c r="N135" i="4" s="1"/>
  <c r="N136" i="4" s="1"/>
  <c r="N137" i="4" s="1"/>
  <c r="N138" i="4" s="1"/>
  <c r="N139" i="4" s="1"/>
  <c r="N140" i="4" s="1"/>
  <c r="N141" i="4" s="1"/>
  <c r="AI113" i="4"/>
  <c r="AI114" i="4" s="1"/>
  <c r="AI115" i="4" s="1"/>
  <c r="AI116" i="4" s="1"/>
  <c r="AI117" i="4" s="1"/>
  <c r="AI118" i="4" s="1"/>
  <c r="AI119" i="4" s="1"/>
  <c r="AI120" i="4" s="1"/>
  <c r="AI121" i="4" s="1"/>
  <c r="AI122" i="4" s="1"/>
  <c r="AI123" i="4" s="1"/>
  <c r="AI124" i="4" s="1"/>
  <c r="AJ113" i="4" s="1"/>
  <c r="AJ114" i="4" s="1"/>
  <c r="AJ115" i="4" s="1"/>
  <c r="AJ116" i="4" s="1"/>
  <c r="AJ117" i="4" s="1"/>
  <c r="AJ118" i="4" s="1"/>
  <c r="AJ119" i="4" s="1"/>
  <c r="AJ120" i="4" s="1"/>
  <c r="AJ121" i="4" s="1"/>
  <c r="AJ122" i="4" s="1"/>
  <c r="AJ123" i="4" s="1"/>
  <c r="AJ124" i="4" s="1"/>
  <c r="AK113" i="4" s="1"/>
  <c r="AK114" i="4" s="1"/>
  <c r="AK115" i="4" s="1"/>
  <c r="AK116" i="4" s="1"/>
  <c r="AK117" i="4" s="1"/>
  <c r="AK118" i="4" s="1"/>
  <c r="AK119" i="4" s="1"/>
  <c r="AK120" i="4" s="1"/>
  <c r="AK121" i="4" s="1"/>
  <c r="AK122" i="4" s="1"/>
  <c r="AK123" i="4" s="1"/>
  <c r="AK124" i="4" s="1"/>
  <c r="AL113" i="4" s="1"/>
  <c r="AL114" i="4" s="1"/>
  <c r="AL115" i="4" s="1"/>
  <c r="AL116" i="4" s="1"/>
  <c r="AL117" i="4" s="1"/>
  <c r="AL118" i="4" s="1"/>
  <c r="AL119" i="4" s="1"/>
  <c r="AL120" i="4" s="1"/>
  <c r="AL121" i="4" s="1"/>
  <c r="AL122" i="4" s="1"/>
  <c r="AL123" i="4" s="1"/>
  <c r="AL124" i="4" s="1"/>
  <c r="AM113" i="4" s="1"/>
  <c r="AM114" i="4" s="1"/>
  <c r="AM115" i="4" s="1"/>
  <c r="AM116" i="4" s="1"/>
  <c r="AM117" i="4" s="1"/>
  <c r="AM118" i="4" s="1"/>
  <c r="AM119" i="4" s="1"/>
  <c r="AM120" i="4" s="1"/>
  <c r="AM121" i="4" s="1"/>
  <c r="AM122" i="4" s="1"/>
  <c r="AM123" i="4" s="1"/>
  <c r="AM124" i="4" s="1"/>
  <c r="AN113" i="4" s="1"/>
  <c r="AN114" i="4" s="1"/>
  <c r="AN115" i="4" s="1"/>
  <c r="AN116" i="4" s="1"/>
  <c r="AN117" i="4" s="1"/>
  <c r="AN118" i="4" s="1"/>
  <c r="AN119" i="4" s="1"/>
  <c r="AN120" i="4" s="1"/>
  <c r="AN121" i="4" s="1"/>
  <c r="AN122" i="4" s="1"/>
  <c r="AN123" i="4" s="1"/>
  <c r="AN124" i="4" s="1"/>
  <c r="AO113" i="4" s="1"/>
  <c r="AO114" i="4" s="1"/>
  <c r="AO115" i="4" s="1"/>
  <c r="AO116" i="4" s="1"/>
  <c r="AO117" i="4" s="1"/>
  <c r="AO118" i="4" s="1"/>
  <c r="AO119" i="4" s="1"/>
  <c r="AO120" i="4" s="1"/>
  <c r="AO121" i="4" s="1"/>
  <c r="AO122" i="4" s="1"/>
  <c r="AO123" i="4" s="1"/>
  <c r="AO124" i="4" s="1"/>
  <c r="AP113" i="4" s="1"/>
  <c r="AP114" i="4" s="1"/>
  <c r="AP115" i="4" s="1"/>
  <c r="AP116" i="4" s="1"/>
  <c r="AP117" i="4" s="1"/>
  <c r="AP118" i="4" s="1"/>
  <c r="AP119" i="4" s="1"/>
  <c r="AP120" i="4" s="1"/>
  <c r="AP121" i="4" s="1"/>
  <c r="AP122" i="4" s="1"/>
  <c r="AP123" i="4" s="1"/>
  <c r="AP124" i="4" s="1"/>
  <c r="AQ113" i="4" s="1"/>
  <c r="AQ114" i="4" s="1"/>
  <c r="AQ115" i="4" s="1"/>
  <c r="AQ116" i="4" s="1"/>
  <c r="AQ117" i="4" s="1"/>
  <c r="AQ118" i="4" s="1"/>
  <c r="AQ119" i="4" s="1"/>
  <c r="AQ120" i="4" s="1"/>
  <c r="AQ121" i="4" s="1"/>
  <c r="AQ122" i="4" s="1"/>
  <c r="AQ123" i="4" s="1"/>
  <c r="AQ124" i="4" s="1"/>
  <c r="AR113" i="4" s="1"/>
  <c r="AR114" i="4" s="1"/>
  <c r="AR115" i="4" s="1"/>
  <c r="AR116" i="4" s="1"/>
  <c r="AR117" i="4" s="1"/>
  <c r="AR118" i="4" s="1"/>
  <c r="AR119" i="4" s="1"/>
  <c r="AR120" i="4" s="1"/>
  <c r="AR121" i="4" s="1"/>
  <c r="AR122" i="4" s="1"/>
  <c r="AR123" i="4" s="1"/>
  <c r="AR124" i="4" s="1"/>
  <c r="AS113" i="4" s="1"/>
  <c r="AS114" i="4" s="1"/>
  <c r="AS115" i="4" s="1"/>
  <c r="AS116" i="4" s="1"/>
  <c r="AS117" i="4" s="1"/>
  <c r="AS118" i="4" s="1"/>
  <c r="AS119" i="4" s="1"/>
  <c r="AS120" i="4" s="1"/>
  <c r="AS121" i="4" s="1"/>
  <c r="AS122" i="4" s="1"/>
  <c r="AS123" i="4" s="1"/>
  <c r="AS124" i="4" s="1"/>
  <c r="AT113" i="4" s="1"/>
  <c r="AT114" i="4" s="1"/>
  <c r="AT115" i="4" s="1"/>
  <c r="AT116" i="4" s="1"/>
  <c r="AT117" i="4" s="1"/>
  <c r="AT118" i="4" s="1"/>
  <c r="AT119" i="4" s="1"/>
  <c r="AT120" i="4" s="1"/>
  <c r="AT121" i="4" s="1"/>
  <c r="AT122" i="4" s="1"/>
  <c r="AT123" i="4" s="1"/>
  <c r="AT124" i="4" s="1"/>
  <c r="AU113" i="4" s="1"/>
  <c r="AU114" i="4" s="1"/>
  <c r="AU115" i="4" s="1"/>
  <c r="AU116" i="4" s="1"/>
  <c r="AU117" i="4" s="1"/>
  <c r="AU118" i="4" s="1"/>
  <c r="AU119" i="4" s="1"/>
  <c r="AU120" i="4" s="1"/>
  <c r="AU121" i="4" s="1"/>
  <c r="AU122" i="4" s="1"/>
  <c r="AU123" i="4" s="1"/>
  <c r="AU124" i="4" s="1"/>
  <c r="AV113" i="4" s="1"/>
  <c r="AV114" i="4" s="1"/>
  <c r="AV115" i="4" s="1"/>
  <c r="AV116" i="4" s="1"/>
  <c r="AV117" i="4" s="1"/>
  <c r="AV118" i="4" s="1"/>
  <c r="AV119" i="4" s="1"/>
  <c r="AV120" i="4" s="1"/>
  <c r="AV121" i="4" s="1"/>
  <c r="AV122" i="4" s="1"/>
  <c r="AV123" i="4" s="1"/>
  <c r="AV124" i="4" s="1"/>
  <c r="AW113" i="4" s="1"/>
  <c r="AW114" i="4" s="1"/>
  <c r="AW115" i="4" s="1"/>
  <c r="AW116" i="4" s="1"/>
  <c r="AW117" i="4" s="1"/>
  <c r="AW118" i="4" s="1"/>
  <c r="AW119" i="4" s="1"/>
  <c r="AW120" i="4" s="1"/>
  <c r="AW121" i="4" s="1"/>
  <c r="AW122" i="4" s="1"/>
  <c r="AW123" i="4" s="1"/>
  <c r="AW124" i="4" s="1"/>
  <c r="AX113" i="4" s="1"/>
  <c r="AX114" i="4" s="1"/>
  <c r="AX115" i="4" s="1"/>
  <c r="AX116" i="4" s="1"/>
  <c r="AX117" i="4" s="1"/>
  <c r="AX118" i="4" s="1"/>
  <c r="AX119" i="4" s="1"/>
  <c r="AX120" i="4" s="1"/>
  <c r="AX121" i="4" s="1"/>
  <c r="AX122" i="4" s="1"/>
  <c r="AX123" i="4" s="1"/>
  <c r="AX124" i="4" s="1"/>
  <c r="AY113" i="4" s="1"/>
  <c r="AY114" i="4" s="1"/>
  <c r="AY115" i="4" s="1"/>
  <c r="AY116" i="4" s="1"/>
  <c r="AY117" i="4" s="1"/>
  <c r="AY118" i="4" s="1"/>
  <c r="AY119" i="4" s="1"/>
  <c r="AY120" i="4" s="1"/>
  <c r="AY121" i="4" s="1"/>
  <c r="AY122" i="4" s="1"/>
  <c r="AY123" i="4" s="1"/>
  <c r="AY124" i="4" s="1"/>
  <c r="AZ113" i="4" s="1"/>
  <c r="AZ114" i="4" s="1"/>
  <c r="AZ115" i="4" s="1"/>
  <c r="AZ116" i="4" s="1"/>
  <c r="AZ117" i="4" s="1"/>
  <c r="AZ118" i="4" s="1"/>
  <c r="AZ119" i="4" s="1"/>
  <c r="AZ120" i="4" s="1"/>
  <c r="AZ121" i="4" s="1"/>
  <c r="AZ122" i="4" s="1"/>
  <c r="AZ123" i="4" s="1"/>
  <c r="AZ124" i="4" s="1"/>
  <c r="BA113" i="4" s="1"/>
  <c r="BA114" i="4" s="1"/>
  <c r="BA115" i="4" s="1"/>
  <c r="BA116" i="4" s="1"/>
  <c r="BA117" i="4" s="1"/>
  <c r="BA118" i="4" s="1"/>
  <c r="BA119" i="4" s="1"/>
  <c r="BA120" i="4" s="1"/>
  <c r="BA121" i="4" s="1"/>
  <c r="BA122" i="4" s="1"/>
  <c r="BA123" i="4" s="1"/>
  <c r="BA124" i="4" s="1"/>
  <c r="BB113" i="4" s="1"/>
  <c r="BB114" i="4" s="1"/>
  <c r="BB115" i="4" s="1"/>
  <c r="BB116" i="4" s="1"/>
  <c r="BB117" i="4" s="1"/>
  <c r="BB118" i="4" s="1"/>
  <c r="BB119" i="4" s="1"/>
  <c r="BB120" i="4" s="1"/>
  <c r="BB121" i="4" s="1"/>
  <c r="BB122" i="4" s="1"/>
  <c r="BB123" i="4" s="1"/>
  <c r="BB124" i="4" s="1"/>
  <c r="BC113" i="4" s="1"/>
  <c r="BC114" i="4" s="1"/>
  <c r="BC115" i="4" s="1"/>
  <c r="BC116" i="4" s="1"/>
  <c r="BC117" i="4" s="1"/>
  <c r="BC118" i="4" s="1"/>
  <c r="BC119" i="4" s="1"/>
  <c r="BC120" i="4" s="1"/>
  <c r="BC121" i="4" s="1"/>
  <c r="BC122" i="4" s="1"/>
  <c r="BC123" i="4" s="1"/>
  <c r="BC124" i="4" s="1"/>
  <c r="BD113" i="4" s="1"/>
  <c r="BD114" i="4" s="1"/>
  <c r="BD115" i="4" s="1"/>
  <c r="BD116" i="4" s="1"/>
  <c r="BD117" i="4" s="1"/>
  <c r="BD118" i="4" s="1"/>
  <c r="BD119" i="4" s="1"/>
  <c r="BD120" i="4" s="1"/>
  <c r="BD121" i="4" s="1"/>
  <c r="BD122" i="4" s="1"/>
  <c r="BD123" i="4" s="1"/>
  <c r="BD124" i="4" s="1"/>
  <c r="BE113" i="4" s="1"/>
  <c r="BE114" i="4" s="1"/>
  <c r="BE115" i="4" s="1"/>
  <c r="BE116" i="4" s="1"/>
  <c r="BE117" i="4" s="1"/>
  <c r="BE118" i="4" s="1"/>
  <c r="BE119" i="4" s="1"/>
  <c r="BE120" i="4" s="1"/>
  <c r="BE121" i="4" s="1"/>
  <c r="BE122" i="4" s="1"/>
  <c r="BE123" i="4" s="1"/>
  <c r="BE124" i="4" s="1"/>
  <c r="BF113" i="4" s="1"/>
  <c r="BF114" i="4" s="1"/>
  <c r="BF115" i="4" s="1"/>
  <c r="BF116" i="4" s="1"/>
  <c r="BF117" i="4" s="1"/>
  <c r="BF118" i="4" s="1"/>
  <c r="BF119" i="4" s="1"/>
  <c r="BF120" i="4" s="1"/>
  <c r="BF121" i="4" s="1"/>
  <c r="BF122" i="4" s="1"/>
  <c r="BF123" i="4" s="1"/>
  <c r="BF124" i="4" s="1"/>
  <c r="BG113" i="4" s="1"/>
  <c r="BG114" i="4" s="1"/>
  <c r="BG115" i="4" s="1"/>
  <c r="BG116" i="4" s="1"/>
  <c r="BG117" i="4" s="1"/>
  <c r="BG118" i="4" s="1"/>
  <c r="BG119" i="4" s="1"/>
  <c r="BG120" i="4" s="1"/>
  <c r="BG121" i="4" s="1"/>
  <c r="BG122" i="4" s="1"/>
  <c r="BG123" i="4" s="1"/>
  <c r="BG124" i="4" s="1"/>
  <c r="BH113" i="4" s="1"/>
  <c r="BH114" i="4" s="1"/>
  <c r="BH115" i="4" s="1"/>
  <c r="BH116" i="4" s="1"/>
  <c r="BH117" i="4" s="1"/>
  <c r="BH118" i="4" s="1"/>
  <c r="BH119" i="4" s="1"/>
  <c r="BH120" i="4" s="1"/>
  <c r="BH121" i="4" s="1"/>
  <c r="BH122" i="4" s="1"/>
  <c r="BH123" i="4" s="1"/>
  <c r="BH124" i="4" s="1"/>
  <c r="BI113" i="4" s="1"/>
  <c r="BI114" i="4" s="1"/>
  <c r="BI115" i="4" s="1"/>
  <c r="BI116" i="4" s="1"/>
  <c r="BI117" i="4" s="1"/>
  <c r="BI118" i="4" s="1"/>
  <c r="BI119" i="4" s="1"/>
  <c r="BI120" i="4" s="1"/>
  <c r="BI121" i="4" s="1"/>
  <c r="BI122" i="4" s="1"/>
  <c r="BI123" i="4" s="1"/>
  <c r="BI124" i="4" s="1"/>
  <c r="BJ113" i="4" s="1"/>
  <c r="BJ114" i="4" s="1"/>
  <c r="BJ115" i="4" s="1"/>
  <c r="BJ116" i="4" s="1"/>
  <c r="BJ117" i="4" s="1"/>
  <c r="BJ118" i="4" s="1"/>
  <c r="BJ119" i="4" s="1"/>
  <c r="BJ120" i="4" s="1"/>
  <c r="BJ121" i="4" s="1"/>
  <c r="BJ122" i="4" s="1"/>
  <c r="BJ123" i="4" s="1"/>
  <c r="BJ124" i="4" s="1"/>
  <c r="D113" i="4"/>
  <c r="D114" i="4" s="1"/>
  <c r="D115" i="4" s="1"/>
  <c r="D116" i="4" s="1"/>
  <c r="D117" i="4" s="1"/>
  <c r="D118" i="4" s="1"/>
  <c r="D119" i="4" s="1"/>
  <c r="D120" i="4" s="1"/>
  <c r="D121" i="4" s="1"/>
  <c r="D122" i="4" s="1"/>
  <c r="D123" i="4" s="1"/>
  <c r="D124" i="4" s="1"/>
  <c r="E113" i="4" s="1"/>
  <c r="E114" i="4" s="1"/>
  <c r="E115" i="4" s="1"/>
  <c r="E116" i="4" s="1"/>
  <c r="E117" i="4" s="1"/>
  <c r="E118" i="4" s="1"/>
  <c r="E119" i="4" s="1"/>
  <c r="E120" i="4" s="1"/>
  <c r="E121" i="4" s="1"/>
  <c r="E122" i="4" s="1"/>
  <c r="E123" i="4" s="1"/>
  <c r="E124" i="4" s="1"/>
  <c r="F113" i="4" s="1"/>
  <c r="F114" i="4" s="1"/>
  <c r="F115" i="4" s="1"/>
  <c r="F116" i="4" s="1"/>
  <c r="F117" i="4" s="1"/>
  <c r="F118" i="4" s="1"/>
  <c r="F119" i="4" s="1"/>
  <c r="F120" i="4" s="1"/>
  <c r="F121" i="4" s="1"/>
  <c r="F122" i="4" s="1"/>
  <c r="F123" i="4" s="1"/>
  <c r="F124" i="4" s="1"/>
  <c r="G113" i="4" s="1"/>
  <c r="G114" i="4" s="1"/>
  <c r="G115" i="4" s="1"/>
  <c r="G116" i="4" s="1"/>
  <c r="G117" i="4" s="1"/>
  <c r="G118" i="4" s="1"/>
  <c r="G119" i="4" s="1"/>
  <c r="G120" i="4" s="1"/>
  <c r="G121" i="4" s="1"/>
  <c r="G122" i="4" s="1"/>
  <c r="G123" i="4" s="1"/>
  <c r="G124" i="4" s="1"/>
  <c r="H113" i="4" s="1"/>
  <c r="H114" i="4" s="1"/>
  <c r="H115" i="4" s="1"/>
  <c r="H116" i="4" s="1"/>
  <c r="H117" i="4" s="1"/>
  <c r="H118" i="4" s="1"/>
  <c r="H119" i="4" s="1"/>
  <c r="H120" i="4" s="1"/>
  <c r="H121" i="4" s="1"/>
  <c r="H122" i="4" s="1"/>
  <c r="H123" i="4" s="1"/>
  <c r="H124" i="4" s="1"/>
  <c r="I113" i="4" s="1"/>
  <c r="I114" i="4" s="1"/>
  <c r="I115" i="4" s="1"/>
  <c r="I116" i="4" s="1"/>
  <c r="I117" i="4" s="1"/>
  <c r="I118" i="4" s="1"/>
  <c r="I119" i="4" s="1"/>
  <c r="I120" i="4" s="1"/>
  <c r="I121" i="4" s="1"/>
  <c r="I122" i="4" s="1"/>
  <c r="I123" i="4" s="1"/>
  <c r="I124" i="4" s="1"/>
  <c r="J113" i="4" s="1"/>
  <c r="J114" i="4" s="1"/>
  <c r="J115" i="4" s="1"/>
  <c r="J116" i="4" s="1"/>
  <c r="J117" i="4" s="1"/>
  <c r="J118" i="4" s="1"/>
  <c r="J119" i="4" s="1"/>
  <c r="J120" i="4" s="1"/>
  <c r="J121" i="4" s="1"/>
  <c r="J122" i="4" s="1"/>
  <c r="J123" i="4" s="1"/>
  <c r="J124" i="4" s="1"/>
  <c r="K113" i="4" s="1"/>
  <c r="K114" i="4" s="1"/>
  <c r="K115" i="4" s="1"/>
  <c r="K116" i="4" s="1"/>
  <c r="K117" i="4" s="1"/>
  <c r="K118" i="4" s="1"/>
  <c r="K119" i="4" s="1"/>
  <c r="K120" i="4" s="1"/>
  <c r="K121" i="4" s="1"/>
  <c r="K122" i="4" s="1"/>
  <c r="K123" i="4" s="1"/>
  <c r="K124" i="4" s="1"/>
  <c r="L113" i="4" s="1"/>
  <c r="L114" i="4" s="1"/>
  <c r="L115" i="4" s="1"/>
  <c r="L116" i="4" s="1"/>
  <c r="L117" i="4" s="1"/>
  <c r="L118" i="4" s="1"/>
  <c r="L119" i="4" s="1"/>
  <c r="L120" i="4" s="1"/>
  <c r="L121" i="4" s="1"/>
  <c r="L122" i="4" s="1"/>
  <c r="L123" i="4" s="1"/>
  <c r="L124" i="4" s="1"/>
  <c r="M113" i="4" s="1"/>
  <c r="M114" i="4" s="1"/>
  <c r="M115" i="4" s="1"/>
  <c r="M116" i="4" s="1"/>
  <c r="M117" i="4" s="1"/>
  <c r="M118" i="4" s="1"/>
  <c r="M119" i="4" s="1"/>
  <c r="M120" i="4" s="1"/>
  <c r="M121" i="4" s="1"/>
  <c r="M122" i="4" s="1"/>
  <c r="M123" i="4" s="1"/>
  <c r="M124" i="4" s="1"/>
  <c r="N113" i="4" s="1"/>
  <c r="N114" i="4" s="1"/>
  <c r="N115" i="4" s="1"/>
  <c r="N116" i="4" s="1"/>
  <c r="N117" i="4" s="1"/>
  <c r="N118" i="4" s="1"/>
  <c r="N119" i="4" s="1"/>
  <c r="N120" i="4" s="1"/>
  <c r="N121" i="4" s="1"/>
  <c r="N122" i="4" s="1"/>
  <c r="N123" i="4" s="1"/>
  <c r="N124" i="4" s="1"/>
  <c r="O113" i="4" s="1"/>
  <c r="O114" i="4" s="1"/>
  <c r="O115" i="4" s="1"/>
  <c r="O116" i="4" s="1"/>
  <c r="AI94" i="4"/>
  <c r="AI95" i="4" s="1"/>
  <c r="AI96" i="4" s="1"/>
  <c r="AI97" i="4" s="1"/>
  <c r="AI98" i="4" s="1"/>
  <c r="AI99" i="4" s="1"/>
  <c r="AI100" i="4" s="1"/>
  <c r="AI101" i="4" s="1"/>
  <c r="AI102" i="4" s="1"/>
  <c r="AI103" i="4" s="1"/>
  <c r="AI104" i="4" s="1"/>
  <c r="AI105" i="4" s="1"/>
  <c r="AJ94" i="4" s="1"/>
  <c r="AJ95" i="4" s="1"/>
  <c r="AJ96" i="4" s="1"/>
  <c r="AJ97" i="4" s="1"/>
  <c r="AJ98" i="4" s="1"/>
  <c r="AJ99" i="4" s="1"/>
  <c r="AJ100" i="4" s="1"/>
  <c r="AJ101" i="4" s="1"/>
  <c r="AJ102" i="4" s="1"/>
  <c r="AJ103" i="4" s="1"/>
  <c r="AJ104" i="4" s="1"/>
  <c r="AJ105" i="4" s="1"/>
  <c r="AK94" i="4" s="1"/>
  <c r="AK95" i="4" s="1"/>
  <c r="AK96" i="4" s="1"/>
  <c r="AK97" i="4" s="1"/>
  <c r="AK98" i="4" s="1"/>
  <c r="AK99" i="4" s="1"/>
  <c r="AK100" i="4" s="1"/>
  <c r="AK101" i="4" s="1"/>
  <c r="AK102" i="4" s="1"/>
  <c r="AK103" i="4" s="1"/>
  <c r="AK104" i="4" s="1"/>
  <c r="AK105" i="4" s="1"/>
  <c r="AL94" i="4" s="1"/>
  <c r="AL95" i="4" s="1"/>
  <c r="AL96" i="4" s="1"/>
  <c r="AL97" i="4" s="1"/>
  <c r="AL98" i="4" s="1"/>
  <c r="AL99" i="4" s="1"/>
  <c r="AL100" i="4" s="1"/>
  <c r="AL101" i="4" s="1"/>
  <c r="AL102" i="4" s="1"/>
  <c r="AL103" i="4" s="1"/>
  <c r="AL104" i="4" s="1"/>
  <c r="AL105" i="4" s="1"/>
  <c r="AM94" i="4" s="1"/>
  <c r="AM95" i="4" s="1"/>
  <c r="AM96" i="4" s="1"/>
  <c r="AM97" i="4" s="1"/>
  <c r="AM98" i="4" s="1"/>
  <c r="AM99" i="4" s="1"/>
  <c r="AM100" i="4" s="1"/>
  <c r="AM101" i="4" s="1"/>
  <c r="AM102" i="4" s="1"/>
  <c r="AM103" i="4" s="1"/>
  <c r="AM104" i="4" s="1"/>
  <c r="AM105" i="4" s="1"/>
  <c r="AN94" i="4" s="1"/>
  <c r="AN95" i="4" s="1"/>
  <c r="AN96" i="4" s="1"/>
  <c r="AN97" i="4" s="1"/>
  <c r="AN98" i="4" s="1"/>
  <c r="AN99" i="4" s="1"/>
  <c r="AN100" i="4" s="1"/>
  <c r="AN101" i="4" s="1"/>
  <c r="AN102" i="4" s="1"/>
  <c r="AN103" i="4" s="1"/>
  <c r="AN104" i="4" s="1"/>
  <c r="AN105" i="4" s="1"/>
  <c r="AO94" i="4" s="1"/>
  <c r="AO95" i="4" s="1"/>
  <c r="AO96" i="4" s="1"/>
  <c r="AO97" i="4" s="1"/>
  <c r="AO98" i="4" s="1"/>
  <c r="AO99" i="4" s="1"/>
  <c r="AO100" i="4" s="1"/>
  <c r="AO101" i="4" s="1"/>
  <c r="AO102" i="4" s="1"/>
  <c r="AO103" i="4" s="1"/>
  <c r="AO104" i="4" s="1"/>
  <c r="AO105" i="4" s="1"/>
  <c r="AP94" i="4" s="1"/>
  <c r="AP95" i="4" s="1"/>
  <c r="AP96" i="4" s="1"/>
  <c r="AP97" i="4" s="1"/>
  <c r="AP98" i="4" s="1"/>
  <c r="AP99" i="4" s="1"/>
  <c r="AP100" i="4" s="1"/>
  <c r="AP101" i="4" s="1"/>
  <c r="AP102" i="4" s="1"/>
  <c r="AP103" i="4" s="1"/>
  <c r="AP104" i="4" s="1"/>
  <c r="AP105" i="4" s="1"/>
  <c r="AQ94" i="4" s="1"/>
  <c r="AQ95" i="4" s="1"/>
  <c r="AQ96" i="4" s="1"/>
  <c r="AQ97" i="4" s="1"/>
  <c r="AQ98" i="4" s="1"/>
  <c r="AQ99" i="4" s="1"/>
  <c r="AQ100" i="4" s="1"/>
  <c r="AQ101" i="4" s="1"/>
  <c r="AQ102" i="4" s="1"/>
  <c r="AQ103" i="4" s="1"/>
  <c r="AQ104" i="4" s="1"/>
  <c r="AQ105" i="4" s="1"/>
  <c r="AR94" i="4" s="1"/>
  <c r="AR95" i="4" s="1"/>
  <c r="AR96" i="4" s="1"/>
  <c r="AR97" i="4" s="1"/>
  <c r="AR98" i="4" s="1"/>
  <c r="AR99" i="4" s="1"/>
  <c r="AR100" i="4" s="1"/>
  <c r="AR101" i="4" s="1"/>
  <c r="AR102" i="4" s="1"/>
  <c r="AR103" i="4" s="1"/>
  <c r="AR104" i="4" s="1"/>
  <c r="AR105" i="4" s="1"/>
  <c r="AS94" i="4" s="1"/>
  <c r="AS95" i="4" s="1"/>
  <c r="AS96" i="4" s="1"/>
  <c r="AS97" i="4" s="1"/>
  <c r="AS98" i="4" s="1"/>
  <c r="AS99" i="4" s="1"/>
  <c r="AS100" i="4" s="1"/>
  <c r="AS101" i="4" s="1"/>
  <c r="AS102" i="4" s="1"/>
  <c r="AS103" i="4" s="1"/>
  <c r="AS104" i="4" s="1"/>
  <c r="AS105" i="4" s="1"/>
  <c r="AT94" i="4" s="1"/>
  <c r="AT95" i="4" s="1"/>
  <c r="AT96" i="4" s="1"/>
  <c r="AT97" i="4" s="1"/>
  <c r="AT98" i="4" s="1"/>
  <c r="AT99" i="4" s="1"/>
  <c r="AT100" i="4" s="1"/>
  <c r="AT101" i="4" s="1"/>
  <c r="AT102" i="4" s="1"/>
  <c r="AT103" i="4" s="1"/>
  <c r="AT104" i="4" s="1"/>
  <c r="AT105" i="4" s="1"/>
  <c r="AU94" i="4" s="1"/>
  <c r="AU95" i="4" s="1"/>
  <c r="AU96" i="4" s="1"/>
  <c r="AU97" i="4" s="1"/>
  <c r="AU98" i="4" s="1"/>
  <c r="AU99" i="4" s="1"/>
  <c r="AU100" i="4" s="1"/>
  <c r="AU101" i="4" s="1"/>
  <c r="AU102" i="4" s="1"/>
  <c r="AU103" i="4" s="1"/>
  <c r="AU104" i="4" s="1"/>
  <c r="AU105" i="4" s="1"/>
  <c r="AV94" i="4" s="1"/>
  <c r="AV95" i="4" s="1"/>
  <c r="AV96" i="4" s="1"/>
  <c r="AV97" i="4" s="1"/>
  <c r="AV98" i="4" s="1"/>
  <c r="AV99" i="4" s="1"/>
  <c r="AV100" i="4" s="1"/>
  <c r="AV101" i="4" s="1"/>
  <c r="AV102" i="4" s="1"/>
  <c r="AV103" i="4" s="1"/>
  <c r="AV104" i="4" s="1"/>
  <c r="AV105" i="4" s="1"/>
  <c r="AW94" i="4" s="1"/>
  <c r="AW95" i="4" s="1"/>
  <c r="AW96" i="4" s="1"/>
  <c r="AW97" i="4" s="1"/>
  <c r="AW98" i="4" s="1"/>
  <c r="AW99" i="4" s="1"/>
  <c r="AW100" i="4" s="1"/>
  <c r="AW101" i="4" s="1"/>
  <c r="AW102" i="4" s="1"/>
  <c r="AW103" i="4" s="1"/>
  <c r="AW104" i="4" s="1"/>
  <c r="AW105" i="4" s="1"/>
  <c r="AX94" i="4" s="1"/>
  <c r="AX95" i="4" s="1"/>
  <c r="AX96" i="4" s="1"/>
  <c r="AX97" i="4" s="1"/>
  <c r="AX98" i="4" s="1"/>
  <c r="AX99" i="4" s="1"/>
  <c r="AX100" i="4" s="1"/>
  <c r="AX101" i="4" s="1"/>
  <c r="AX102" i="4" s="1"/>
  <c r="AX103" i="4" s="1"/>
  <c r="AX104" i="4" s="1"/>
  <c r="AX105" i="4" s="1"/>
  <c r="AY94" i="4" s="1"/>
  <c r="AY95" i="4" s="1"/>
  <c r="AY96" i="4" s="1"/>
  <c r="AY97" i="4" s="1"/>
  <c r="AY98" i="4" s="1"/>
  <c r="AY99" i="4" s="1"/>
  <c r="AY100" i="4" s="1"/>
  <c r="AY101" i="4" s="1"/>
  <c r="AY102" i="4" s="1"/>
  <c r="AY103" i="4" s="1"/>
  <c r="AY104" i="4" s="1"/>
  <c r="AY105" i="4" s="1"/>
  <c r="AZ94" i="4" s="1"/>
  <c r="AZ95" i="4" s="1"/>
  <c r="AZ96" i="4" s="1"/>
  <c r="AZ97" i="4" s="1"/>
  <c r="AZ98" i="4" s="1"/>
  <c r="AZ99" i="4" s="1"/>
  <c r="AZ100" i="4" s="1"/>
  <c r="AZ101" i="4" s="1"/>
  <c r="AZ102" i="4" s="1"/>
  <c r="AZ103" i="4" s="1"/>
  <c r="AZ104" i="4" s="1"/>
  <c r="AZ105" i="4" s="1"/>
  <c r="BA94" i="4" s="1"/>
  <c r="BA95" i="4" s="1"/>
  <c r="BA96" i="4" s="1"/>
  <c r="BA97" i="4" s="1"/>
  <c r="BA98" i="4" s="1"/>
  <c r="BA99" i="4" s="1"/>
  <c r="BA100" i="4" s="1"/>
  <c r="BA101" i="4" s="1"/>
  <c r="BA102" i="4" s="1"/>
  <c r="BA103" i="4" s="1"/>
  <c r="BA104" i="4" s="1"/>
  <c r="BA105" i="4" s="1"/>
  <c r="BB94" i="4" s="1"/>
  <c r="BB95" i="4" s="1"/>
  <c r="BB96" i="4" s="1"/>
  <c r="BB97" i="4" s="1"/>
  <c r="BB98" i="4" s="1"/>
  <c r="BB99" i="4" s="1"/>
  <c r="BB100" i="4" s="1"/>
  <c r="BB101" i="4" s="1"/>
  <c r="BB102" i="4" s="1"/>
  <c r="BB103" i="4" s="1"/>
  <c r="BB104" i="4" s="1"/>
  <c r="BB105" i="4" s="1"/>
  <c r="BC94" i="4" s="1"/>
  <c r="BC95" i="4" s="1"/>
  <c r="BC96" i="4" s="1"/>
  <c r="BC97" i="4" s="1"/>
  <c r="BC98" i="4" s="1"/>
  <c r="BC99" i="4" s="1"/>
  <c r="BC100" i="4" s="1"/>
  <c r="BC101" i="4" s="1"/>
  <c r="BC102" i="4" s="1"/>
  <c r="BC103" i="4" s="1"/>
  <c r="BC104" i="4" s="1"/>
  <c r="BC105" i="4" s="1"/>
  <c r="BD94" i="4" s="1"/>
  <c r="BD95" i="4" s="1"/>
  <c r="BD96" i="4" s="1"/>
  <c r="BD97" i="4" s="1"/>
  <c r="BD98" i="4" s="1"/>
  <c r="BD99" i="4" s="1"/>
  <c r="BD100" i="4" s="1"/>
  <c r="BD101" i="4" s="1"/>
  <c r="BD102" i="4" s="1"/>
  <c r="BD103" i="4" s="1"/>
  <c r="BD104" i="4" s="1"/>
  <c r="BD105" i="4" s="1"/>
  <c r="BE94" i="4" s="1"/>
  <c r="BE95" i="4" s="1"/>
  <c r="BE96" i="4" s="1"/>
  <c r="BE97" i="4" s="1"/>
  <c r="BE98" i="4" s="1"/>
  <c r="BE99" i="4" s="1"/>
  <c r="BE100" i="4" s="1"/>
  <c r="BE101" i="4" s="1"/>
  <c r="BE102" i="4" s="1"/>
  <c r="BE103" i="4" s="1"/>
  <c r="BE104" i="4" s="1"/>
  <c r="BE105" i="4" s="1"/>
  <c r="BF94" i="4" s="1"/>
  <c r="BF95" i="4" s="1"/>
  <c r="BF96" i="4" s="1"/>
  <c r="BF97" i="4" s="1"/>
  <c r="BF98" i="4" s="1"/>
  <c r="BF99" i="4" s="1"/>
  <c r="BF100" i="4" s="1"/>
  <c r="BF101" i="4" s="1"/>
  <c r="BF102" i="4" s="1"/>
  <c r="BF103" i="4" s="1"/>
  <c r="BF104" i="4" s="1"/>
  <c r="BF105" i="4" s="1"/>
  <c r="BG94" i="4" s="1"/>
  <c r="BG95" i="4" s="1"/>
  <c r="BG96" i="4" s="1"/>
  <c r="BG97" i="4" s="1"/>
  <c r="BG98" i="4" s="1"/>
  <c r="BG99" i="4" s="1"/>
  <c r="BG100" i="4" s="1"/>
  <c r="BG101" i="4" s="1"/>
  <c r="BG102" i="4" s="1"/>
  <c r="BG103" i="4" s="1"/>
  <c r="BG104" i="4" s="1"/>
  <c r="BG105" i="4" s="1"/>
  <c r="BH94" i="4" s="1"/>
  <c r="BH95" i="4" s="1"/>
  <c r="BH96" i="4" s="1"/>
  <c r="BH97" i="4" s="1"/>
  <c r="BH98" i="4" s="1"/>
  <c r="BH99" i="4" s="1"/>
  <c r="BH100" i="4" s="1"/>
  <c r="BH101" i="4" s="1"/>
  <c r="BH102" i="4" s="1"/>
  <c r="BH103" i="4" s="1"/>
  <c r="BH104" i="4" s="1"/>
  <c r="BH105" i="4" s="1"/>
  <c r="BI94" i="4" s="1"/>
  <c r="BI95" i="4" s="1"/>
  <c r="BI96" i="4" s="1"/>
  <c r="BI97" i="4" s="1"/>
  <c r="BI98" i="4" s="1"/>
  <c r="BI99" i="4" s="1"/>
  <c r="BI100" i="4" s="1"/>
  <c r="BI101" i="4" s="1"/>
  <c r="BI102" i="4" s="1"/>
  <c r="BI103" i="4" s="1"/>
  <c r="BI104" i="4" s="1"/>
  <c r="BI105" i="4" s="1"/>
  <c r="BJ94" i="4" s="1"/>
  <c r="BJ95" i="4" s="1"/>
  <c r="BJ96" i="4" s="1"/>
  <c r="BJ97" i="4" s="1"/>
  <c r="BJ98" i="4" s="1"/>
  <c r="BJ99" i="4" s="1"/>
  <c r="BJ100" i="4" s="1"/>
  <c r="BJ101" i="4" s="1"/>
  <c r="BJ102" i="4" s="1"/>
  <c r="BJ103" i="4" s="1"/>
  <c r="BJ104" i="4" s="1"/>
  <c r="BJ105" i="4" s="1"/>
  <c r="D94" i="4"/>
  <c r="D95" i="4" s="1"/>
  <c r="D96" i="4" s="1"/>
  <c r="D97" i="4" s="1"/>
  <c r="D98" i="4" s="1"/>
  <c r="D99" i="4" s="1"/>
  <c r="D100" i="4" s="1"/>
  <c r="D101" i="4" s="1"/>
  <c r="D102" i="4" s="1"/>
  <c r="D103" i="4" s="1"/>
  <c r="D104" i="4" s="1"/>
  <c r="D105" i="4" s="1"/>
  <c r="E94" i="4" s="1"/>
  <c r="E95" i="4" s="1"/>
  <c r="E96" i="4" s="1"/>
  <c r="E97" i="4" s="1"/>
  <c r="E98" i="4" s="1"/>
  <c r="E99" i="4" s="1"/>
  <c r="E100" i="4" s="1"/>
  <c r="E101" i="4" s="1"/>
  <c r="E102" i="4" s="1"/>
  <c r="E103" i="4" s="1"/>
  <c r="E104" i="4" s="1"/>
  <c r="E105" i="4" s="1"/>
  <c r="F94" i="4" s="1"/>
  <c r="F95" i="4" s="1"/>
  <c r="F96" i="4" s="1"/>
  <c r="F97" i="4" s="1"/>
  <c r="F98" i="4" s="1"/>
  <c r="F99" i="4" s="1"/>
  <c r="F100" i="4" s="1"/>
  <c r="F101" i="4" s="1"/>
  <c r="F102" i="4" s="1"/>
  <c r="F103" i="4" s="1"/>
  <c r="F104" i="4" s="1"/>
  <c r="F105" i="4" s="1"/>
  <c r="G94" i="4" s="1"/>
  <c r="G95" i="4" s="1"/>
  <c r="G96" i="4" s="1"/>
  <c r="G97" i="4" s="1"/>
  <c r="G98" i="4" s="1"/>
  <c r="G99" i="4" s="1"/>
  <c r="G100" i="4" s="1"/>
  <c r="G101" i="4" s="1"/>
  <c r="G102" i="4" s="1"/>
  <c r="G103" i="4" s="1"/>
  <c r="G104" i="4" s="1"/>
  <c r="G105" i="4" s="1"/>
  <c r="H94" i="4" s="1"/>
  <c r="H95" i="4" s="1"/>
  <c r="H96" i="4" s="1"/>
  <c r="H97" i="4" s="1"/>
  <c r="H98" i="4" s="1"/>
  <c r="H99" i="4" s="1"/>
  <c r="H100" i="4" s="1"/>
  <c r="H101" i="4" s="1"/>
  <c r="H102" i="4" s="1"/>
  <c r="H103" i="4" s="1"/>
  <c r="H104" i="4" s="1"/>
  <c r="H105" i="4" s="1"/>
  <c r="I94" i="4" s="1"/>
  <c r="I95" i="4" s="1"/>
  <c r="I96" i="4" s="1"/>
  <c r="I97" i="4" s="1"/>
  <c r="I98" i="4" s="1"/>
  <c r="I99" i="4" s="1"/>
  <c r="I100" i="4" s="1"/>
  <c r="I101" i="4" s="1"/>
  <c r="I102" i="4" s="1"/>
  <c r="I103" i="4" s="1"/>
  <c r="I104" i="4" s="1"/>
  <c r="I105" i="4" s="1"/>
  <c r="J94" i="4" s="1"/>
  <c r="J95" i="4" s="1"/>
  <c r="J96" i="4" s="1"/>
  <c r="J97" i="4" s="1"/>
  <c r="J98" i="4" s="1"/>
  <c r="J99" i="4" s="1"/>
  <c r="J100" i="4" s="1"/>
  <c r="J101" i="4" s="1"/>
  <c r="J102" i="4" s="1"/>
  <c r="J103" i="4" s="1"/>
  <c r="J104" i="4" s="1"/>
  <c r="J105" i="4" s="1"/>
  <c r="K94" i="4" s="1"/>
  <c r="K95" i="4" s="1"/>
  <c r="K96" i="4" s="1"/>
  <c r="K97" i="4" s="1"/>
  <c r="K98" i="4" s="1"/>
  <c r="K99" i="4" s="1"/>
  <c r="K100" i="4" s="1"/>
  <c r="K101" i="4" s="1"/>
  <c r="K102" i="4" s="1"/>
  <c r="K103" i="4" s="1"/>
  <c r="K104" i="4" s="1"/>
  <c r="K105" i="4" s="1"/>
  <c r="L94" i="4" s="1"/>
  <c r="L95" i="4" s="1"/>
  <c r="L96" i="4" s="1"/>
  <c r="L97" i="4" s="1"/>
  <c r="L98" i="4" s="1"/>
  <c r="L99" i="4" s="1"/>
  <c r="L100" i="4" s="1"/>
  <c r="L101" i="4" s="1"/>
  <c r="L102" i="4" s="1"/>
  <c r="L103" i="4" s="1"/>
  <c r="L104" i="4" s="1"/>
  <c r="L105" i="4" s="1"/>
  <c r="M94" i="4" s="1"/>
  <c r="M95" i="4" s="1"/>
  <c r="M96" i="4" s="1"/>
  <c r="M97" i="4" s="1"/>
  <c r="M98" i="4" s="1"/>
  <c r="M99" i="4" s="1"/>
  <c r="M100" i="4" s="1"/>
  <c r="M101" i="4" s="1"/>
  <c r="M102" i="4" s="1"/>
  <c r="M103" i="4" s="1"/>
  <c r="M104" i="4" s="1"/>
  <c r="M105" i="4" s="1"/>
  <c r="N94" i="4" s="1"/>
  <c r="N95" i="4" s="1"/>
  <c r="N96" i="4" s="1"/>
  <c r="N97" i="4" s="1"/>
  <c r="N98" i="4" s="1"/>
  <c r="N99" i="4" s="1"/>
  <c r="N100" i="4" s="1"/>
  <c r="N101" i="4" s="1"/>
  <c r="N102" i="4" s="1"/>
  <c r="N103" i="4" s="1"/>
  <c r="N104" i="4" s="1"/>
  <c r="N105" i="4" s="1"/>
  <c r="O94" i="4" s="1"/>
  <c r="O95" i="4" s="1"/>
  <c r="O96" i="4" s="1"/>
  <c r="O97" i="4" s="1"/>
  <c r="O98" i="4" s="1"/>
  <c r="O99" i="4" s="1"/>
  <c r="O100" i="4" s="1"/>
  <c r="O101" i="4" s="1"/>
  <c r="O102" i="4" s="1"/>
  <c r="O103" i="4" s="1"/>
  <c r="AI56" i="4"/>
  <c r="AI57" i="4" s="1"/>
  <c r="AI58" i="4" s="1"/>
  <c r="AI59" i="4" s="1"/>
  <c r="AI60" i="4" s="1"/>
  <c r="AI61" i="4" s="1"/>
  <c r="AI62" i="4" s="1"/>
  <c r="AI63" i="4" s="1"/>
  <c r="AI64" i="4" s="1"/>
  <c r="AI65" i="4" s="1"/>
  <c r="AI66" i="4" s="1"/>
  <c r="AI67" i="4" s="1"/>
  <c r="AJ56" i="4" s="1"/>
  <c r="AJ57" i="4" s="1"/>
  <c r="AJ58" i="4" s="1"/>
  <c r="AJ59" i="4" s="1"/>
  <c r="AJ60" i="4" s="1"/>
  <c r="AJ61" i="4" s="1"/>
  <c r="AJ62" i="4" s="1"/>
  <c r="AJ63" i="4" s="1"/>
  <c r="AJ64" i="4" s="1"/>
  <c r="AJ65" i="4" s="1"/>
  <c r="AJ66" i="4" s="1"/>
  <c r="AJ67" i="4" s="1"/>
  <c r="AK56" i="4" s="1"/>
  <c r="AK57" i="4" s="1"/>
  <c r="AK58" i="4" s="1"/>
  <c r="AK59" i="4" s="1"/>
  <c r="AK60" i="4" s="1"/>
  <c r="AK61" i="4" s="1"/>
  <c r="AK62" i="4" s="1"/>
  <c r="AK63" i="4" s="1"/>
  <c r="AK64" i="4" s="1"/>
  <c r="AK65" i="4" s="1"/>
  <c r="AK66" i="4" s="1"/>
  <c r="AK67" i="4" s="1"/>
  <c r="AL56" i="4" s="1"/>
  <c r="AL57" i="4" s="1"/>
  <c r="AL58" i="4" s="1"/>
  <c r="AL59" i="4" s="1"/>
  <c r="AL60" i="4" s="1"/>
  <c r="AL61" i="4" s="1"/>
  <c r="AL62" i="4" s="1"/>
  <c r="AL63" i="4" s="1"/>
  <c r="AL64" i="4" s="1"/>
  <c r="AL65" i="4" s="1"/>
  <c r="AL66" i="4" s="1"/>
  <c r="AL67" i="4" s="1"/>
  <c r="AM56" i="4" s="1"/>
  <c r="AM57" i="4" s="1"/>
  <c r="AM58" i="4" s="1"/>
  <c r="AM59" i="4" s="1"/>
  <c r="AM60" i="4" s="1"/>
  <c r="AM61" i="4" s="1"/>
  <c r="AM62" i="4" s="1"/>
  <c r="AM63" i="4" s="1"/>
  <c r="AM64" i="4" s="1"/>
  <c r="AM65" i="4" s="1"/>
  <c r="AM66" i="4" s="1"/>
  <c r="AM67" i="4" s="1"/>
  <c r="AN56" i="4" s="1"/>
  <c r="AN57" i="4" s="1"/>
  <c r="AN58" i="4" s="1"/>
  <c r="AN59" i="4" s="1"/>
  <c r="AN60" i="4" s="1"/>
  <c r="AN61" i="4" s="1"/>
  <c r="AN62" i="4" s="1"/>
  <c r="AN63" i="4" s="1"/>
  <c r="AN64" i="4" s="1"/>
  <c r="AN65" i="4" s="1"/>
  <c r="AN66" i="4" s="1"/>
  <c r="AN67" i="4" s="1"/>
  <c r="AO56" i="4" s="1"/>
  <c r="AO57" i="4" s="1"/>
  <c r="AO58" i="4" s="1"/>
  <c r="AO59" i="4" s="1"/>
  <c r="AO60" i="4" s="1"/>
  <c r="AO61" i="4" s="1"/>
  <c r="AO62" i="4" s="1"/>
  <c r="AO63" i="4" s="1"/>
  <c r="AO64" i="4" s="1"/>
  <c r="AO65" i="4" s="1"/>
  <c r="AO66" i="4" s="1"/>
  <c r="AO67" i="4" s="1"/>
  <c r="AP56" i="4" s="1"/>
  <c r="AP57" i="4" s="1"/>
  <c r="AP58" i="4" s="1"/>
  <c r="AP59" i="4" s="1"/>
  <c r="AP60" i="4" s="1"/>
  <c r="AP61" i="4" s="1"/>
  <c r="AP62" i="4" s="1"/>
  <c r="AP63" i="4" s="1"/>
  <c r="AP64" i="4" s="1"/>
  <c r="AP65" i="4" s="1"/>
  <c r="AP66" i="4" s="1"/>
  <c r="AP67" i="4" s="1"/>
  <c r="AQ56" i="4" s="1"/>
  <c r="AQ57" i="4" s="1"/>
  <c r="AQ58" i="4" s="1"/>
  <c r="AQ59" i="4" s="1"/>
  <c r="AQ60" i="4" s="1"/>
  <c r="AQ61" i="4" s="1"/>
  <c r="AQ62" i="4" s="1"/>
  <c r="AQ63" i="4" s="1"/>
  <c r="AQ64" i="4" s="1"/>
  <c r="AQ65" i="4" s="1"/>
  <c r="AQ66" i="4" s="1"/>
  <c r="AQ67" i="4" s="1"/>
  <c r="AR56" i="4" s="1"/>
  <c r="AR57" i="4" s="1"/>
  <c r="AR58" i="4" s="1"/>
  <c r="AR59" i="4" s="1"/>
  <c r="AR60" i="4" s="1"/>
  <c r="AR61" i="4" s="1"/>
  <c r="AR62" i="4" s="1"/>
  <c r="AR63" i="4" s="1"/>
  <c r="AR64" i="4" s="1"/>
  <c r="AR65" i="4" s="1"/>
  <c r="AR66" i="4" s="1"/>
  <c r="AR67" i="4" s="1"/>
  <c r="AS56" i="4" s="1"/>
  <c r="AS57" i="4" s="1"/>
  <c r="AS58" i="4" s="1"/>
  <c r="AS59" i="4" s="1"/>
  <c r="AS60" i="4" s="1"/>
  <c r="AS61" i="4" s="1"/>
  <c r="AS62" i="4" s="1"/>
  <c r="AS63" i="4" s="1"/>
  <c r="AS64" i="4" s="1"/>
  <c r="AS65" i="4" s="1"/>
  <c r="AS66" i="4" s="1"/>
  <c r="AS67" i="4" s="1"/>
  <c r="AT56" i="4" s="1"/>
  <c r="AT57" i="4" s="1"/>
  <c r="AT58" i="4" s="1"/>
  <c r="AT59" i="4" s="1"/>
  <c r="AT60" i="4" s="1"/>
  <c r="AT61" i="4" s="1"/>
  <c r="AT62" i="4" s="1"/>
  <c r="AT63" i="4" s="1"/>
  <c r="AT64" i="4" s="1"/>
  <c r="AT65" i="4" s="1"/>
  <c r="AT66" i="4" s="1"/>
  <c r="AT67" i="4" s="1"/>
  <c r="AU56" i="4" s="1"/>
  <c r="AU57" i="4" s="1"/>
  <c r="AU58" i="4" s="1"/>
  <c r="AU59" i="4" s="1"/>
  <c r="AU60" i="4" s="1"/>
  <c r="AU61" i="4" s="1"/>
  <c r="AU62" i="4" s="1"/>
  <c r="AU63" i="4" s="1"/>
  <c r="AU64" i="4" s="1"/>
  <c r="AU65" i="4" s="1"/>
  <c r="AU66" i="4" s="1"/>
  <c r="AU67" i="4" s="1"/>
  <c r="AV56" i="4" s="1"/>
  <c r="AV57" i="4" s="1"/>
  <c r="AV58" i="4" s="1"/>
  <c r="AV59" i="4" s="1"/>
  <c r="AV60" i="4" s="1"/>
  <c r="AV61" i="4" s="1"/>
  <c r="AV62" i="4" s="1"/>
  <c r="AV63" i="4" s="1"/>
  <c r="AV64" i="4" s="1"/>
  <c r="AV65" i="4" s="1"/>
  <c r="AV66" i="4" s="1"/>
  <c r="AV67" i="4" s="1"/>
  <c r="AW56" i="4" s="1"/>
  <c r="AW57" i="4" s="1"/>
  <c r="AW58" i="4" s="1"/>
  <c r="AW59" i="4" s="1"/>
  <c r="AW60" i="4" s="1"/>
  <c r="AW61" i="4" s="1"/>
  <c r="AW62" i="4" s="1"/>
  <c r="AW63" i="4" s="1"/>
  <c r="AW64" i="4" s="1"/>
  <c r="AW65" i="4" s="1"/>
  <c r="AW66" i="4" s="1"/>
  <c r="AW67" i="4" s="1"/>
  <c r="AX56" i="4" s="1"/>
  <c r="AX57" i="4" s="1"/>
  <c r="AX58" i="4" s="1"/>
  <c r="AX59" i="4" s="1"/>
  <c r="AX60" i="4" s="1"/>
  <c r="AX61" i="4" s="1"/>
  <c r="AX62" i="4" s="1"/>
  <c r="AX63" i="4" s="1"/>
  <c r="AX64" i="4" s="1"/>
  <c r="AX65" i="4" s="1"/>
  <c r="AX66" i="4" s="1"/>
  <c r="AX67" i="4" s="1"/>
  <c r="AY56" i="4" s="1"/>
  <c r="AY57" i="4" s="1"/>
  <c r="AY58" i="4" s="1"/>
  <c r="AY59" i="4" s="1"/>
  <c r="AY60" i="4" s="1"/>
  <c r="AY61" i="4" s="1"/>
  <c r="AY62" i="4" s="1"/>
  <c r="AY63" i="4" s="1"/>
  <c r="AY64" i="4" s="1"/>
  <c r="AY65" i="4" s="1"/>
  <c r="AY66" i="4" s="1"/>
  <c r="AY67" i="4" s="1"/>
  <c r="AZ56" i="4" s="1"/>
  <c r="AZ57" i="4" s="1"/>
  <c r="AZ58" i="4" s="1"/>
  <c r="AZ59" i="4" s="1"/>
  <c r="AZ60" i="4" s="1"/>
  <c r="AZ61" i="4" s="1"/>
  <c r="AZ62" i="4" s="1"/>
  <c r="AZ63" i="4" s="1"/>
  <c r="AZ64" i="4" s="1"/>
  <c r="AZ65" i="4" s="1"/>
  <c r="AZ66" i="4" s="1"/>
  <c r="AZ67" i="4" s="1"/>
  <c r="BA56" i="4" s="1"/>
  <c r="BA57" i="4" s="1"/>
  <c r="BA58" i="4" s="1"/>
  <c r="BA59" i="4" s="1"/>
  <c r="BA60" i="4" s="1"/>
  <c r="BA61" i="4" s="1"/>
  <c r="BA62" i="4" s="1"/>
  <c r="BA63" i="4" s="1"/>
  <c r="BA64" i="4" s="1"/>
  <c r="BA65" i="4" s="1"/>
  <c r="BA66" i="4" s="1"/>
  <c r="BA67" i="4" s="1"/>
  <c r="BB56" i="4" s="1"/>
  <c r="BB57" i="4" s="1"/>
  <c r="BB58" i="4" s="1"/>
  <c r="BB59" i="4" s="1"/>
  <c r="BB60" i="4" s="1"/>
  <c r="BB61" i="4" s="1"/>
  <c r="BB62" i="4" s="1"/>
  <c r="BB63" i="4" s="1"/>
  <c r="BB64" i="4" s="1"/>
  <c r="BB65" i="4" s="1"/>
  <c r="BB66" i="4" s="1"/>
  <c r="BB67" i="4" s="1"/>
  <c r="BC56" i="4" s="1"/>
  <c r="BC57" i="4" s="1"/>
  <c r="BC58" i="4" s="1"/>
  <c r="BC59" i="4" s="1"/>
  <c r="BC60" i="4" s="1"/>
  <c r="BC61" i="4" s="1"/>
  <c r="BC62" i="4" s="1"/>
  <c r="BC63" i="4" s="1"/>
  <c r="BC64" i="4" s="1"/>
  <c r="BC65" i="4" s="1"/>
  <c r="BC66" i="4" s="1"/>
  <c r="BC67" i="4" s="1"/>
  <c r="BD56" i="4" s="1"/>
  <c r="BD57" i="4" s="1"/>
  <c r="BD58" i="4" s="1"/>
  <c r="BD59" i="4" s="1"/>
  <c r="BD60" i="4" s="1"/>
  <c r="BD61" i="4" s="1"/>
  <c r="BD62" i="4" s="1"/>
  <c r="BD63" i="4" s="1"/>
  <c r="BD64" i="4" s="1"/>
  <c r="BD65" i="4" s="1"/>
  <c r="BD66" i="4" s="1"/>
  <c r="BD67" i="4" s="1"/>
  <c r="BE56" i="4" s="1"/>
  <c r="BE57" i="4" s="1"/>
  <c r="BE58" i="4" s="1"/>
  <c r="BE59" i="4" s="1"/>
  <c r="BE60" i="4" s="1"/>
  <c r="BE61" i="4" s="1"/>
  <c r="BE62" i="4" s="1"/>
  <c r="BE63" i="4" s="1"/>
  <c r="BE64" i="4" s="1"/>
  <c r="BE65" i="4" s="1"/>
  <c r="BE66" i="4" s="1"/>
  <c r="BE67" i="4" s="1"/>
  <c r="BF56" i="4" s="1"/>
  <c r="BF57" i="4" s="1"/>
  <c r="BF58" i="4" s="1"/>
  <c r="BF59" i="4" s="1"/>
  <c r="BF60" i="4" s="1"/>
  <c r="BF61" i="4" s="1"/>
  <c r="BF62" i="4" s="1"/>
  <c r="BF63" i="4" s="1"/>
  <c r="BF64" i="4" s="1"/>
  <c r="BF65" i="4" s="1"/>
  <c r="BF66" i="4" s="1"/>
  <c r="BF67" i="4" s="1"/>
  <c r="BG56" i="4" s="1"/>
  <c r="BG57" i="4" s="1"/>
  <c r="BG58" i="4" s="1"/>
  <c r="BG59" i="4" s="1"/>
  <c r="BG60" i="4" s="1"/>
  <c r="BG61" i="4" s="1"/>
  <c r="BG62" i="4" s="1"/>
  <c r="BG63" i="4" s="1"/>
  <c r="BG64" i="4" s="1"/>
  <c r="BG65" i="4" s="1"/>
  <c r="BG66" i="4" s="1"/>
  <c r="BG67" i="4" s="1"/>
  <c r="BH56" i="4" s="1"/>
  <c r="BH57" i="4" s="1"/>
  <c r="BH58" i="4" s="1"/>
  <c r="BH59" i="4" s="1"/>
  <c r="BH60" i="4" s="1"/>
  <c r="BH61" i="4" s="1"/>
  <c r="BH62" i="4" s="1"/>
  <c r="BH63" i="4" s="1"/>
  <c r="BH64" i="4" s="1"/>
  <c r="BH65" i="4" s="1"/>
  <c r="BH66" i="4" s="1"/>
  <c r="BH67" i="4" s="1"/>
  <c r="BI56" i="4" s="1"/>
  <c r="BI57" i="4" s="1"/>
  <c r="BI58" i="4" s="1"/>
  <c r="BI59" i="4" s="1"/>
  <c r="BI60" i="4" s="1"/>
  <c r="BI61" i="4" s="1"/>
  <c r="BI62" i="4" s="1"/>
  <c r="BI63" i="4" s="1"/>
  <c r="BI64" i="4" s="1"/>
  <c r="BI65" i="4" s="1"/>
  <c r="BI66" i="4" s="1"/>
  <c r="BI67" i="4" s="1"/>
  <c r="BJ56" i="4" s="1"/>
  <c r="BJ57" i="4" s="1"/>
  <c r="BJ58" i="4" s="1"/>
  <c r="BJ59" i="4" s="1"/>
  <c r="BJ60" i="4" s="1"/>
  <c r="BJ61" i="4" s="1"/>
  <c r="BJ62" i="4" s="1"/>
  <c r="BJ63" i="4" s="1"/>
  <c r="BJ64" i="4" s="1"/>
  <c r="BJ65" i="4" s="1"/>
  <c r="BJ66" i="4" s="1"/>
  <c r="BJ67" i="4" s="1"/>
  <c r="D56" i="4"/>
  <c r="D57" i="4" s="1"/>
  <c r="D58" i="4" s="1"/>
  <c r="D59" i="4" s="1"/>
  <c r="D60" i="4" s="1"/>
  <c r="D61" i="4" s="1"/>
  <c r="D62" i="4" s="1"/>
  <c r="D63" i="4" s="1"/>
  <c r="D64" i="4" s="1"/>
  <c r="D65" i="4" s="1"/>
  <c r="D66" i="4" s="1"/>
  <c r="D67" i="4" s="1"/>
  <c r="E56" i="4" s="1"/>
  <c r="E57" i="4" s="1"/>
  <c r="E58" i="4" s="1"/>
  <c r="E59" i="4" s="1"/>
  <c r="E60" i="4" s="1"/>
  <c r="E61" i="4" s="1"/>
  <c r="E62" i="4" s="1"/>
  <c r="E63" i="4" s="1"/>
  <c r="E64" i="4" s="1"/>
  <c r="E65" i="4" s="1"/>
  <c r="E66" i="4" s="1"/>
  <c r="E67" i="4" s="1"/>
  <c r="F56" i="4" s="1"/>
  <c r="F57" i="4" s="1"/>
  <c r="F58" i="4" s="1"/>
  <c r="F59" i="4" s="1"/>
  <c r="F60" i="4" s="1"/>
  <c r="F61" i="4" s="1"/>
  <c r="F62" i="4" s="1"/>
  <c r="F63" i="4" s="1"/>
  <c r="F64" i="4" s="1"/>
  <c r="F65" i="4" s="1"/>
  <c r="F66" i="4" s="1"/>
  <c r="F67" i="4" s="1"/>
  <c r="G56" i="4" s="1"/>
  <c r="G57" i="4" s="1"/>
  <c r="G58" i="4" s="1"/>
  <c r="G59" i="4" s="1"/>
  <c r="G60" i="4" s="1"/>
  <c r="G61" i="4" s="1"/>
  <c r="G62" i="4" s="1"/>
  <c r="G63" i="4" s="1"/>
  <c r="G64" i="4" s="1"/>
  <c r="G65" i="4" s="1"/>
  <c r="G66" i="4" s="1"/>
  <c r="G67" i="4" s="1"/>
  <c r="H56" i="4" s="1"/>
  <c r="H57" i="4" s="1"/>
  <c r="H58" i="4" s="1"/>
  <c r="H59" i="4" s="1"/>
  <c r="H60" i="4" s="1"/>
  <c r="H61" i="4" s="1"/>
  <c r="H62" i="4" s="1"/>
  <c r="H63" i="4" s="1"/>
  <c r="H64" i="4" s="1"/>
  <c r="H65" i="4" s="1"/>
  <c r="H66" i="4" s="1"/>
  <c r="H67" i="4" s="1"/>
  <c r="I56" i="4" s="1"/>
  <c r="I57" i="4" s="1"/>
  <c r="I58" i="4" s="1"/>
  <c r="I59" i="4" s="1"/>
  <c r="I60" i="4" s="1"/>
  <c r="I61" i="4" s="1"/>
  <c r="I62" i="4" s="1"/>
  <c r="I63" i="4" s="1"/>
  <c r="I64" i="4" s="1"/>
  <c r="I65" i="4" s="1"/>
  <c r="I66" i="4" s="1"/>
  <c r="I67" i="4" s="1"/>
  <c r="J56" i="4" s="1"/>
  <c r="J57" i="4" s="1"/>
  <c r="J58" i="4" s="1"/>
  <c r="J59" i="4" s="1"/>
  <c r="J60" i="4" s="1"/>
  <c r="J61" i="4" s="1"/>
  <c r="J62" i="4" s="1"/>
  <c r="J63" i="4" s="1"/>
  <c r="J64" i="4" s="1"/>
  <c r="J65" i="4" s="1"/>
  <c r="J66" i="4" s="1"/>
  <c r="J67" i="4" s="1"/>
  <c r="K56" i="4" s="1"/>
  <c r="K57" i="4" s="1"/>
  <c r="K58" i="4" s="1"/>
  <c r="K59" i="4" s="1"/>
  <c r="K60" i="4" s="1"/>
  <c r="K61" i="4" s="1"/>
  <c r="K62" i="4" s="1"/>
  <c r="K63" i="4" s="1"/>
  <c r="K64" i="4" s="1"/>
  <c r="K65" i="4" s="1"/>
  <c r="K66" i="4" s="1"/>
  <c r="K67" i="4" s="1"/>
  <c r="L56" i="4" s="1"/>
  <c r="L57" i="4" s="1"/>
  <c r="L58" i="4" s="1"/>
  <c r="L59" i="4" s="1"/>
  <c r="L60" i="4" s="1"/>
  <c r="L61" i="4" s="1"/>
  <c r="L62" i="4" s="1"/>
  <c r="L63" i="4" s="1"/>
  <c r="L64" i="4" s="1"/>
  <c r="L65" i="4" s="1"/>
  <c r="L66" i="4" s="1"/>
  <c r="L67" i="4" s="1"/>
  <c r="M56" i="4" s="1"/>
  <c r="M57" i="4" s="1"/>
  <c r="M58" i="4" s="1"/>
  <c r="M59" i="4" s="1"/>
  <c r="M60" i="4" s="1"/>
  <c r="M61" i="4" s="1"/>
  <c r="M62" i="4" s="1"/>
  <c r="M63" i="4" s="1"/>
  <c r="M64" i="4" s="1"/>
  <c r="M65" i="4" s="1"/>
  <c r="M66" i="4" s="1"/>
  <c r="M67" i="4" s="1"/>
  <c r="N56" i="4" s="1"/>
  <c r="N57" i="4" s="1"/>
  <c r="N58" i="4" s="1"/>
  <c r="N59" i="4" s="1"/>
  <c r="N60" i="4" s="1"/>
  <c r="N61" i="4" s="1"/>
  <c r="N62" i="4" s="1"/>
  <c r="N63" i="4" s="1"/>
  <c r="N64" i="4" s="1"/>
  <c r="N65" i="4" s="1"/>
  <c r="N66" i="4" s="1"/>
  <c r="N67" i="4" s="1"/>
  <c r="O56" i="4" s="1"/>
  <c r="O57" i="4" s="1"/>
  <c r="O58" i="4" s="1"/>
  <c r="O59" i="4" s="1"/>
  <c r="O60" i="4" s="1"/>
  <c r="O61" i="4" s="1"/>
  <c r="O62" i="4" s="1"/>
  <c r="O63" i="4" s="1"/>
  <c r="O64" i="4" s="1"/>
  <c r="O65" i="4" s="1"/>
  <c r="O66" i="4" s="1"/>
  <c r="O67" i="4" s="1"/>
  <c r="P56" i="4" s="1"/>
  <c r="P57" i="4" s="1"/>
  <c r="P58" i="4" s="1"/>
  <c r="P59" i="4" s="1"/>
  <c r="P60" i="4" s="1"/>
  <c r="P61" i="4" s="1"/>
  <c r="P62" i="4" s="1"/>
  <c r="P63" i="4" s="1"/>
  <c r="P64" i="4" s="1"/>
  <c r="P65" i="4" s="1"/>
  <c r="P66" i="4" s="1"/>
  <c r="P67" i="4" s="1"/>
  <c r="Q56" i="4" s="1"/>
  <c r="AI37" i="4"/>
  <c r="AI38" i="4" s="1"/>
  <c r="AI39" i="4" s="1"/>
  <c r="AI40" i="4" s="1"/>
  <c r="AI41" i="4" s="1"/>
  <c r="AI42" i="4" s="1"/>
  <c r="AI43" i="4" s="1"/>
  <c r="AI44" i="4" s="1"/>
  <c r="AI45" i="4" s="1"/>
  <c r="AI46" i="4" s="1"/>
  <c r="AI47" i="4" s="1"/>
  <c r="AI48" i="4" s="1"/>
  <c r="AJ37" i="4" s="1"/>
  <c r="AJ38" i="4" s="1"/>
  <c r="AJ39" i="4" s="1"/>
  <c r="AJ40" i="4" s="1"/>
  <c r="AJ41" i="4" s="1"/>
  <c r="AJ42" i="4" s="1"/>
  <c r="AJ43" i="4" s="1"/>
  <c r="AJ44" i="4" s="1"/>
  <c r="AJ45" i="4" s="1"/>
  <c r="AJ46" i="4" s="1"/>
  <c r="AJ47" i="4" s="1"/>
  <c r="AJ48" i="4" s="1"/>
  <c r="AK37" i="4" s="1"/>
  <c r="AK38" i="4" s="1"/>
  <c r="AK39" i="4" s="1"/>
  <c r="AK40" i="4" s="1"/>
  <c r="AK41" i="4" s="1"/>
  <c r="AK42" i="4" s="1"/>
  <c r="AK43" i="4" s="1"/>
  <c r="AK44" i="4" s="1"/>
  <c r="AK45" i="4" s="1"/>
  <c r="AK46" i="4" s="1"/>
  <c r="AK47" i="4" s="1"/>
  <c r="AK48" i="4" s="1"/>
  <c r="AL37" i="4" s="1"/>
  <c r="AL38" i="4" s="1"/>
  <c r="AL39" i="4" s="1"/>
  <c r="AL40" i="4" s="1"/>
  <c r="AL41" i="4" s="1"/>
  <c r="AL42" i="4" s="1"/>
  <c r="AL43" i="4" s="1"/>
  <c r="AL44" i="4" s="1"/>
  <c r="AL45" i="4" s="1"/>
  <c r="AL46" i="4" s="1"/>
  <c r="AL47" i="4" s="1"/>
  <c r="AL48" i="4" s="1"/>
  <c r="AM37" i="4" s="1"/>
  <c r="AM38" i="4" s="1"/>
  <c r="AM39" i="4" s="1"/>
  <c r="AM40" i="4" s="1"/>
  <c r="AM41" i="4" s="1"/>
  <c r="AM42" i="4" s="1"/>
  <c r="AM43" i="4" s="1"/>
  <c r="AM44" i="4" s="1"/>
  <c r="AM45" i="4" s="1"/>
  <c r="AM46" i="4" s="1"/>
  <c r="AM47" i="4" s="1"/>
  <c r="AM48" i="4" s="1"/>
  <c r="AN37" i="4" s="1"/>
  <c r="AN38" i="4" s="1"/>
  <c r="AN39" i="4" s="1"/>
  <c r="AN40" i="4" s="1"/>
  <c r="AN41" i="4" s="1"/>
  <c r="AN42" i="4" s="1"/>
  <c r="AN43" i="4" s="1"/>
  <c r="AN44" i="4" s="1"/>
  <c r="AN45" i="4" s="1"/>
  <c r="AN46" i="4" s="1"/>
  <c r="AN47" i="4" s="1"/>
  <c r="AN48" i="4" s="1"/>
  <c r="AO37" i="4" s="1"/>
  <c r="AO38" i="4" s="1"/>
  <c r="AO39" i="4" s="1"/>
  <c r="AO40" i="4" s="1"/>
  <c r="AO41" i="4" s="1"/>
  <c r="AO42" i="4" s="1"/>
  <c r="AO43" i="4" s="1"/>
  <c r="AO44" i="4" s="1"/>
  <c r="AO45" i="4" s="1"/>
  <c r="AO46" i="4" s="1"/>
  <c r="AO47" i="4" s="1"/>
  <c r="AO48" i="4" s="1"/>
  <c r="AP37" i="4" s="1"/>
  <c r="AP38" i="4" s="1"/>
  <c r="AP39" i="4" s="1"/>
  <c r="AP40" i="4" s="1"/>
  <c r="AP41" i="4" s="1"/>
  <c r="AP42" i="4" s="1"/>
  <c r="AP43" i="4" s="1"/>
  <c r="AP44" i="4" s="1"/>
  <c r="AP45" i="4" s="1"/>
  <c r="AP46" i="4" s="1"/>
  <c r="AP47" i="4" s="1"/>
  <c r="AP48" i="4" s="1"/>
  <c r="AQ37" i="4" s="1"/>
  <c r="AQ38" i="4" s="1"/>
  <c r="AQ39" i="4" s="1"/>
  <c r="AQ40" i="4" s="1"/>
  <c r="AQ41" i="4" s="1"/>
  <c r="AQ42" i="4" s="1"/>
  <c r="AQ43" i="4" s="1"/>
  <c r="AQ44" i="4" s="1"/>
  <c r="AQ45" i="4" s="1"/>
  <c r="AQ46" i="4" s="1"/>
  <c r="AQ47" i="4" s="1"/>
  <c r="AQ48" i="4" s="1"/>
  <c r="AR37" i="4" s="1"/>
  <c r="AR38" i="4" s="1"/>
  <c r="AR39" i="4" s="1"/>
  <c r="AR40" i="4" s="1"/>
  <c r="AR41" i="4" s="1"/>
  <c r="AR42" i="4" s="1"/>
  <c r="AR43" i="4" s="1"/>
  <c r="AR44" i="4" s="1"/>
  <c r="AR45" i="4" s="1"/>
  <c r="AR46" i="4" s="1"/>
  <c r="AR47" i="4" s="1"/>
  <c r="AR48" i="4" s="1"/>
  <c r="AS37" i="4" s="1"/>
  <c r="AS38" i="4" s="1"/>
  <c r="AS39" i="4" s="1"/>
  <c r="AS40" i="4" s="1"/>
  <c r="AS41" i="4" s="1"/>
  <c r="AS42" i="4" s="1"/>
  <c r="AS43" i="4" s="1"/>
  <c r="AS44" i="4" s="1"/>
  <c r="AS45" i="4" s="1"/>
  <c r="AS46" i="4" s="1"/>
  <c r="AS47" i="4" s="1"/>
  <c r="AS48" i="4" s="1"/>
  <c r="AT37" i="4" s="1"/>
  <c r="AT38" i="4" s="1"/>
  <c r="AT39" i="4" s="1"/>
  <c r="AT40" i="4" s="1"/>
  <c r="AT41" i="4" s="1"/>
  <c r="AT42" i="4" s="1"/>
  <c r="AT43" i="4" s="1"/>
  <c r="AT44" i="4" s="1"/>
  <c r="AT45" i="4" s="1"/>
  <c r="AT46" i="4" s="1"/>
  <c r="AT47" i="4" s="1"/>
  <c r="AT48" i="4" s="1"/>
  <c r="AU37" i="4" s="1"/>
  <c r="AU38" i="4" s="1"/>
  <c r="AU39" i="4" s="1"/>
  <c r="AU40" i="4" s="1"/>
  <c r="AU41" i="4" s="1"/>
  <c r="AU42" i="4" s="1"/>
  <c r="AU43" i="4" s="1"/>
  <c r="AU44" i="4" s="1"/>
  <c r="AU45" i="4" s="1"/>
  <c r="AU46" i="4" s="1"/>
  <c r="AU47" i="4" s="1"/>
  <c r="AU48" i="4" s="1"/>
  <c r="AV37" i="4" s="1"/>
  <c r="AV38" i="4" s="1"/>
  <c r="AV39" i="4" s="1"/>
  <c r="AV40" i="4" s="1"/>
  <c r="AV41" i="4" s="1"/>
  <c r="AV42" i="4" s="1"/>
  <c r="AV43" i="4" s="1"/>
  <c r="AV44" i="4" s="1"/>
  <c r="AV45" i="4" s="1"/>
  <c r="AV46" i="4" s="1"/>
  <c r="AV47" i="4" s="1"/>
  <c r="AV48" i="4" s="1"/>
  <c r="AW37" i="4" s="1"/>
  <c r="AW38" i="4" s="1"/>
  <c r="AW39" i="4" s="1"/>
  <c r="AW40" i="4" s="1"/>
  <c r="AW41" i="4" s="1"/>
  <c r="AW42" i="4" s="1"/>
  <c r="AW43" i="4" s="1"/>
  <c r="AW44" i="4" s="1"/>
  <c r="AW45" i="4" s="1"/>
  <c r="AW46" i="4" s="1"/>
  <c r="AW47" i="4" s="1"/>
  <c r="AW48" i="4" s="1"/>
  <c r="AX37" i="4" s="1"/>
  <c r="AX38" i="4" s="1"/>
  <c r="AX39" i="4" s="1"/>
  <c r="AX40" i="4" s="1"/>
  <c r="AX41" i="4" s="1"/>
  <c r="AX42" i="4" s="1"/>
  <c r="AX43" i="4" s="1"/>
  <c r="AX44" i="4" s="1"/>
  <c r="AX45" i="4" s="1"/>
  <c r="AX46" i="4" s="1"/>
  <c r="AX47" i="4" s="1"/>
  <c r="AX48" i="4" s="1"/>
  <c r="AY37" i="4" s="1"/>
  <c r="AY38" i="4" s="1"/>
  <c r="AY39" i="4" s="1"/>
  <c r="AY40" i="4" s="1"/>
  <c r="AY41" i="4" s="1"/>
  <c r="AY42" i="4" s="1"/>
  <c r="AY43" i="4" s="1"/>
  <c r="AY44" i="4" s="1"/>
  <c r="AY45" i="4" s="1"/>
  <c r="AY46" i="4" s="1"/>
  <c r="AY47" i="4" s="1"/>
  <c r="AY48" i="4" s="1"/>
  <c r="AZ37" i="4" s="1"/>
  <c r="AZ38" i="4" s="1"/>
  <c r="AZ39" i="4" s="1"/>
  <c r="AZ40" i="4" s="1"/>
  <c r="AZ41" i="4" s="1"/>
  <c r="AZ42" i="4" s="1"/>
  <c r="AZ43" i="4" s="1"/>
  <c r="AZ44" i="4" s="1"/>
  <c r="AZ45" i="4" s="1"/>
  <c r="AZ46" i="4" s="1"/>
  <c r="AZ47" i="4" s="1"/>
  <c r="AZ48" i="4" s="1"/>
  <c r="BA37" i="4" s="1"/>
  <c r="BA38" i="4" s="1"/>
  <c r="BA39" i="4" s="1"/>
  <c r="BA40" i="4" s="1"/>
  <c r="BA41" i="4" s="1"/>
  <c r="BA42" i="4" s="1"/>
  <c r="BA43" i="4" s="1"/>
  <c r="BA44" i="4" s="1"/>
  <c r="BA45" i="4" s="1"/>
  <c r="BA46" i="4" s="1"/>
  <c r="BA47" i="4" s="1"/>
  <c r="BA48" i="4" s="1"/>
  <c r="BB37" i="4" s="1"/>
  <c r="BB38" i="4" s="1"/>
  <c r="BB39" i="4" s="1"/>
  <c r="BB40" i="4" s="1"/>
  <c r="BB41" i="4" s="1"/>
  <c r="BB42" i="4" s="1"/>
  <c r="BB43" i="4" s="1"/>
  <c r="BB44" i="4" s="1"/>
  <c r="BB45" i="4" s="1"/>
  <c r="BB46" i="4" s="1"/>
  <c r="BB47" i="4" s="1"/>
  <c r="BB48" i="4" s="1"/>
  <c r="BC37" i="4" s="1"/>
  <c r="BC38" i="4" s="1"/>
  <c r="BC39" i="4" s="1"/>
  <c r="BC40" i="4" s="1"/>
  <c r="BC41" i="4" s="1"/>
  <c r="BC42" i="4" s="1"/>
  <c r="BC43" i="4" s="1"/>
  <c r="BC44" i="4" s="1"/>
  <c r="BC45" i="4" s="1"/>
  <c r="BC46" i="4" s="1"/>
  <c r="BC47" i="4" s="1"/>
  <c r="BC48" i="4" s="1"/>
  <c r="BD37" i="4" s="1"/>
  <c r="BD38" i="4" s="1"/>
  <c r="BD39" i="4" s="1"/>
  <c r="BD40" i="4" s="1"/>
  <c r="BD41" i="4" s="1"/>
  <c r="BD42" i="4" s="1"/>
  <c r="BD43" i="4" s="1"/>
  <c r="BD44" i="4" s="1"/>
  <c r="BD45" i="4" s="1"/>
  <c r="BD46" i="4" s="1"/>
  <c r="BD47" i="4" s="1"/>
  <c r="BD48" i="4" s="1"/>
  <c r="BE37" i="4" s="1"/>
  <c r="BE38" i="4" s="1"/>
  <c r="BE39" i="4" s="1"/>
  <c r="BE40" i="4" s="1"/>
  <c r="BE41" i="4" s="1"/>
  <c r="BE42" i="4" s="1"/>
  <c r="BE43" i="4" s="1"/>
  <c r="BE44" i="4" s="1"/>
  <c r="BE45" i="4" s="1"/>
  <c r="BE46" i="4" s="1"/>
  <c r="BE47" i="4" s="1"/>
  <c r="BE48" i="4" s="1"/>
  <c r="BF37" i="4" s="1"/>
  <c r="BF38" i="4" s="1"/>
  <c r="BF39" i="4" s="1"/>
  <c r="BF40" i="4" s="1"/>
  <c r="BF41" i="4" s="1"/>
  <c r="BF42" i="4" s="1"/>
  <c r="BF43" i="4" s="1"/>
  <c r="BF44" i="4" s="1"/>
  <c r="BF45" i="4" s="1"/>
  <c r="BF46" i="4" s="1"/>
  <c r="BF47" i="4" s="1"/>
  <c r="BF48" i="4" s="1"/>
  <c r="BG37" i="4" s="1"/>
  <c r="BG38" i="4" s="1"/>
  <c r="BG39" i="4" s="1"/>
  <c r="BG40" i="4" s="1"/>
  <c r="BG41" i="4" s="1"/>
  <c r="BG42" i="4" s="1"/>
  <c r="BG43" i="4" s="1"/>
  <c r="BG44" i="4" s="1"/>
  <c r="BG45" i="4" s="1"/>
  <c r="BG46" i="4" s="1"/>
  <c r="BG47" i="4" s="1"/>
  <c r="BG48" i="4" s="1"/>
  <c r="BH37" i="4" s="1"/>
  <c r="BH38" i="4" s="1"/>
  <c r="BH39" i="4" s="1"/>
  <c r="BH40" i="4" s="1"/>
  <c r="BH41" i="4" s="1"/>
  <c r="BH42" i="4" s="1"/>
  <c r="BH43" i="4" s="1"/>
  <c r="BH44" i="4" s="1"/>
  <c r="BH45" i="4" s="1"/>
  <c r="BH46" i="4" s="1"/>
  <c r="BH47" i="4" s="1"/>
  <c r="BH48" i="4" s="1"/>
  <c r="BI37" i="4" s="1"/>
  <c r="BI38" i="4" s="1"/>
  <c r="BI39" i="4" s="1"/>
  <c r="BI40" i="4" s="1"/>
  <c r="BI41" i="4" s="1"/>
  <c r="BI42" i="4" s="1"/>
  <c r="BI43" i="4" s="1"/>
  <c r="BI44" i="4" s="1"/>
  <c r="BI45" i="4" s="1"/>
  <c r="BI46" i="4" s="1"/>
  <c r="BI47" i="4" s="1"/>
  <c r="BI48" i="4" s="1"/>
  <c r="BJ37" i="4" s="1"/>
  <c r="BJ38" i="4" s="1"/>
  <c r="BJ39" i="4" s="1"/>
  <c r="BJ40" i="4" s="1"/>
  <c r="BJ41" i="4" s="1"/>
  <c r="BJ42" i="4" s="1"/>
  <c r="BJ43" i="4" s="1"/>
  <c r="BJ44" i="4" s="1"/>
  <c r="BJ45" i="4" s="1"/>
  <c r="BJ46" i="4" s="1"/>
  <c r="BJ47" i="4" s="1"/>
  <c r="BJ48" i="4" s="1"/>
  <c r="D37" i="4"/>
  <c r="D38" i="4" s="1"/>
  <c r="D39" i="4" s="1"/>
  <c r="D40" i="4" s="1"/>
  <c r="D41" i="4" s="1"/>
  <c r="D42" i="4" s="1"/>
  <c r="D43" i="4" s="1"/>
  <c r="D44" i="4" s="1"/>
  <c r="D45" i="4" s="1"/>
  <c r="D46" i="4" s="1"/>
  <c r="D47" i="4" s="1"/>
  <c r="D48" i="4" s="1"/>
  <c r="E37" i="4" s="1"/>
  <c r="E38" i="4" s="1"/>
  <c r="E39" i="4" s="1"/>
  <c r="E40" i="4" s="1"/>
  <c r="E41" i="4" s="1"/>
  <c r="E42" i="4" s="1"/>
  <c r="E43" i="4" s="1"/>
  <c r="E44" i="4" s="1"/>
  <c r="E45" i="4" s="1"/>
  <c r="E46" i="4" s="1"/>
  <c r="E47" i="4" s="1"/>
  <c r="E48" i="4" s="1"/>
  <c r="F37" i="4" s="1"/>
  <c r="F38" i="4" s="1"/>
  <c r="F39" i="4" s="1"/>
  <c r="F40" i="4" s="1"/>
  <c r="F41" i="4" s="1"/>
  <c r="F42" i="4" s="1"/>
  <c r="F43" i="4" s="1"/>
  <c r="F44" i="4" s="1"/>
  <c r="F45" i="4" s="1"/>
  <c r="F46" i="4" s="1"/>
  <c r="F47" i="4" s="1"/>
  <c r="F48" i="4" s="1"/>
  <c r="G37" i="4" s="1"/>
  <c r="G38" i="4" s="1"/>
  <c r="G39" i="4" s="1"/>
  <c r="G40" i="4" s="1"/>
  <c r="G41" i="4" s="1"/>
  <c r="G42" i="4" s="1"/>
  <c r="G43" i="4" s="1"/>
  <c r="G44" i="4" s="1"/>
  <c r="G45" i="4" s="1"/>
  <c r="G46" i="4" s="1"/>
  <c r="G47" i="4" s="1"/>
  <c r="G48" i="4" s="1"/>
  <c r="H37" i="4" s="1"/>
  <c r="H38" i="4" s="1"/>
  <c r="H39" i="4" s="1"/>
  <c r="H40" i="4" s="1"/>
  <c r="H41" i="4" s="1"/>
  <c r="H42" i="4" s="1"/>
  <c r="H43" i="4" s="1"/>
  <c r="H44" i="4" s="1"/>
  <c r="H45" i="4" s="1"/>
  <c r="H46" i="4" s="1"/>
  <c r="H47" i="4" s="1"/>
  <c r="H48" i="4" s="1"/>
  <c r="I37" i="4" s="1"/>
  <c r="I38" i="4" s="1"/>
  <c r="I39" i="4" s="1"/>
  <c r="I40" i="4" s="1"/>
  <c r="I41" i="4" s="1"/>
  <c r="I42" i="4" s="1"/>
  <c r="I43" i="4" s="1"/>
  <c r="I44" i="4" s="1"/>
  <c r="I45" i="4" s="1"/>
  <c r="I46" i="4" s="1"/>
  <c r="I47" i="4" s="1"/>
  <c r="I48" i="4" s="1"/>
  <c r="J37" i="4" s="1"/>
  <c r="J38" i="4" s="1"/>
  <c r="J39" i="4" s="1"/>
  <c r="J40" i="4" s="1"/>
  <c r="J41" i="4" s="1"/>
  <c r="J42" i="4" s="1"/>
  <c r="J43" i="4" s="1"/>
  <c r="J44" i="4" s="1"/>
  <c r="J45" i="4" s="1"/>
  <c r="J46" i="4" s="1"/>
  <c r="J47" i="4" s="1"/>
  <c r="J48" i="4" s="1"/>
  <c r="K37" i="4" s="1"/>
  <c r="K38" i="4" s="1"/>
  <c r="K39" i="4" s="1"/>
  <c r="K40" i="4" s="1"/>
  <c r="K41" i="4" s="1"/>
  <c r="K42" i="4" s="1"/>
  <c r="K43" i="4" s="1"/>
  <c r="K44" i="4" s="1"/>
  <c r="K45" i="4" s="1"/>
  <c r="K46" i="4" s="1"/>
  <c r="K47" i="4" s="1"/>
  <c r="K48" i="4" s="1"/>
  <c r="L37" i="4" s="1"/>
  <c r="L38" i="4" s="1"/>
  <c r="L39" i="4" s="1"/>
  <c r="L40" i="4" s="1"/>
  <c r="L41" i="4" s="1"/>
  <c r="L42" i="4" s="1"/>
  <c r="L43" i="4" s="1"/>
  <c r="L44" i="4" s="1"/>
  <c r="L45" i="4" s="1"/>
  <c r="L46" i="4" s="1"/>
  <c r="L47" i="4" s="1"/>
  <c r="L48" i="4" s="1"/>
  <c r="M37" i="4" s="1"/>
  <c r="M38" i="4" s="1"/>
  <c r="M39" i="4" s="1"/>
  <c r="M40" i="4" s="1"/>
  <c r="M41" i="4" s="1"/>
  <c r="M42" i="4" s="1"/>
  <c r="M43" i="4" s="1"/>
  <c r="M44" i="4" s="1"/>
  <c r="M45" i="4" s="1"/>
  <c r="M46" i="4" s="1"/>
  <c r="M47" i="4" s="1"/>
  <c r="M48" i="4" s="1"/>
  <c r="N37" i="4" s="1"/>
  <c r="N38" i="4" s="1"/>
  <c r="N39" i="4" s="1"/>
  <c r="N40" i="4" s="1"/>
  <c r="N41" i="4" s="1"/>
  <c r="N42" i="4" s="1"/>
  <c r="N43" i="4" s="1"/>
  <c r="N44" i="4" s="1"/>
  <c r="N45" i="4" s="1"/>
  <c r="N46" i="4" s="1"/>
  <c r="N47" i="4" s="1"/>
  <c r="N48" i="4" s="1"/>
  <c r="O37" i="4" s="1"/>
  <c r="O38" i="4" s="1"/>
  <c r="O39" i="4" s="1"/>
  <c r="O40" i="4" s="1"/>
  <c r="O41" i="4" s="1"/>
  <c r="O42" i="4" s="1"/>
  <c r="O43" i="4" s="1"/>
  <c r="O44" i="4" s="1"/>
  <c r="O45" i="4" s="1"/>
  <c r="O46" i="4" s="1"/>
  <c r="O47" i="4" s="1"/>
  <c r="O48" i="4" s="1"/>
  <c r="P37" i="4" s="1"/>
  <c r="P38" i="4" s="1"/>
  <c r="P39" i="4" s="1"/>
  <c r="P40" i="4" s="1"/>
  <c r="P41" i="4" s="1"/>
  <c r="P42" i="4" s="1"/>
  <c r="P43" i="4" s="1"/>
  <c r="P44" i="4" s="1"/>
  <c r="P45" i="4" s="1"/>
  <c r="P46" i="4" s="1"/>
  <c r="P47" i="4" s="1"/>
  <c r="P48" i="4" s="1"/>
  <c r="Q37" i="4" s="1"/>
  <c r="Q38" i="4" s="1"/>
  <c r="Q39" i="4" s="1"/>
  <c r="Q40" i="4" s="1"/>
  <c r="Q41" i="4" s="1"/>
  <c r="Q42" i="4" s="1"/>
  <c r="Q43" i="4" s="1"/>
  <c r="Q44" i="4" s="1"/>
  <c r="Q45" i="4" s="1"/>
  <c r="Q46" i="4" s="1"/>
  <c r="AI15" i="4"/>
  <c r="AI16" i="4" s="1"/>
  <c r="AI17" i="4" s="1"/>
  <c r="AI18" i="4" s="1"/>
  <c r="AI19" i="4" s="1"/>
  <c r="AI20" i="4" s="1"/>
  <c r="AI21" i="4" s="1"/>
  <c r="AI22" i="4" s="1"/>
  <c r="AI23" i="4" s="1"/>
  <c r="AI24" i="4" s="1"/>
  <c r="AI25" i="4" s="1"/>
  <c r="AI26" i="4" s="1"/>
  <c r="AJ15" i="4" s="1"/>
  <c r="AJ16" i="4" s="1"/>
  <c r="AJ17" i="4" s="1"/>
  <c r="AJ18" i="4" s="1"/>
  <c r="AJ19" i="4" s="1"/>
  <c r="AJ20" i="4" s="1"/>
  <c r="AJ21" i="4" s="1"/>
  <c r="AJ22" i="4" s="1"/>
  <c r="AJ23" i="4" s="1"/>
  <c r="AJ24" i="4" s="1"/>
  <c r="AJ25" i="4" s="1"/>
  <c r="AJ26" i="4" s="1"/>
  <c r="AK15" i="4" s="1"/>
  <c r="AK16" i="4" s="1"/>
  <c r="AK17" i="4" s="1"/>
  <c r="AK18" i="4" s="1"/>
  <c r="AK19" i="4" s="1"/>
  <c r="AK20" i="4" s="1"/>
  <c r="AK21" i="4" s="1"/>
  <c r="AK22" i="4" s="1"/>
  <c r="AK23" i="4" s="1"/>
  <c r="AK24" i="4" s="1"/>
  <c r="AK25" i="4" s="1"/>
  <c r="AK26" i="4" s="1"/>
  <c r="AL15" i="4" s="1"/>
  <c r="AL16" i="4" s="1"/>
  <c r="AL17" i="4" s="1"/>
  <c r="AL18" i="4" s="1"/>
  <c r="AL19" i="4" s="1"/>
  <c r="AL20" i="4" s="1"/>
  <c r="AL21" i="4" s="1"/>
  <c r="AL22" i="4" s="1"/>
  <c r="AL23" i="4" s="1"/>
  <c r="AL24" i="4" s="1"/>
  <c r="AL25" i="4" s="1"/>
  <c r="AL26" i="4" s="1"/>
  <c r="AM15" i="4" s="1"/>
  <c r="AM16" i="4" s="1"/>
  <c r="AM17" i="4" s="1"/>
  <c r="AM18" i="4" s="1"/>
  <c r="AM19" i="4" s="1"/>
  <c r="AM20" i="4" s="1"/>
  <c r="AM21" i="4" s="1"/>
  <c r="AM22" i="4" s="1"/>
  <c r="AM23" i="4" s="1"/>
  <c r="AM24" i="4" s="1"/>
  <c r="AM25" i="4" s="1"/>
  <c r="AM26" i="4" s="1"/>
  <c r="AN15" i="4" s="1"/>
  <c r="AN16" i="4" s="1"/>
  <c r="AN17" i="4" s="1"/>
  <c r="AN18" i="4" s="1"/>
  <c r="AN19" i="4" s="1"/>
  <c r="AN20" i="4" s="1"/>
  <c r="AN21" i="4" s="1"/>
  <c r="AN22" i="4" s="1"/>
  <c r="AN23" i="4" s="1"/>
  <c r="AN24" i="4" s="1"/>
  <c r="AN25" i="4" s="1"/>
  <c r="AN26" i="4" s="1"/>
  <c r="AO15" i="4" s="1"/>
  <c r="AO16" i="4" s="1"/>
  <c r="AO17" i="4" s="1"/>
  <c r="AO18" i="4" s="1"/>
  <c r="AO19" i="4" s="1"/>
  <c r="AO20" i="4" s="1"/>
  <c r="AO21" i="4" s="1"/>
  <c r="AO22" i="4" s="1"/>
  <c r="AO23" i="4" s="1"/>
  <c r="AO24" i="4" s="1"/>
  <c r="AO25" i="4" s="1"/>
  <c r="AO26" i="4" s="1"/>
  <c r="AP15" i="4" s="1"/>
  <c r="AP16" i="4" s="1"/>
  <c r="AP17" i="4" s="1"/>
  <c r="AP18" i="4" s="1"/>
  <c r="AP19" i="4" s="1"/>
  <c r="AP20" i="4" s="1"/>
  <c r="AP21" i="4" s="1"/>
  <c r="AP22" i="4" s="1"/>
  <c r="AP23" i="4" s="1"/>
  <c r="AP24" i="4" s="1"/>
  <c r="AP25" i="4" s="1"/>
  <c r="AP26" i="4" s="1"/>
  <c r="AQ15" i="4" s="1"/>
  <c r="AQ16" i="4" s="1"/>
  <c r="AQ17" i="4" s="1"/>
  <c r="AQ18" i="4" s="1"/>
  <c r="AQ19" i="4" s="1"/>
  <c r="AQ20" i="4" s="1"/>
  <c r="AQ21" i="4" s="1"/>
  <c r="AQ22" i="4" s="1"/>
  <c r="AQ23" i="4" s="1"/>
  <c r="AQ24" i="4" s="1"/>
  <c r="AQ25" i="4" s="1"/>
  <c r="AQ26" i="4" s="1"/>
  <c r="AR15" i="4" s="1"/>
  <c r="AR16" i="4" s="1"/>
  <c r="AR17" i="4" s="1"/>
  <c r="AR18" i="4" s="1"/>
  <c r="AR19" i="4" s="1"/>
  <c r="AR20" i="4" s="1"/>
  <c r="AR21" i="4" s="1"/>
  <c r="AR22" i="4" s="1"/>
  <c r="AR23" i="4" s="1"/>
  <c r="AR24" i="4" s="1"/>
  <c r="AR25" i="4" s="1"/>
  <c r="AR26" i="4" s="1"/>
  <c r="AS15" i="4" s="1"/>
  <c r="AS16" i="4" s="1"/>
  <c r="AS17" i="4" s="1"/>
  <c r="AS18" i="4" s="1"/>
  <c r="AS19" i="4" s="1"/>
  <c r="AS20" i="4" s="1"/>
  <c r="AS21" i="4" s="1"/>
  <c r="AS22" i="4" s="1"/>
  <c r="AS23" i="4" s="1"/>
  <c r="AS24" i="4" s="1"/>
  <c r="AS25" i="4" s="1"/>
  <c r="AS26" i="4" s="1"/>
  <c r="AT15" i="4" s="1"/>
  <c r="AT16" i="4" s="1"/>
  <c r="AT17" i="4" s="1"/>
  <c r="AT18" i="4" s="1"/>
  <c r="AT19" i="4" s="1"/>
  <c r="AT20" i="4" s="1"/>
  <c r="AT21" i="4" s="1"/>
  <c r="AT22" i="4" s="1"/>
  <c r="AT23" i="4" s="1"/>
  <c r="AT24" i="4" s="1"/>
  <c r="AT25" i="4" s="1"/>
  <c r="AT26" i="4" s="1"/>
  <c r="AU15" i="4" s="1"/>
  <c r="AU16" i="4" s="1"/>
  <c r="AU17" i="4" s="1"/>
  <c r="AU18" i="4" s="1"/>
  <c r="AU19" i="4" s="1"/>
  <c r="AU20" i="4" s="1"/>
  <c r="AU21" i="4" s="1"/>
  <c r="AU22" i="4" s="1"/>
  <c r="AU23" i="4" s="1"/>
  <c r="AU24" i="4" s="1"/>
  <c r="AU25" i="4" s="1"/>
  <c r="AU26" i="4" s="1"/>
  <c r="AV15" i="4" s="1"/>
  <c r="AV16" i="4" s="1"/>
  <c r="AV17" i="4" s="1"/>
  <c r="AV18" i="4" s="1"/>
  <c r="AV19" i="4" s="1"/>
  <c r="AV20" i="4" s="1"/>
  <c r="AV21" i="4" s="1"/>
  <c r="AV22" i="4" s="1"/>
  <c r="AV23" i="4" s="1"/>
  <c r="AV24" i="4" s="1"/>
  <c r="AV25" i="4" s="1"/>
  <c r="AV26" i="4" s="1"/>
  <c r="AW15" i="4" s="1"/>
  <c r="AW16" i="4" s="1"/>
  <c r="AW17" i="4" s="1"/>
  <c r="AW18" i="4" s="1"/>
  <c r="AW19" i="4" s="1"/>
  <c r="AW20" i="4" s="1"/>
  <c r="AW21" i="4" s="1"/>
  <c r="AW22" i="4" s="1"/>
  <c r="AW23" i="4" s="1"/>
  <c r="AW24" i="4" s="1"/>
  <c r="AW25" i="4" s="1"/>
  <c r="AW26" i="4" s="1"/>
  <c r="AX15" i="4" s="1"/>
  <c r="AX16" i="4" s="1"/>
  <c r="AX17" i="4" s="1"/>
  <c r="AX18" i="4" s="1"/>
  <c r="AX19" i="4" s="1"/>
  <c r="AX20" i="4" s="1"/>
  <c r="AX21" i="4" s="1"/>
  <c r="AX22" i="4" s="1"/>
  <c r="AX23" i="4" s="1"/>
  <c r="AX24" i="4" s="1"/>
  <c r="AX25" i="4" s="1"/>
  <c r="AX26" i="4" s="1"/>
  <c r="AY15" i="4" s="1"/>
  <c r="AY16" i="4" s="1"/>
  <c r="AY17" i="4" s="1"/>
  <c r="AY18" i="4" s="1"/>
  <c r="AY19" i="4" s="1"/>
  <c r="AY20" i="4" s="1"/>
  <c r="AY21" i="4" s="1"/>
  <c r="AY22" i="4" s="1"/>
  <c r="AY23" i="4" s="1"/>
  <c r="AY24" i="4" s="1"/>
  <c r="AY25" i="4" s="1"/>
  <c r="AY26" i="4" s="1"/>
  <c r="AZ15" i="4" s="1"/>
  <c r="AZ16" i="4" s="1"/>
  <c r="AZ17" i="4" s="1"/>
  <c r="AZ18" i="4" s="1"/>
  <c r="AZ19" i="4" s="1"/>
  <c r="AZ20" i="4" s="1"/>
  <c r="AZ21" i="4" s="1"/>
  <c r="AZ22" i="4" s="1"/>
  <c r="AZ23" i="4" s="1"/>
  <c r="AZ24" i="4" s="1"/>
  <c r="AZ25" i="4" s="1"/>
  <c r="AZ26" i="4" s="1"/>
  <c r="BA15" i="4" s="1"/>
  <c r="BA16" i="4" s="1"/>
  <c r="BA17" i="4" s="1"/>
  <c r="BA18" i="4" s="1"/>
  <c r="BA19" i="4" s="1"/>
  <c r="BA20" i="4" s="1"/>
  <c r="BA21" i="4" s="1"/>
  <c r="BA22" i="4" s="1"/>
  <c r="BA23" i="4" s="1"/>
  <c r="BA24" i="4" s="1"/>
  <c r="BA25" i="4" s="1"/>
  <c r="BA26" i="4" s="1"/>
  <c r="BB15" i="4" s="1"/>
  <c r="BB16" i="4" s="1"/>
  <c r="BB17" i="4" s="1"/>
  <c r="BB18" i="4" s="1"/>
  <c r="BB19" i="4" s="1"/>
  <c r="BB20" i="4" s="1"/>
  <c r="BB21" i="4" s="1"/>
  <c r="BB22" i="4" s="1"/>
  <c r="BB23" i="4" s="1"/>
  <c r="BB24" i="4" s="1"/>
  <c r="BB25" i="4" s="1"/>
  <c r="BB26" i="4" s="1"/>
  <c r="BC15" i="4" s="1"/>
  <c r="BC16" i="4" s="1"/>
  <c r="BC17" i="4" s="1"/>
  <c r="BC18" i="4" s="1"/>
  <c r="BC19" i="4" s="1"/>
  <c r="BC20" i="4" s="1"/>
  <c r="BC21" i="4" s="1"/>
  <c r="BC22" i="4" s="1"/>
  <c r="BC23" i="4" s="1"/>
  <c r="BC24" i="4" s="1"/>
  <c r="BC25" i="4" s="1"/>
  <c r="BC26" i="4" s="1"/>
  <c r="BD15" i="4" s="1"/>
  <c r="BD16" i="4" s="1"/>
  <c r="BD17" i="4" s="1"/>
  <c r="BD18" i="4" s="1"/>
  <c r="BD19" i="4" s="1"/>
  <c r="BD20" i="4" s="1"/>
  <c r="BD21" i="4" s="1"/>
  <c r="BD22" i="4" s="1"/>
  <c r="BD23" i="4" s="1"/>
  <c r="BD24" i="4" s="1"/>
  <c r="BD25" i="4" s="1"/>
  <c r="BD26" i="4" s="1"/>
  <c r="BE15" i="4" s="1"/>
  <c r="BE16" i="4" s="1"/>
  <c r="BE17" i="4" s="1"/>
  <c r="BE18" i="4" s="1"/>
  <c r="BE19" i="4" s="1"/>
  <c r="BE20" i="4" s="1"/>
  <c r="BE21" i="4" s="1"/>
  <c r="BE22" i="4" s="1"/>
  <c r="BE23" i="4" s="1"/>
  <c r="BE24" i="4" s="1"/>
  <c r="BE25" i="4" s="1"/>
  <c r="BE26" i="4" s="1"/>
  <c r="BF15" i="4" s="1"/>
  <c r="BF16" i="4" s="1"/>
  <c r="BF17" i="4" s="1"/>
  <c r="BF18" i="4" s="1"/>
  <c r="BF19" i="4" s="1"/>
  <c r="BF20" i="4" s="1"/>
  <c r="BF21" i="4" s="1"/>
  <c r="BF22" i="4" s="1"/>
  <c r="BF23" i="4" s="1"/>
  <c r="BF24" i="4" s="1"/>
  <c r="BF25" i="4" s="1"/>
  <c r="BF26" i="4" s="1"/>
  <c r="BG15" i="4" s="1"/>
  <c r="BG16" i="4" s="1"/>
  <c r="BG17" i="4" s="1"/>
  <c r="BG18" i="4" s="1"/>
  <c r="BG19" i="4" s="1"/>
  <c r="BG20" i="4" s="1"/>
  <c r="BG21" i="4" s="1"/>
  <c r="BG22" i="4" s="1"/>
  <c r="BG23" i="4" s="1"/>
  <c r="BG24" i="4" s="1"/>
  <c r="BG25" i="4" s="1"/>
  <c r="BG26" i="4" s="1"/>
  <c r="BH15" i="4" s="1"/>
  <c r="BH16" i="4" s="1"/>
  <c r="BH17" i="4" s="1"/>
  <c r="BH18" i="4" s="1"/>
  <c r="BH19" i="4" s="1"/>
  <c r="BH20" i="4" s="1"/>
  <c r="BH21" i="4" s="1"/>
  <c r="BH22" i="4" s="1"/>
  <c r="BH23" i="4" s="1"/>
  <c r="BH24" i="4" s="1"/>
  <c r="BH25" i="4" s="1"/>
  <c r="BH26" i="4" s="1"/>
  <c r="BI15" i="4" s="1"/>
  <c r="BI16" i="4" s="1"/>
  <c r="BI17" i="4" s="1"/>
  <c r="BI18" i="4" s="1"/>
  <c r="BI19" i="4" s="1"/>
  <c r="BI20" i="4" s="1"/>
  <c r="BI21" i="4" s="1"/>
  <c r="BI22" i="4" s="1"/>
  <c r="BI23" i="4" s="1"/>
  <c r="BI24" i="4" s="1"/>
  <c r="BI25" i="4" s="1"/>
  <c r="BI26" i="4" s="1"/>
  <c r="BJ15" i="4" s="1"/>
  <c r="BJ16" i="4" s="1"/>
  <c r="BJ17" i="4" s="1"/>
  <c r="BJ18" i="4" s="1"/>
  <c r="BJ19" i="4" s="1"/>
  <c r="BJ20" i="4" s="1"/>
  <c r="BJ21" i="4" s="1"/>
  <c r="BJ22" i="4" s="1"/>
  <c r="BJ23" i="4" s="1"/>
  <c r="BJ24" i="4" s="1"/>
  <c r="BJ25" i="4" s="1"/>
  <c r="BJ26" i="4" s="1"/>
  <c r="D15" i="4"/>
  <c r="D16" i="4" s="1"/>
  <c r="D17" i="4" s="1"/>
  <c r="D18" i="4" s="1"/>
  <c r="D19" i="4" s="1"/>
  <c r="D20" i="4" s="1"/>
  <c r="D21" i="4" s="1"/>
  <c r="D22" i="4" s="1"/>
  <c r="D23" i="4" s="1"/>
  <c r="D24" i="4" s="1"/>
  <c r="D25" i="4" s="1"/>
  <c r="D26" i="4" s="1"/>
  <c r="E15" i="4" s="1"/>
  <c r="E16" i="4" s="1"/>
  <c r="E17" i="4" s="1"/>
  <c r="E18" i="4" s="1"/>
  <c r="E19" i="4" s="1"/>
  <c r="E20" i="4" s="1"/>
  <c r="E21" i="4" s="1"/>
  <c r="E22" i="4" s="1"/>
  <c r="E23" i="4" s="1"/>
  <c r="E24" i="4" s="1"/>
  <c r="E25" i="4" s="1"/>
  <c r="E26" i="4" s="1"/>
  <c r="F15" i="4" s="1"/>
  <c r="F16" i="4" s="1"/>
  <c r="F17" i="4" s="1"/>
  <c r="F18" i="4" s="1"/>
  <c r="F19" i="4" s="1"/>
  <c r="F20" i="4" s="1"/>
  <c r="F21" i="4" s="1"/>
  <c r="F22" i="4" s="1"/>
  <c r="F23" i="4" s="1"/>
  <c r="F24" i="4" s="1"/>
  <c r="F25" i="4" s="1"/>
  <c r="F26" i="4" s="1"/>
  <c r="G15" i="4" s="1"/>
  <c r="G16" i="4" s="1"/>
  <c r="G17" i="4" s="1"/>
  <c r="G18" i="4" s="1"/>
  <c r="G19" i="4" s="1"/>
  <c r="G20" i="4" s="1"/>
  <c r="G21" i="4" s="1"/>
  <c r="G22" i="4" s="1"/>
  <c r="G23" i="4" s="1"/>
  <c r="G24" i="4" s="1"/>
  <c r="G25" i="4" s="1"/>
  <c r="G26" i="4" s="1"/>
  <c r="H15" i="4" s="1"/>
  <c r="H16" i="4" s="1"/>
  <c r="H17" i="4" s="1"/>
  <c r="H18" i="4" s="1"/>
  <c r="H19" i="4" s="1"/>
  <c r="H20" i="4" s="1"/>
  <c r="H21" i="4" s="1"/>
  <c r="H22" i="4" s="1"/>
  <c r="H23" i="4" s="1"/>
  <c r="H24" i="4" s="1"/>
  <c r="H25" i="4" s="1"/>
  <c r="H26" i="4" s="1"/>
  <c r="I15" i="4" s="1"/>
  <c r="I16" i="4" s="1"/>
  <c r="I17" i="4" s="1"/>
  <c r="I18" i="4" s="1"/>
  <c r="I19" i="4" s="1"/>
  <c r="I20" i="4" s="1"/>
  <c r="I21" i="4" s="1"/>
  <c r="I22" i="4" s="1"/>
  <c r="I23" i="4" s="1"/>
  <c r="I24" i="4" s="1"/>
  <c r="I25" i="4" s="1"/>
  <c r="I26" i="4" s="1"/>
  <c r="J15" i="4" s="1"/>
  <c r="J16" i="4" s="1"/>
  <c r="J17" i="4" s="1"/>
  <c r="J18" i="4" s="1"/>
  <c r="J19" i="4" s="1"/>
  <c r="J20" i="4" s="1"/>
  <c r="J21" i="4" s="1"/>
  <c r="J22" i="4" s="1"/>
  <c r="J23" i="4" s="1"/>
  <c r="J24" i="4" s="1"/>
  <c r="J25" i="4" s="1"/>
  <c r="J26" i="4" s="1"/>
  <c r="K15" i="4" s="1"/>
  <c r="K16" i="4" s="1"/>
  <c r="K17" i="4" s="1"/>
  <c r="K18" i="4" s="1"/>
  <c r="K19" i="4" s="1"/>
  <c r="K20" i="4" s="1"/>
  <c r="K21" i="4" s="1"/>
  <c r="K22" i="4" s="1"/>
  <c r="K23" i="4" s="1"/>
  <c r="K24" i="4" s="1"/>
  <c r="K25" i="4" s="1"/>
  <c r="K26" i="4" s="1"/>
  <c r="L15" i="4" s="1"/>
  <c r="L16" i="4" s="1"/>
  <c r="L17" i="4" s="1"/>
  <c r="L18" i="4" s="1"/>
  <c r="L19" i="4" s="1"/>
  <c r="L20" i="4" s="1"/>
  <c r="L21" i="4" s="1"/>
  <c r="L22" i="4" s="1"/>
  <c r="L23" i="4" s="1"/>
  <c r="L24" i="4" s="1"/>
  <c r="L25" i="4" s="1"/>
  <c r="L26" i="4" s="1"/>
  <c r="M15" i="4" s="1"/>
  <c r="M16" i="4" s="1"/>
  <c r="M17" i="4" s="1"/>
  <c r="M18" i="4" s="1"/>
  <c r="M19" i="4" s="1"/>
  <c r="M20" i="4" s="1"/>
  <c r="M21" i="4" s="1"/>
  <c r="M22" i="4" s="1"/>
  <c r="M23" i="4" s="1"/>
  <c r="M24" i="4" s="1"/>
  <c r="M25" i="4" s="1"/>
  <c r="M26" i="4" s="1"/>
  <c r="N15" i="4" s="1"/>
  <c r="N16" i="4" s="1"/>
  <c r="N17" i="4" s="1"/>
  <c r="N18" i="4" s="1"/>
  <c r="N19" i="4" s="1"/>
  <c r="N20" i="4" s="1"/>
  <c r="N21" i="4" s="1"/>
  <c r="N22" i="4" s="1"/>
  <c r="N23" i="4" s="1"/>
  <c r="N24" i="4" s="1"/>
  <c r="N25" i="4" s="1"/>
  <c r="N26" i="4" s="1"/>
  <c r="O15" i="4" s="1"/>
  <c r="O16" i="4" s="1"/>
  <c r="O17" i="4" s="1"/>
  <c r="O18" i="4" s="1"/>
  <c r="O19" i="4" s="1"/>
  <c r="O20" i="4" s="1"/>
  <c r="O21" i="4" s="1"/>
  <c r="O22" i="4" s="1"/>
  <c r="O23" i="4" s="1"/>
  <c r="O24" i="4" s="1"/>
  <c r="O25" i="4" s="1"/>
  <c r="O26" i="4" s="1"/>
  <c r="P15" i="4" s="1"/>
  <c r="P16" i="4" s="1"/>
  <c r="P17" i="4" s="1"/>
  <c r="P18" i="4" s="1"/>
  <c r="P19" i="4" s="1"/>
  <c r="P20" i="4" s="1"/>
  <c r="P21" i="4" s="1"/>
  <c r="P22" i="4" s="1"/>
  <c r="P23" i="4" s="1"/>
  <c r="P24" i="4" s="1"/>
  <c r="P25" i="4" s="1"/>
  <c r="P26" i="4" s="1"/>
  <c r="Q15" i="4" s="1"/>
  <c r="Q16" i="4" s="1"/>
  <c r="Q17" i="4" s="1"/>
  <c r="Q18" i="4" s="1"/>
  <c r="Q19" i="4" s="1"/>
  <c r="Q20" i="4" s="1"/>
  <c r="Q21" i="4" s="1"/>
  <c r="Q22" i="4" s="1"/>
  <c r="Q23" i="4" s="1"/>
  <c r="Q24" i="4" s="1"/>
  <c r="Q25" i="4" s="1"/>
  <c r="Q26" i="4" s="1"/>
  <c r="R15" i="4" s="1"/>
  <c r="R16" i="4" s="1"/>
  <c r="R17" i="4" s="1"/>
  <c r="R18" i="4" s="1"/>
  <c r="R19" i="4" s="1"/>
  <c r="R20" i="4" s="1"/>
  <c r="R21" i="4" s="1"/>
  <c r="R22" i="4" s="1"/>
  <c r="R23" i="4" s="1"/>
  <c r="R24" i="4" s="1"/>
  <c r="R25" i="4" s="1"/>
  <c r="R26" i="4" s="1"/>
  <c r="S15" i="4" s="1"/>
  <c r="S16" i="4" s="1"/>
  <c r="S17" i="4" s="1"/>
  <c r="S18" i="4" s="1"/>
  <c r="S19" i="4" s="1"/>
  <c r="S20" i="4" s="1"/>
  <c r="S21" i="4" s="1"/>
  <c r="S22" i="4" s="1"/>
  <c r="S23" i="4" s="1"/>
  <c r="S24" i="4" s="1"/>
  <c r="S25" i="4" s="1"/>
  <c r="S26" i="4" s="1"/>
  <c r="T15" i="4" s="1"/>
  <c r="T16" i="4" s="1"/>
  <c r="T17" i="4" s="1"/>
  <c r="T18" i="4" s="1"/>
  <c r="T19" i="4" s="1"/>
  <c r="T20" i="4" s="1"/>
  <c r="T21" i="4" s="1"/>
  <c r="T22" i="4" s="1"/>
  <c r="T23" i="4" s="1"/>
  <c r="T24" i="4" s="1"/>
  <c r="T25" i="4" s="1"/>
  <c r="T26" i="4" s="1"/>
  <c r="U15" i="4" s="1"/>
  <c r="U16" i="4" s="1"/>
  <c r="U17" i="4" s="1"/>
  <c r="U18" i="4" s="1"/>
  <c r="U19" i="4" s="1"/>
  <c r="U20" i="4" s="1"/>
  <c r="U21" i="4" s="1"/>
  <c r="U22" i="4" s="1"/>
  <c r="U23" i="4" s="1"/>
  <c r="U24" i="4" s="1"/>
  <c r="U25" i="4" s="1"/>
  <c r="U26" i="4" s="1"/>
  <c r="V15" i="4" s="1"/>
  <c r="V16" i="4" s="1"/>
  <c r="V17" i="4" s="1"/>
  <c r="V18" i="4" s="1"/>
  <c r="V19" i="4" s="1"/>
  <c r="V20" i="4" s="1"/>
  <c r="V21" i="4" s="1"/>
  <c r="V22" i="4" s="1"/>
  <c r="V23" i="4" s="1"/>
  <c r="V24" i="4" s="1"/>
  <c r="V25" i="4" s="1"/>
  <c r="V26" i="4" s="1"/>
  <c r="W15" i="4" s="1"/>
  <c r="W16" i="4" s="1"/>
  <c r="W17" i="4" s="1"/>
  <c r="W18" i="4" s="1"/>
  <c r="W19" i="4" s="1"/>
  <c r="W20" i="4" s="1"/>
  <c r="W21" i="4" s="1"/>
  <c r="W22" i="4" s="1"/>
  <c r="W23" i="4" s="1"/>
  <c r="W24" i="4" s="1"/>
  <c r="W25" i="4" s="1"/>
  <c r="W26" i="4" s="1"/>
  <c r="X15" i="4" s="1"/>
  <c r="X16" i="4" s="1"/>
  <c r="X17" i="4" s="1"/>
  <c r="X18" i="4" s="1"/>
  <c r="X19" i="4" s="1"/>
  <c r="X20" i="4" s="1"/>
  <c r="X21" i="4" s="1"/>
  <c r="X22" i="4" s="1"/>
  <c r="X23" i="4" s="1"/>
  <c r="X24" i="4" s="1"/>
  <c r="X25" i="4" s="1"/>
  <c r="X26" i="4" s="1"/>
  <c r="Y15" i="4" s="1"/>
  <c r="Y16" i="4" s="1"/>
  <c r="Y17" i="4" s="1"/>
  <c r="Y18" i="4" s="1"/>
  <c r="Y19" i="4" s="1"/>
  <c r="Y20" i="4" s="1"/>
  <c r="Y21" i="4" s="1"/>
  <c r="Y22" i="4" s="1"/>
  <c r="Y23" i="4" s="1"/>
  <c r="Y24" i="4" s="1"/>
  <c r="Y25" i="4" s="1"/>
  <c r="Y26" i="4" s="1"/>
  <c r="Z15" i="4" s="1"/>
  <c r="Z16" i="4" s="1"/>
  <c r="Z17" i="4" s="1"/>
  <c r="Z18" i="4" s="1"/>
  <c r="Z19" i="4" s="1"/>
  <c r="Z20" i="4" s="1"/>
  <c r="Z21" i="4" s="1"/>
  <c r="Z22" i="4" s="1"/>
  <c r="Z23" i="4" s="1"/>
  <c r="Z24" i="4" s="1"/>
  <c r="Z25" i="4" s="1"/>
  <c r="Z26" i="4" s="1"/>
  <c r="AA15" i="4" s="1"/>
  <c r="AA16" i="4" s="1"/>
  <c r="AA17" i="4" s="1"/>
  <c r="AA18" i="4" s="1"/>
  <c r="AA19" i="4" s="1"/>
  <c r="AA20" i="4" s="1"/>
  <c r="AA21" i="4" s="1"/>
  <c r="AA22" i="4" s="1"/>
  <c r="AA23" i="4" s="1"/>
  <c r="AA24" i="4" s="1"/>
  <c r="AA25" i="4" s="1"/>
  <c r="AA26" i="4" s="1"/>
  <c r="AB15" i="4" s="1"/>
  <c r="AB16" i="4" s="1"/>
  <c r="AB17" i="4" s="1"/>
  <c r="AB18" i="4" s="1"/>
  <c r="AB19" i="4" s="1"/>
  <c r="AB20" i="4" s="1"/>
  <c r="AB21" i="4" s="1"/>
  <c r="AB22" i="4" s="1"/>
  <c r="AB23" i="4" s="1"/>
  <c r="AB24" i="4" s="1"/>
  <c r="AB25" i="4" s="1"/>
  <c r="AB26" i="4" s="1"/>
  <c r="AC15" i="4" s="1"/>
  <c r="AC16" i="4" s="1"/>
  <c r="AC17" i="4" s="1"/>
  <c r="AC18" i="4" s="1"/>
  <c r="AC19" i="4" s="1"/>
  <c r="AC20" i="4" s="1"/>
  <c r="AC21" i="4" s="1"/>
  <c r="AC22" i="4" s="1"/>
  <c r="AC23" i="4" s="1"/>
  <c r="AC24" i="4" s="1"/>
  <c r="AC25" i="4" s="1"/>
  <c r="AC26" i="4" s="1"/>
  <c r="AD15" i="4" s="1"/>
  <c r="AD16" i="4" s="1"/>
  <c r="AD17" i="4" s="1"/>
  <c r="AD18" i="4" s="1"/>
  <c r="AD19" i="4" s="1"/>
  <c r="AD20" i="4" s="1"/>
  <c r="AD21" i="4" s="1"/>
  <c r="AD22" i="4" s="1"/>
  <c r="AD23" i="4" s="1"/>
  <c r="AD24" i="4" s="1"/>
  <c r="AD25" i="4" s="1"/>
  <c r="AD26" i="4" s="1"/>
  <c r="AE15" i="4" s="1"/>
  <c r="AE16" i="4" s="1"/>
  <c r="AE17" i="4" s="1"/>
  <c r="AE18" i="4" s="1"/>
  <c r="AE19" i="4" s="1"/>
  <c r="AE20" i="4" s="1"/>
  <c r="AE21" i="4" s="1"/>
  <c r="AE22" i="4" s="1"/>
  <c r="AE23" i="4" s="1"/>
  <c r="AE24" i="4" s="1"/>
  <c r="AE25" i="4" s="1"/>
  <c r="AE26" i="4" s="1"/>
  <c r="A156" i="5"/>
  <c r="A155" i="5"/>
  <c r="A154" i="5"/>
  <c r="A153" i="5"/>
  <c r="A137" i="5"/>
  <c r="A136" i="5"/>
  <c r="A135" i="5"/>
  <c r="A134" i="5"/>
  <c r="A118" i="5"/>
  <c r="A117" i="5"/>
  <c r="A116" i="5"/>
  <c r="A115" i="5"/>
  <c r="A99" i="5"/>
  <c r="A98" i="5"/>
  <c r="A97" i="5"/>
  <c r="A96" i="5"/>
  <c r="A80" i="5"/>
  <c r="A79" i="5"/>
  <c r="A78" i="5"/>
  <c r="A77" i="5"/>
  <c r="A61" i="5"/>
  <c r="A60" i="5"/>
  <c r="A59" i="5"/>
  <c r="A58" i="5"/>
  <c r="A42" i="5"/>
  <c r="A41" i="5"/>
  <c r="A40" i="5"/>
  <c r="A39" i="5"/>
  <c r="A19" i="5"/>
  <c r="A18" i="5"/>
  <c r="A17" i="5"/>
  <c r="A16" i="5"/>
  <c r="A156" i="4"/>
  <c r="A155" i="4"/>
  <c r="A154" i="4"/>
  <c r="A153" i="4"/>
  <c r="A137" i="4"/>
  <c r="A136" i="4"/>
  <c r="A135" i="4"/>
  <c r="A134" i="4"/>
  <c r="A118" i="4"/>
  <c r="A117" i="4"/>
  <c r="A116" i="4"/>
  <c r="A115" i="4"/>
  <c r="A99" i="4"/>
  <c r="A98" i="4"/>
  <c r="A97" i="4"/>
  <c r="A96" i="4"/>
  <c r="A80" i="4"/>
  <c r="A79" i="4"/>
  <c r="A78" i="4"/>
  <c r="A77" i="4"/>
  <c r="A61" i="4"/>
  <c r="A60" i="4"/>
  <c r="A59" i="4"/>
  <c r="A58" i="4"/>
  <c r="A42" i="4"/>
  <c r="A41" i="4"/>
  <c r="A40" i="4"/>
  <c r="A39" i="4"/>
  <c r="A19" i="4"/>
  <c r="A18" i="4"/>
  <c r="A17" i="4"/>
  <c r="A16" i="4"/>
  <c r="AI151" i="3"/>
  <c r="AI152" i="3" s="1"/>
  <c r="AI153" i="3" s="1"/>
  <c r="AI154" i="3" s="1"/>
  <c r="AI155" i="3" s="1"/>
  <c r="AI156" i="3" s="1"/>
  <c r="AI157" i="3" s="1"/>
  <c r="AI158" i="3" s="1"/>
  <c r="AI159" i="3" s="1"/>
  <c r="AI160" i="3" s="1"/>
  <c r="AI161" i="3" s="1"/>
  <c r="AI162" i="3" s="1"/>
  <c r="AJ151" i="3" s="1"/>
  <c r="AJ152" i="3" s="1"/>
  <c r="AJ153" i="3" s="1"/>
  <c r="AJ154" i="3" s="1"/>
  <c r="AJ155" i="3" s="1"/>
  <c r="AJ156" i="3" s="1"/>
  <c r="AJ157" i="3" s="1"/>
  <c r="AJ158" i="3" s="1"/>
  <c r="AJ159" i="3" s="1"/>
  <c r="AJ160" i="3" s="1"/>
  <c r="AJ161" i="3" s="1"/>
  <c r="AJ162" i="3" s="1"/>
  <c r="AK151" i="3" s="1"/>
  <c r="AK152" i="3" s="1"/>
  <c r="AK153" i="3" s="1"/>
  <c r="AK154" i="3" s="1"/>
  <c r="AK155" i="3" s="1"/>
  <c r="AK156" i="3" s="1"/>
  <c r="AK157" i="3" s="1"/>
  <c r="AK158" i="3" s="1"/>
  <c r="AK159" i="3" s="1"/>
  <c r="AK160" i="3" s="1"/>
  <c r="AK161" i="3" s="1"/>
  <c r="AK162" i="3" s="1"/>
  <c r="AL151" i="3" s="1"/>
  <c r="AL152" i="3" s="1"/>
  <c r="AL153" i="3" s="1"/>
  <c r="AL154" i="3" s="1"/>
  <c r="AL155" i="3" s="1"/>
  <c r="AL156" i="3" s="1"/>
  <c r="AL157" i="3" s="1"/>
  <c r="AL158" i="3" s="1"/>
  <c r="AL159" i="3" s="1"/>
  <c r="AL160" i="3" s="1"/>
  <c r="AL161" i="3" s="1"/>
  <c r="AL162" i="3" s="1"/>
  <c r="AM151" i="3" s="1"/>
  <c r="AM152" i="3" s="1"/>
  <c r="AM153" i="3" s="1"/>
  <c r="AM154" i="3" s="1"/>
  <c r="AM155" i="3" s="1"/>
  <c r="AM156" i="3" s="1"/>
  <c r="AM157" i="3" s="1"/>
  <c r="AM158" i="3" s="1"/>
  <c r="AM159" i="3" s="1"/>
  <c r="AM160" i="3" s="1"/>
  <c r="AM161" i="3" s="1"/>
  <c r="AM162" i="3" s="1"/>
  <c r="AN151" i="3" s="1"/>
  <c r="AN152" i="3" s="1"/>
  <c r="AN153" i="3" s="1"/>
  <c r="AN154" i="3" s="1"/>
  <c r="AN155" i="3" s="1"/>
  <c r="AN156" i="3" s="1"/>
  <c r="AN157" i="3" s="1"/>
  <c r="AN158" i="3" s="1"/>
  <c r="AN159" i="3" s="1"/>
  <c r="AN160" i="3" s="1"/>
  <c r="AN161" i="3" s="1"/>
  <c r="AN162" i="3" s="1"/>
  <c r="AO151" i="3" s="1"/>
  <c r="AO152" i="3" s="1"/>
  <c r="AO153" i="3" s="1"/>
  <c r="AO154" i="3" s="1"/>
  <c r="AO155" i="3" s="1"/>
  <c r="AO156" i="3" s="1"/>
  <c r="AO157" i="3" s="1"/>
  <c r="AO158" i="3" s="1"/>
  <c r="AO159" i="3" s="1"/>
  <c r="AO160" i="3" s="1"/>
  <c r="AO161" i="3" s="1"/>
  <c r="AO162" i="3" s="1"/>
  <c r="AP151" i="3" s="1"/>
  <c r="AP152" i="3" s="1"/>
  <c r="AP153" i="3" s="1"/>
  <c r="AP154" i="3" s="1"/>
  <c r="AP155" i="3" s="1"/>
  <c r="AP156" i="3" s="1"/>
  <c r="AP157" i="3" s="1"/>
  <c r="AP158" i="3" s="1"/>
  <c r="AP159" i="3" s="1"/>
  <c r="AP160" i="3" s="1"/>
  <c r="AP161" i="3" s="1"/>
  <c r="AP162" i="3" s="1"/>
  <c r="AQ151" i="3" s="1"/>
  <c r="AQ152" i="3" s="1"/>
  <c r="AQ153" i="3" s="1"/>
  <c r="AQ154" i="3" s="1"/>
  <c r="AQ155" i="3" s="1"/>
  <c r="AQ156" i="3" s="1"/>
  <c r="AQ157" i="3" s="1"/>
  <c r="AQ158" i="3" s="1"/>
  <c r="AQ159" i="3" s="1"/>
  <c r="AQ160" i="3" s="1"/>
  <c r="AQ161" i="3" s="1"/>
  <c r="AQ162" i="3" s="1"/>
  <c r="AR151" i="3" s="1"/>
  <c r="AR152" i="3" s="1"/>
  <c r="AR153" i="3" s="1"/>
  <c r="AR154" i="3" s="1"/>
  <c r="AR155" i="3" s="1"/>
  <c r="AR156" i="3" s="1"/>
  <c r="AR157" i="3" s="1"/>
  <c r="AR158" i="3" s="1"/>
  <c r="AR159" i="3" s="1"/>
  <c r="AR160" i="3" s="1"/>
  <c r="AR161" i="3" s="1"/>
  <c r="AR162" i="3" s="1"/>
  <c r="AS151" i="3" s="1"/>
  <c r="AS152" i="3" s="1"/>
  <c r="AS153" i="3" s="1"/>
  <c r="AS154" i="3" s="1"/>
  <c r="AS155" i="3" s="1"/>
  <c r="AS156" i="3" s="1"/>
  <c r="AS157" i="3" s="1"/>
  <c r="AS158" i="3" s="1"/>
  <c r="AS159" i="3" s="1"/>
  <c r="AS160" i="3" s="1"/>
  <c r="AS161" i="3" s="1"/>
  <c r="AS162" i="3" s="1"/>
  <c r="AT151" i="3" s="1"/>
  <c r="AT152" i="3" s="1"/>
  <c r="AT153" i="3" s="1"/>
  <c r="AT154" i="3" s="1"/>
  <c r="AT155" i="3" s="1"/>
  <c r="AT156" i="3" s="1"/>
  <c r="AT157" i="3" s="1"/>
  <c r="AT158" i="3" s="1"/>
  <c r="AT159" i="3" s="1"/>
  <c r="AT160" i="3" s="1"/>
  <c r="AT161" i="3" s="1"/>
  <c r="AT162" i="3" s="1"/>
  <c r="AU151" i="3" s="1"/>
  <c r="AU152" i="3" s="1"/>
  <c r="AU153" i="3" s="1"/>
  <c r="AU154" i="3" s="1"/>
  <c r="AU155" i="3" s="1"/>
  <c r="AU156" i="3" s="1"/>
  <c r="AU157" i="3" s="1"/>
  <c r="AU158" i="3" s="1"/>
  <c r="AU159" i="3" s="1"/>
  <c r="AU160" i="3" s="1"/>
  <c r="AU161" i="3" s="1"/>
  <c r="AU162" i="3" s="1"/>
  <c r="AV151" i="3" s="1"/>
  <c r="AV152" i="3" s="1"/>
  <c r="AV153" i="3" s="1"/>
  <c r="AV154" i="3" s="1"/>
  <c r="AV155" i="3" s="1"/>
  <c r="AV156" i="3" s="1"/>
  <c r="AV157" i="3" s="1"/>
  <c r="AV158" i="3" s="1"/>
  <c r="AV159" i="3" s="1"/>
  <c r="AV160" i="3" s="1"/>
  <c r="AV161" i="3" s="1"/>
  <c r="AV162" i="3" s="1"/>
  <c r="AW151" i="3" s="1"/>
  <c r="AW152" i="3" s="1"/>
  <c r="AW153" i="3" s="1"/>
  <c r="AW154" i="3" s="1"/>
  <c r="AW155" i="3" s="1"/>
  <c r="AW156" i="3" s="1"/>
  <c r="AW157" i="3" s="1"/>
  <c r="AW158" i="3" s="1"/>
  <c r="AW159" i="3" s="1"/>
  <c r="AW160" i="3" s="1"/>
  <c r="AW161" i="3" s="1"/>
  <c r="AW162" i="3" s="1"/>
  <c r="AX151" i="3" s="1"/>
  <c r="AX152" i="3" s="1"/>
  <c r="AX153" i="3" s="1"/>
  <c r="AX154" i="3" s="1"/>
  <c r="AX155" i="3" s="1"/>
  <c r="AX156" i="3" s="1"/>
  <c r="AX157" i="3" s="1"/>
  <c r="AX158" i="3" s="1"/>
  <c r="AX159" i="3" s="1"/>
  <c r="AX160" i="3" s="1"/>
  <c r="AX161" i="3" s="1"/>
  <c r="AX162" i="3" s="1"/>
  <c r="AY151" i="3" s="1"/>
  <c r="AY152" i="3" s="1"/>
  <c r="AY153" i="3" s="1"/>
  <c r="AY154" i="3" s="1"/>
  <c r="AY155" i="3" s="1"/>
  <c r="AY156" i="3" s="1"/>
  <c r="AY157" i="3" s="1"/>
  <c r="AY158" i="3" s="1"/>
  <c r="AY159" i="3" s="1"/>
  <c r="AY160" i="3" s="1"/>
  <c r="AY161" i="3" s="1"/>
  <c r="AY162" i="3" s="1"/>
  <c r="AZ151" i="3" s="1"/>
  <c r="AZ152" i="3" s="1"/>
  <c r="AZ153" i="3" s="1"/>
  <c r="AZ154" i="3" s="1"/>
  <c r="AZ155" i="3" s="1"/>
  <c r="AZ156" i="3" s="1"/>
  <c r="AZ157" i="3" s="1"/>
  <c r="AZ158" i="3" s="1"/>
  <c r="AZ159" i="3" s="1"/>
  <c r="AZ160" i="3" s="1"/>
  <c r="AZ161" i="3" s="1"/>
  <c r="AZ162" i="3" s="1"/>
  <c r="BA151" i="3" s="1"/>
  <c r="BA152" i="3" s="1"/>
  <c r="BA153" i="3" s="1"/>
  <c r="BA154" i="3" s="1"/>
  <c r="BA155" i="3" s="1"/>
  <c r="BA156" i="3" s="1"/>
  <c r="BA157" i="3" s="1"/>
  <c r="BA158" i="3" s="1"/>
  <c r="BA159" i="3" s="1"/>
  <c r="BA160" i="3" s="1"/>
  <c r="BA161" i="3" s="1"/>
  <c r="BA162" i="3" s="1"/>
  <c r="BB151" i="3" s="1"/>
  <c r="BB152" i="3" s="1"/>
  <c r="BB153" i="3" s="1"/>
  <c r="BB154" i="3" s="1"/>
  <c r="BB155" i="3" s="1"/>
  <c r="BB156" i="3" s="1"/>
  <c r="BB157" i="3" s="1"/>
  <c r="BB158" i="3" s="1"/>
  <c r="BB159" i="3" s="1"/>
  <c r="BB160" i="3" s="1"/>
  <c r="BB161" i="3" s="1"/>
  <c r="BB162" i="3" s="1"/>
  <c r="BC151" i="3" s="1"/>
  <c r="BC152" i="3" s="1"/>
  <c r="BC153" i="3" s="1"/>
  <c r="BC154" i="3" s="1"/>
  <c r="BC155" i="3" s="1"/>
  <c r="BC156" i="3" s="1"/>
  <c r="BC157" i="3" s="1"/>
  <c r="BC158" i="3" s="1"/>
  <c r="BC159" i="3" s="1"/>
  <c r="BC160" i="3" s="1"/>
  <c r="BC161" i="3" s="1"/>
  <c r="BC162" i="3" s="1"/>
  <c r="BD151" i="3" s="1"/>
  <c r="BD152" i="3" s="1"/>
  <c r="BD153" i="3" s="1"/>
  <c r="BD154" i="3" s="1"/>
  <c r="BD155" i="3" s="1"/>
  <c r="BD156" i="3" s="1"/>
  <c r="BD157" i="3" s="1"/>
  <c r="BD158" i="3" s="1"/>
  <c r="BD159" i="3" s="1"/>
  <c r="BD160" i="3" s="1"/>
  <c r="BD161" i="3" s="1"/>
  <c r="BD162" i="3" s="1"/>
  <c r="BE151" i="3" s="1"/>
  <c r="BE152" i="3" s="1"/>
  <c r="BE153" i="3" s="1"/>
  <c r="BE154" i="3" s="1"/>
  <c r="BE155" i="3" s="1"/>
  <c r="BE156" i="3" s="1"/>
  <c r="BE157" i="3" s="1"/>
  <c r="BE158" i="3" s="1"/>
  <c r="BE159" i="3" s="1"/>
  <c r="BE160" i="3" s="1"/>
  <c r="BE161" i="3" s="1"/>
  <c r="BE162" i="3" s="1"/>
  <c r="BF151" i="3" s="1"/>
  <c r="BF152" i="3" s="1"/>
  <c r="BF153" i="3" s="1"/>
  <c r="BF154" i="3" s="1"/>
  <c r="BF155" i="3" s="1"/>
  <c r="BF156" i="3" s="1"/>
  <c r="BF157" i="3" s="1"/>
  <c r="BF158" i="3" s="1"/>
  <c r="BF159" i="3" s="1"/>
  <c r="BF160" i="3" s="1"/>
  <c r="BF161" i="3" s="1"/>
  <c r="BF162" i="3" s="1"/>
  <c r="BG151" i="3" s="1"/>
  <c r="BG152" i="3" s="1"/>
  <c r="BG153" i="3" s="1"/>
  <c r="BG154" i="3" s="1"/>
  <c r="BG155" i="3" s="1"/>
  <c r="BG156" i="3" s="1"/>
  <c r="BG157" i="3" s="1"/>
  <c r="BG158" i="3" s="1"/>
  <c r="BG159" i="3" s="1"/>
  <c r="BG160" i="3" s="1"/>
  <c r="BG161" i="3" s="1"/>
  <c r="BG162" i="3" s="1"/>
  <c r="BH151" i="3" s="1"/>
  <c r="BH152" i="3" s="1"/>
  <c r="BH153" i="3" s="1"/>
  <c r="BH154" i="3" s="1"/>
  <c r="BH155" i="3" s="1"/>
  <c r="BH156" i="3" s="1"/>
  <c r="BH157" i="3" s="1"/>
  <c r="BH158" i="3" s="1"/>
  <c r="BH159" i="3" s="1"/>
  <c r="BH160" i="3" s="1"/>
  <c r="BH161" i="3" s="1"/>
  <c r="BH162" i="3" s="1"/>
  <c r="BI151" i="3" s="1"/>
  <c r="BI152" i="3" s="1"/>
  <c r="BI153" i="3" s="1"/>
  <c r="BI154" i="3" s="1"/>
  <c r="BI155" i="3" s="1"/>
  <c r="BI156" i="3" s="1"/>
  <c r="BI157" i="3" s="1"/>
  <c r="BI158" i="3" s="1"/>
  <c r="BI159" i="3" s="1"/>
  <c r="BI160" i="3" s="1"/>
  <c r="BI161" i="3" s="1"/>
  <c r="BI162" i="3" s="1"/>
  <c r="BJ151" i="3" s="1"/>
  <c r="BJ152" i="3" s="1"/>
  <c r="BJ153" i="3" s="1"/>
  <c r="BJ154" i="3" s="1"/>
  <c r="BJ155" i="3" s="1"/>
  <c r="BJ156" i="3" s="1"/>
  <c r="BJ157" i="3" s="1"/>
  <c r="BJ158" i="3" s="1"/>
  <c r="BJ159" i="3" s="1"/>
  <c r="BJ160" i="3" s="1"/>
  <c r="BJ161" i="3" s="1"/>
  <c r="BJ162" i="3" s="1"/>
  <c r="D151" i="3"/>
  <c r="D152" i="3" s="1"/>
  <c r="D153" i="3" s="1"/>
  <c r="D154" i="3" s="1"/>
  <c r="D155" i="3" s="1"/>
  <c r="D156" i="3" s="1"/>
  <c r="D157" i="3" s="1"/>
  <c r="D158" i="3" s="1"/>
  <c r="D159" i="3" s="1"/>
  <c r="D160" i="3" s="1"/>
  <c r="D161" i="3" s="1"/>
  <c r="D162" i="3" s="1"/>
  <c r="E151" i="3" s="1"/>
  <c r="E152" i="3" s="1"/>
  <c r="E153" i="3" s="1"/>
  <c r="E154" i="3" s="1"/>
  <c r="E155" i="3" s="1"/>
  <c r="E156" i="3" s="1"/>
  <c r="E157" i="3" s="1"/>
  <c r="E158" i="3" s="1"/>
  <c r="E159" i="3" s="1"/>
  <c r="E160" i="3" s="1"/>
  <c r="E161" i="3" s="1"/>
  <c r="E162" i="3" s="1"/>
  <c r="F151" i="3" s="1"/>
  <c r="F152" i="3" s="1"/>
  <c r="F153" i="3" s="1"/>
  <c r="F154" i="3" s="1"/>
  <c r="F155" i="3" s="1"/>
  <c r="F156" i="3" s="1"/>
  <c r="F157" i="3" s="1"/>
  <c r="F158" i="3" s="1"/>
  <c r="F159" i="3" s="1"/>
  <c r="F160" i="3" s="1"/>
  <c r="F161" i="3" s="1"/>
  <c r="F162" i="3" s="1"/>
  <c r="G151" i="3" s="1"/>
  <c r="G152" i="3" s="1"/>
  <c r="G153" i="3" s="1"/>
  <c r="G154" i="3" s="1"/>
  <c r="G155" i="3" s="1"/>
  <c r="G156" i="3" s="1"/>
  <c r="G157" i="3" s="1"/>
  <c r="AI132" i="3"/>
  <c r="AI133" i="3" s="1"/>
  <c r="AI134" i="3" s="1"/>
  <c r="AI135" i="3" s="1"/>
  <c r="AI136" i="3" s="1"/>
  <c r="AI137" i="3" s="1"/>
  <c r="AI138" i="3" s="1"/>
  <c r="AI139" i="3" s="1"/>
  <c r="AI140" i="3" s="1"/>
  <c r="AI141" i="3" s="1"/>
  <c r="AI142" i="3" s="1"/>
  <c r="AI143" i="3" s="1"/>
  <c r="AJ132" i="3" s="1"/>
  <c r="AJ133" i="3" s="1"/>
  <c r="AJ134" i="3" s="1"/>
  <c r="AJ135" i="3" s="1"/>
  <c r="AJ136" i="3" s="1"/>
  <c r="AJ137" i="3" s="1"/>
  <c r="AJ138" i="3" s="1"/>
  <c r="AJ139" i="3" s="1"/>
  <c r="AJ140" i="3" s="1"/>
  <c r="AJ141" i="3" s="1"/>
  <c r="AJ142" i="3" s="1"/>
  <c r="AJ143" i="3" s="1"/>
  <c r="AK132" i="3" s="1"/>
  <c r="AK133" i="3" s="1"/>
  <c r="AK134" i="3" s="1"/>
  <c r="AK135" i="3" s="1"/>
  <c r="AK136" i="3" s="1"/>
  <c r="AK137" i="3" s="1"/>
  <c r="AK138" i="3" s="1"/>
  <c r="AK139" i="3" s="1"/>
  <c r="AK140" i="3" s="1"/>
  <c r="AK141" i="3" s="1"/>
  <c r="AK142" i="3" s="1"/>
  <c r="AK143" i="3" s="1"/>
  <c r="AL132" i="3" s="1"/>
  <c r="AL133" i="3" s="1"/>
  <c r="AL134" i="3" s="1"/>
  <c r="AL135" i="3" s="1"/>
  <c r="AL136" i="3" s="1"/>
  <c r="AL137" i="3" s="1"/>
  <c r="AL138" i="3" s="1"/>
  <c r="AL139" i="3" s="1"/>
  <c r="AL140" i="3" s="1"/>
  <c r="AL141" i="3" s="1"/>
  <c r="AL142" i="3" s="1"/>
  <c r="AL143" i="3" s="1"/>
  <c r="AM132" i="3" s="1"/>
  <c r="AM133" i="3" s="1"/>
  <c r="AM134" i="3" s="1"/>
  <c r="AM135" i="3" s="1"/>
  <c r="AM136" i="3" s="1"/>
  <c r="AM137" i="3" s="1"/>
  <c r="AM138" i="3" s="1"/>
  <c r="AM139" i="3" s="1"/>
  <c r="AM140" i="3" s="1"/>
  <c r="AM141" i="3" s="1"/>
  <c r="AM142" i="3" s="1"/>
  <c r="AM143" i="3" s="1"/>
  <c r="AN132" i="3" s="1"/>
  <c r="AN133" i="3" s="1"/>
  <c r="AN134" i="3" s="1"/>
  <c r="AN135" i="3" s="1"/>
  <c r="AN136" i="3" s="1"/>
  <c r="AN137" i="3" s="1"/>
  <c r="AN138" i="3" s="1"/>
  <c r="AN139" i="3" s="1"/>
  <c r="AN140" i="3" s="1"/>
  <c r="AN141" i="3" s="1"/>
  <c r="AN142" i="3" s="1"/>
  <c r="AN143" i="3" s="1"/>
  <c r="AO132" i="3" s="1"/>
  <c r="AO133" i="3" s="1"/>
  <c r="AO134" i="3" s="1"/>
  <c r="AO135" i="3" s="1"/>
  <c r="AO136" i="3" s="1"/>
  <c r="AO137" i="3" s="1"/>
  <c r="AO138" i="3" s="1"/>
  <c r="AO139" i="3" s="1"/>
  <c r="AO140" i="3" s="1"/>
  <c r="AO141" i="3" s="1"/>
  <c r="AO142" i="3" s="1"/>
  <c r="AO143" i="3" s="1"/>
  <c r="AP132" i="3" s="1"/>
  <c r="AP133" i="3" s="1"/>
  <c r="AP134" i="3" s="1"/>
  <c r="AP135" i="3" s="1"/>
  <c r="AP136" i="3" s="1"/>
  <c r="AP137" i="3" s="1"/>
  <c r="AP138" i="3" s="1"/>
  <c r="AP139" i="3" s="1"/>
  <c r="AP140" i="3" s="1"/>
  <c r="AP141" i="3" s="1"/>
  <c r="AP142" i="3" s="1"/>
  <c r="AP143" i="3" s="1"/>
  <c r="AQ132" i="3" s="1"/>
  <c r="AQ133" i="3" s="1"/>
  <c r="AQ134" i="3" s="1"/>
  <c r="AQ135" i="3" s="1"/>
  <c r="AQ136" i="3" s="1"/>
  <c r="AQ137" i="3" s="1"/>
  <c r="AQ138" i="3" s="1"/>
  <c r="AQ139" i="3" s="1"/>
  <c r="AQ140" i="3" s="1"/>
  <c r="AQ141" i="3" s="1"/>
  <c r="AQ142" i="3" s="1"/>
  <c r="AQ143" i="3" s="1"/>
  <c r="AR132" i="3" s="1"/>
  <c r="AR133" i="3" s="1"/>
  <c r="AR134" i="3" s="1"/>
  <c r="AR135" i="3" s="1"/>
  <c r="AR136" i="3" s="1"/>
  <c r="AR137" i="3" s="1"/>
  <c r="AR138" i="3" s="1"/>
  <c r="AR139" i="3" s="1"/>
  <c r="AR140" i="3" s="1"/>
  <c r="AR141" i="3" s="1"/>
  <c r="AR142" i="3" s="1"/>
  <c r="AR143" i="3" s="1"/>
  <c r="AS132" i="3" s="1"/>
  <c r="AS133" i="3" s="1"/>
  <c r="AS134" i="3" s="1"/>
  <c r="AS135" i="3" s="1"/>
  <c r="AS136" i="3" s="1"/>
  <c r="AS137" i="3" s="1"/>
  <c r="AS138" i="3" s="1"/>
  <c r="AS139" i="3" s="1"/>
  <c r="AS140" i="3" s="1"/>
  <c r="AS141" i="3" s="1"/>
  <c r="AS142" i="3" s="1"/>
  <c r="AS143" i="3" s="1"/>
  <c r="AT132" i="3" s="1"/>
  <c r="AT133" i="3" s="1"/>
  <c r="AT134" i="3" s="1"/>
  <c r="AT135" i="3" s="1"/>
  <c r="AT136" i="3" s="1"/>
  <c r="AT137" i="3" s="1"/>
  <c r="AT138" i="3" s="1"/>
  <c r="AT139" i="3" s="1"/>
  <c r="AT140" i="3" s="1"/>
  <c r="AT141" i="3" s="1"/>
  <c r="AT142" i="3" s="1"/>
  <c r="AT143" i="3" s="1"/>
  <c r="AU132" i="3" s="1"/>
  <c r="AU133" i="3" s="1"/>
  <c r="AU134" i="3" s="1"/>
  <c r="AU135" i="3" s="1"/>
  <c r="AU136" i="3" s="1"/>
  <c r="AU137" i="3" s="1"/>
  <c r="AU138" i="3" s="1"/>
  <c r="AU139" i="3" s="1"/>
  <c r="AU140" i="3" s="1"/>
  <c r="AU141" i="3" s="1"/>
  <c r="AU142" i="3" s="1"/>
  <c r="AU143" i="3" s="1"/>
  <c r="AV132" i="3" s="1"/>
  <c r="AV133" i="3" s="1"/>
  <c r="AV134" i="3" s="1"/>
  <c r="AV135" i="3" s="1"/>
  <c r="AV136" i="3" s="1"/>
  <c r="AV137" i="3" s="1"/>
  <c r="AV138" i="3" s="1"/>
  <c r="AV139" i="3" s="1"/>
  <c r="AV140" i="3" s="1"/>
  <c r="AV141" i="3" s="1"/>
  <c r="AV142" i="3" s="1"/>
  <c r="AV143" i="3" s="1"/>
  <c r="AW132" i="3" s="1"/>
  <c r="AW133" i="3" s="1"/>
  <c r="AW134" i="3" s="1"/>
  <c r="AW135" i="3" s="1"/>
  <c r="AW136" i="3" s="1"/>
  <c r="AW137" i="3" s="1"/>
  <c r="AW138" i="3" s="1"/>
  <c r="AW139" i="3" s="1"/>
  <c r="AW140" i="3" s="1"/>
  <c r="AW141" i="3" s="1"/>
  <c r="AW142" i="3" s="1"/>
  <c r="AW143" i="3" s="1"/>
  <c r="AX132" i="3" s="1"/>
  <c r="AX133" i="3" s="1"/>
  <c r="AX134" i="3" s="1"/>
  <c r="AX135" i="3" s="1"/>
  <c r="AX136" i="3" s="1"/>
  <c r="AX137" i="3" s="1"/>
  <c r="AX138" i="3" s="1"/>
  <c r="AX139" i="3" s="1"/>
  <c r="AX140" i="3" s="1"/>
  <c r="AX141" i="3" s="1"/>
  <c r="AX142" i="3" s="1"/>
  <c r="AX143" i="3" s="1"/>
  <c r="AY132" i="3" s="1"/>
  <c r="AY133" i="3" s="1"/>
  <c r="AY134" i="3" s="1"/>
  <c r="AY135" i="3" s="1"/>
  <c r="AY136" i="3" s="1"/>
  <c r="AY137" i="3" s="1"/>
  <c r="AY138" i="3" s="1"/>
  <c r="AY139" i="3" s="1"/>
  <c r="AY140" i="3" s="1"/>
  <c r="AY141" i="3" s="1"/>
  <c r="AY142" i="3" s="1"/>
  <c r="AY143" i="3" s="1"/>
  <c r="AZ132" i="3" s="1"/>
  <c r="AZ133" i="3" s="1"/>
  <c r="AZ134" i="3" s="1"/>
  <c r="AZ135" i="3" s="1"/>
  <c r="AZ136" i="3" s="1"/>
  <c r="AZ137" i="3" s="1"/>
  <c r="AZ138" i="3" s="1"/>
  <c r="AZ139" i="3" s="1"/>
  <c r="AZ140" i="3" s="1"/>
  <c r="AZ141" i="3" s="1"/>
  <c r="AZ142" i="3" s="1"/>
  <c r="AZ143" i="3" s="1"/>
  <c r="BA132" i="3" s="1"/>
  <c r="BA133" i="3" s="1"/>
  <c r="BA134" i="3" s="1"/>
  <c r="BA135" i="3" s="1"/>
  <c r="BA136" i="3" s="1"/>
  <c r="BA137" i="3" s="1"/>
  <c r="BA138" i="3" s="1"/>
  <c r="BA139" i="3" s="1"/>
  <c r="BA140" i="3" s="1"/>
  <c r="BA141" i="3" s="1"/>
  <c r="BA142" i="3" s="1"/>
  <c r="BA143" i="3" s="1"/>
  <c r="BB132" i="3" s="1"/>
  <c r="BB133" i="3" s="1"/>
  <c r="BB134" i="3" s="1"/>
  <c r="BB135" i="3" s="1"/>
  <c r="BB136" i="3" s="1"/>
  <c r="BB137" i="3" s="1"/>
  <c r="BB138" i="3" s="1"/>
  <c r="BB139" i="3" s="1"/>
  <c r="BB140" i="3" s="1"/>
  <c r="BB141" i="3" s="1"/>
  <c r="BB142" i="3" s="1"/>
  <c r="BB143" i="3" s="1"/>
  <c r="BC132" i="3" s="1"/>
  <c r="BC133" i="3" s="1"/>
  <c r="BC134" i="3" s="1"/>
  <c r="BC135" i="3" s="1"/>
  <c r="BC136" i="3" s="1"/>
  <c r="BC137" i="3" s="1"/>
  <c r="BC138" i="3" s="1"/>
  <c r="BC139" i="3" s="1"/>
  <c r="BC140" i="3" s="1"/>
  <c r="BC141" i="3" s="1"/>
  <c r="BC142" i="3" s="1"/>
  <c r="BC143" i="3" s="1"/>
  <c r="BD132" i="3" s="1"/>
  <c r="BD133" i="3" s="1"/>
  <c r="BD134" i="3" s="1"/>
  <c r="BD135" i="3" s="1"/>
  <c r="BD136" i="3" s="1"/>
  <c r="BD137" i="3" s="1"/>
  <c r="BD138" i="3" s="1"/>
  <c r="BD139" i="3" s="1"/>
  <c r="BD140" i="3" s="1"/>
  <c r="BD141" i="3" s="1"/>
  <c r="BD142" i="3" s="1"/>
  <c r="BD143" i="3" s="1"/>
  <c r="BE132" i="3" s="1"/>
  <c r="BE133" i="3" s="1"/>
  <c r="BE134" i="3" s="1"/>
  <c r="BE135" i="3" s="1"/>
  <c r="BE136" i="3" s="1"/>
  <c r="BE137" i="3" s="1"/>
  <c r="BE138" i="3" s="1"/>
  <c r="BE139" i="3" s="1"/>
  <c r="BE140" i="3" s="1"/>
  <c r="BE141" i="3" s="1"/>
  <c r="BE142" i="3" s="1"/>
  <c r="BE143" i="3" s="1"/>
  <c r="BF132" i="3" s="1"/>
  <c r="BF133" i="3" s="1"/>
  <c r="BF134" i="3" s="1"/>
  <c r="BF135" i="3" s="1"/>
  <c r="BF136" i="3" s="1"/>
  <c r="BF137" i="3" s="1"/>
  <c r="BF138" i="3" s="1"/>
  <c r="BF139" i="3" s="1"/>
  <c r="BF140" i="3" s="1"/>
  <c r="BF141" i="3" s="1"/>
  <c r="BF142" i="3" s="1"/>
  <c r="BF143" i="3" s="1"/>
  <c r="BG132" i="3" s="1"/>
  <c r="BG133" i="3" s="1"/>
  <c r="BG134" i="3" s="1"/>
  <c r="BG135" i="3" s="1"/>
  <c r="BG136" i="3" s="1"/>
  <c r="BG137" i="3" s="1"/>
  <c r="BG138" i="3" s="1"/>
  <c r="BG139" i="3" s="1"/>
  <c r="BG140" i="3" s="1"/>
  <c r="BG141" i="3" s="1"/>
  <c r="BG142" i="3" s="1"/>
  <c r="BG143" i="3" s="1"/>
  <c r="BH132" i="3" s="1"/>
  <c r="BH133" i="3" s="1"/>
  <c r="BH134" i="3" s="1"/>
  <c r="BH135" i="3" s="1"/>
  <c r="BH136" i="3" s="1"/>
  <c r="BH137" i="3" s="1"/>
  <c r="BH138" i="3" s="1"/>
  <c r="BH139" i="3" s="1"/>
  <c r="BH140" i="3" s="1"/>
  <c r="BH141" i="3" s="1"/>
  <c r="BH142" i="3" s="1"/>
  <c r="BH143" i="3" s="1"/>
  <c r="BI132" i="3" s="1"/>
  <c r="BI133" i="3" s="1"/>
  <c r="BI134" i="3" s="1"/>
  <c r="BI135" i="3" s="1"/>
  <c r="BI136" i="3" s="1"/>
  <c r="BI137" i="3" s="1"/>
  <c r="BI138" i="3" s="1"/>
  <c r="BI139" i="3" s="1"/>
  <c r="BI140" i="3" s="1"/>
  <c r="BI141" i="3" s="1"/>
  <c r="BI142" i="3" s="1"/>
  <c r="BI143" i="3" s="1"/>
  <c r="BJ132" i="3" s="1"/>
  <c r="BJ133" i="3" s="1"/>
  <c r="BJ134" i="3" s="1"/>
  <c r="BJ135" i="3" s="1"/>
  <c r="BJ136" i="3" s="1"/>
  <c r="BJ137" i="3" s="1"/>
  <c r="BJ138" i="3" s="1"/>
  <c r="BJ139" i="3" s="1"/>
  <c r="BJ140" i="3" s="1"/>
  <c r="BJ141" i="3" s="1"/>
  <c r="BJ142" i="3" s="1"/>
  <c r="BJ143" i="3" s="1"/>
  <c r="D132" i="3"/>
  <c r="D133" i="3" s="1"/>
  <c r="D134" i="3" s="1"/>
  <c r="D135" i="3" s="1"/>
  <c r="D136" i="3" s="1"/>
  <c r="D137" i="3" s="1"/>
  <c r="D138" i="3" s="1"/>
  <c r="D139" i="3" s="1"/>
  <c r="D140" i="3" s="1"/>
  <c r="D141" i="3" s="1"/>
  <c r="D142" i="3" s="1"/>
  <c r="D143" i="3" s="1"/>
  <c r="E132" i="3" s="1"/>
  <c r="E133" i="3" s="1"/>
  <c r="E134" i="3" s="1"/>
  <c r="E135" i="3" s="1"/>
  <c r="E136" i="3" s="1"/>
  <c r="E137" i="3" s="1"/>
  <c r="E138" i="3" s="1"/>
  <c r="E139" i="3" s="1"/>
  <c r="E140" i="3" s="1"/>
  <c r="E141" i="3" s="1"/>
  <c r="E142" i="3" s="1"/>
  <c r="E143" i="3" s="1"/>
  <c r="F132" i="3" s="1"/>
  <c r="F133" i="3" s="1"/>
  <c r="F134" i="3" s="1"/>
  <c r="F135" i="3" s="1"/>
  <c r="F136" i="3" s="1"/>
  <c r="F137" i="3" s="1"/>
  <c r="F138" i="3" s="1"/>
  <c r="F139" i="3" s="1"/>
  <c r="F140" i="3" s="1"/>
  <c r="F141" i="3" s="1"/>
  <c r="F142" i="3" s="1"/>
  <c r="F143" i="3" s="1"/>
  <c r="G132" i="3" s="1"/>
  <c r="G133" i="3" s="1"/>
  <c r="G134" i="3" s="1"/>
  <c r="G135" i="3" s="1"/>
  <c r="G136" i="3" s="1"/>
  <c r="G137" i="3" s="1"/>
  <c r="G138" i="3" s="1"/>
  <c r="AI113" i="3"/>
  <c r="AI114" i="3" s="1"/>
  <c r="AI115" i="3" s="1"/>
  <c r="AI116" i="3" s="1"/>
  <c r="AI117" i="3" s="1"/>
  <c r="AI118" i="3" s="1"/>
  <c r="AI119" i="3" s="1"/>
  <c r="AI120" i="3" s="1"/>
  <c r="AI121" i="3" s="1"/>
  <c r="AI122" i="3" s="1"/>
  <c r="AI123" i="3" s="1"/>
  <c r="AI124" i="3" s="1"/>
  <c r="AJ113" i="3" s="1"/>
  <c r="AJ114" i="3" s="1"/>
  <c r="AJ115" i="3" s="1"/>
  <c r="AJ116" i="3" s="1"/>
  <c r="AJ117" i="3" s="1"/>
  <c r="AJ118" i="3" s="1"/>
  <c r="AJ119" i="3" s="1"/>
  <c r="AJ120" i="3" s="1"/>
  <c r="AJ121" i="3" s="1"/>
  <c r="AJ122" i="3" s="1"/>
  <c r="AJ123" i="3" s="1"/>
  <c r="AJ124" i="3" s="1"/>
  <c r="AK113" i="3" s="1"/>
  <c r="AK114" i="3" s="1"/>
  <c r="AK115" i="3" s="1"/>
  <c r="AK116" i="3" s="1"/>
  <c r="AK117" i="3" s="1"/>
  <c r="AK118" i="3" s="1"/>
  <c r="AK119" i="3" s="1"/>
  <c r="AK120" i="3" s="1"/>
  <c r="AK121" i="3" s="1"/>
  <c r="AK122" i="3" s="1"/>
  <c r="AK123" i="3" s="1"/>
  <c r="AK124" i="3" s="1"/>
  <c r="AL113" i="3" s="1"/>
  <c r="AL114" i="3" s="1"/>
  <c r="AL115" i="3" s="1"/>
  <c r="AL116" i="3" s="1"/>
  <c r="AL117" i="3" s="1"/>
  <c r="AL118" i="3" s="1"/>
  <c r="AL119" i="3" s="1"/>
  <c r="AL120" i="3" s="1"/>
  <c r="AL121" i="3" s="1"/>
  <c r="AL122" i="3" s="1"/>
  <c r="AL123" i="3" s="1"/>
  <c r="AL124" i="3" s="1"/>
  <c r="AM113" i="3" s="1"/>
  <c r="AM114" i="3" s="1"/>
  <c r="AM115" i="3" s="1"/>
  <c r="AM116" i="3" s="1"/>
  <c r="AM117" i="3" s="1"/>
  <c r="AM118" i="3" s="1"/>
  <c r="AM119" i="3" s="1"/>
  <c r="AM120" i="3" s="1"/>
  <c r="AM121" i="3" s="1"/>
  <c r="AM122" i="3" s="1"/>
  <c r="AM123" i="3" s="1"/>
  <c r="AM124" i="3" s="1"/>
  <c r="AN113" i="3" s="1"/>
  <c r="AN114" i="3" s="1"/>
  <c r="AN115" i="3" s="1"/>
  <c r="AN116" i="3" s="1"/>
  <c r="AN117" i="3" s="1"/>
  <c r="AN118" i="3" s="1"/>
  <c r="AN119" i="3" s="1"/>
  <c r="AN120" i="3" s="1"/>
  <c r="AN121" i="3" s="1"/>
  <c r="AN122" i="3" s="1"/>
  <c r="AN123" i="3" s="1"/>
  <c r="AN124" i="3" s="1"/>
  <c r="AO113" i="3" s="1"/>
  <c r="AO114" i="3" s="1"/>
  <c r="AO115" i="3" s="1"/>
  <c r="AO116" i="3" s="1"/>
  <c r="AO117" i="3" s="1"/>
  <c r="AO118" i="3" s="1"/>
  <c r="AO119" i="3" s="1"/>
  <c r="AO120" i="3" s="1"/>
  <c r="AO121" i="3" s="1"/>
  <c r="AO122" i="3" s="1"/>
  <c r="AO123" i="3" s="1"/>
  <c r="AO124" i="3" s="1"/>
  <c r="AP113" i="3" s="1"/>
  <c r="AP114" i="3" s="1"/>
  <c r="AP115" i="3" s="1"/>
  <c r="AP116" i="3" s="1"/>
  <c r="AP117" i="3" s="1"/>
  <c r="AP118" i="3" s="1"/>
  <c r="AP119" i="3" s="1"/>
  <c r="AP120" i="3" s="1"/>
  <c r="AP121" i="3" s="1"/>
  <c r="AP122" i="3" s="1"/>
  <c r="AP123" i="3" s="1"/>
  <c r="AP124" i="3" s="1"/>
  <c r="AQ113" i="3" s="1"/>
  <c r="AQ114" i="3" s="1"/>
  <c r="AQ115" i="3" s="1"/>
  <c r="AQ116" i="3" s="1"/>
  <c r="AQ117" i="3" s="1"/>
  <c r="AQ118" i="3" s="1"/>
  <c r="AQ119" i="3" s="1"/>
  <c r="AQ120" i="3" s="1"/>
  <c r="AQ121" i="3" s="1"/>
  <c r="AQ122" i="3" s="1"/>
  <c r="AQ123" i="3" s="1"/>
  <c r="AQ124" i="3" s="1"/>
  <c r="AR113" i="3" s="1"/>
  <c r="AR114" i="3" s="1"/>
  <c r="AR115" i="3" s="1"/>
  <c r="AR116" i="3" s="1"/>
  <c r="AR117" i="3" s="1"/>
  <c r="AR118" i="3" s="1"/>
  <c r="AR119" i="3" s="1"/>
  <c r="AR120" i="3" s="1"/>
  <c r="AR121" i="3" s="1"/>
  <c r="AR122" i="3" s="1"/>
  <c r="AR123" i="3" s="1"/>
  <c r="AR124" i="3" s="1"/>
  <c r="AS113" i="3" s="1"/>
  <c r="AS114" i="3" s="1"/>
  <c r="AS115" i="3" s="1"/>
  <c r="AS116" i="3" s="1"/>
  <c r="AS117" i="3" s="1"/>
  <c r="AS118" i="3" s="1"/>
  <c r="AS119" i="3" s="1"/>
  <c r="AS120" i="3" s="1"/>
  <c r="AS121" i="3" s="1"/>
  <c r="AS122" i="3" s="1"/>
  <c r="AS123" i="3" s="1"/>
  <c r="AS124" i="3" s="1"/>
  <c r="AT113" i="3" s="1"/>
  <c r="AT114" i="3" s="1"/>
  <c r="AT115" i="3" s="1"/>
  <c r="AT116" i="3" s="1"/>
  <c r="AT117" i="3" s="1"/>
  <c r="AT118" i="3" s="1"/>
  <c r="AT119" i="3" s="1"/>
  <c r="AT120" i="3" s="1"/>
  <c r="AT121" i="3" s="1"/>
  <c r="AT122" i="3" s="1"/>
  <c r="AT123" i="3" s="1"/>
  <c r="AT124" i="3" s="1"/>
  <c r="AU113" i="3" s="1"/>
  <c r="AU114" i="3" s="1"/>
  <c r="AU115" i="3" s="1"/>
  <c r="AU116" i="3" s="1"/>
  <c r="AU117" i="3" s="1"/>
  <c r="AU118" i="3" s="1"/>
  <c r="AU119" i="3" s="1"/>
  <c r="AU120" i="3" s="1"/>
  <c r="AU121" i="3" s="1"/>
  <c r="AU122" i="3" s="1"/>
  <c r="AU123" i="3" s="1"/>
  <c r="AU124" i="3" s="1"/>
  <c r="AV113" i="3" s="1"/>
  <c r="AV114" i="3" s="1"/>
  <c r="AV115" i="3" s="1"/>
  <c r="AV116" i="3" s="1"/>
  <c r="AV117" i="3" s="1"/>
  <c r="AV118" i="3" s="1"/>
  <c r="AV119" i="3" s="1"/>
  <c r="AV120" i="3" s="1"/>
  <c r="AV121" i="3" s="1"/>
  <c r="AV122" i="3" s="1"/>
  <c r="AV123" i="3" s="1"/>
  <c r="AV124" i="3" s="1"/>
  <c r="AW113" i="3" s="1"/>
  <c r="AW114" i="3" s="1"/>
  <c r="AW115" i="3" s="1"/>
  <c r="AW116" i="3" s="1"/>
  <c r="AW117" i="3" s="1"/>
  <c r="AW118" i="3" s="1"/>
  <c r="AW119" i="3" s="1"/>
  <c r="AW120" i="3" s="1"/>
  <c r="AW121" i="3" s="1"/>
  <c r="AW122" i="3" s="1"/>
  <c r="AW123" i="3" s="1"/>
  <c r="AW124" i="3" s="1"/>
  <c r="AX113" i="3" s="1"/>
  <c r="AX114" i="3" s="1"/>
  <c r="AX115" i="3" s="1"/>
  <c r="AX116" i="3" s="1"/>
  <c r="AX117" i="3" s="1"/>
  <c r="AX118" i="3" s="1"/>
  <c r="AX119" i="3" s="1"/>
  <c r="AX120" i="3" s="1"/>
  <c r="AX121" i="3" s="1"/>
  <c r="AX122" i="3" s="1"/>
  <c r="AX123" i="3" s="1"/>
  <c r="AX124" i="3" s="1"/>
  <c r="AY113" i="3" s="1"/>
  <c r="AY114" i="3" s="1"/>
  <c r="AY115" i="3" s="1"/>
  <c r="AY116" i="3" s="1"/>
  <c r="AY117" i="3" s="1"/>
  <c r="AY118" i="3" s="1"/>
  <c r="AY119" i="3" s="1"/>
  <c r="AY120" i="3" s="1"/>
  <c r="AY121" i="3" s="1"/>
  <c r="AY122" i="3" s="1"/>
  <c r="AY123" i="3" s="1"/>
  <c r="AY124" i="3" s="1"/>
  <c r="AZ113" i="3" s="1"/>
  <c r="AZ114" i="3" s="1"/>
  <c r="AZ115" i="3" s="1"/>
  <c r="AZ116" i="3" s="1"/>
  <c r="AZ117" i="3" s="1"/>
  <c r="AZ118" i="3" s="1"/>
  <c r="AZ119" i="3" s="1"/>
  <c r="AZ120" i="3" s="1"/>
  <c r="AZ121" i="3" s="1"/>
  <c r="AZ122" i="3" s="1"/>
  <c r="AZ123" i="3" s="1"/>
  <c r="AZ124" i="3" s="1"/>
  <c r="BA113" i="3" s="1"/>
  <c r="BA114" i="3" s="1"/>
  <c r="BA115" i="3" s="1"/>
  <c r="BA116" i="3" s="1"/>
  <c r="BA117" i="3" s="1"/>
  <c r="BA118" i="3" s="1"/>
  <c r="BA119" i="3" s="1"/>
  <c r="BA120" i="3" s="1"/>
  <c r="BA121" i="3" s="1"/>
  <c r="BA122" i="3" s="1"/>
  <c r="BA123" i="3" s="1"/>
  <c r="BA124" i="3" s="1"/>
  <c r="BB113" i="3" s="1"/>
  <c r="BB114" i="3" s="1"/>
  <c r="BB115" i="3" s="1"/>
  <c r="BB116" i="3" s="1"/>
  <c r="BB117" i="3" s="1"/>
  <c r="BB118" i="3" s="1"/>
  <c r="BB119" i="3" s="1"/>
  <c r="BB120" i="3" s="1"/>
  <c r="BB121" i="3" s="1"/>
  <c r="BB122" i="3" s="1"/>
  <c r="BB123" i="3" s="1"/>
  <c r="BB124" i="3" s="1"/>
  <c r="BC113" i="3" s="1"/>
  <c r="BC114" i="3" s="1"/>
  <c r="BC115" i="3" s="1"/>
  <c r="BC116" i="3" s="1"/>
  <c r="BC117" i="3" s="1"/>
  <c r="BC118" i="3" s="1"/>
  <c r="BC119" i="3" s="1"/>
  <c r="BC120" i="3" s="1"/>
  <c r="BC121" i="3" s="1"/>
  <c r="BC122" i="3" s="1"/>
  <c r="BC123" i="3" s="1"/>
  <c r="BC124" i="3" s="1"/>
  <c r="BD113" i="3" s="1"/>
  <c r="BD114" i="3" s="1"/>
  <c r="BD115" i="3" s="1"/>
  <c r="BD116" i="3" s="1"/>
  <c r="BD117" i="3" s="1"/>
  <c r="BD118" i="3" s="1"/>
  <c r="BD119" i="3" s="1"/>
  <c r="BD120" i="3" s="1"/>
  <c r="BD121" i="3" s="1"/>
  <c r="BD122" i="3" s="1"/>
  <c r="BD123" i="3" s="1"/>
  <c r="BD124" i="3" s="1"/>
  <c r="BE113" i="3" s="1"/>
  <c r="BE114" i="3" s="1"/>
  <c r="BE115" i="3" s="1"/>
  <c r="BE116" i="3" s="1"/>
  <c r="BE117" i="3" s="1"/>
  <c r="BE118" i="3" s="1"/>
  <c r="BE119" i="3" s="1"/>
  <c r="BE120" i="3" s="1"/>
  <c r="BE121" i="3" s="1"/>
  <c r="BE122" i="3" s="1"/>
  <c r="BE123" i="3" s="1"/>
  <c r="BE124" i="3" s="1"/>
  <c r="BF113" i="3" s="1"/>
  <c r="BF114" i="3" s="1"/>
  <c r="BF115" i="3" s="1"/>
  <c r="BF116" i="3" s="1"/>
  <c r="BF117" i="3" s="1"/>
  <c r="BF118" i="3" s="1"/>
  <c r="BF119" i="3" s="1"/>
  <c r="BF120" i="3" s="1"/>
  <c r="BF121" i="3" s="1"/>
  <c r="BF122" i="3" s="1"/>
  <c r="BF123" i="3" s="1"/>
  <c r="BF124" i="3" s="1"/>
  <c r="BG113" i="3" s="1"/>
  <c r="BG114" i="3" s="1"/>
  <c r="BG115" i="3" s="1"/>
  <c r="BG116" i="3" s="1"/>
  <c r="BG117" i="3" s="1"/>
  <c r="BG118" i="3" s="1"/>
  <c r="BG119" i="3" s="1"/>
  <c r="BG120" i="3" s="1"/>
  <c r="BG121" i="3" s="1"/>
  <c r="BG122" i="3" s="1"/>
  <c r="BG123" i="3" s="1"/>
  <c r="BG124" i="3" s="1"/>
  <c r="BH113" i="3" s="1"/>
  <c r="BH114" i="3" s="1"/>
  <c r="BH115" i="3" s="1"/>
  <c r="BH116" i="3" s="1"/>
  <c r="BH117" i="3" s="1"/>
  <c r="BH118" i="3" s="1"/>
  <c r="BH119" i="3" s="1"/>
  <c r="BH120" i="3" s="1"/>
  <c r="BH121" i="3" s="1"/>
  <c r="BH122" i="3" s="1"/>
  <c r="BH123" i="3" s="1"/>
  <c r="BH124" i="3" s="1"/>
  <c r="BI113" i="3" s="1"/>
  <c r="BI114" i="3" s="1"/>
  <c r="BI115" i="3" s="1"/>
  <c r="BI116" i="3" s="1"/>
  <c r="BI117" i="3" s="1"/>
  <c r="BI118" i="3" s="1"/>
  <c r="BI119" i="3" s="1"/>
  <c r="BI120" i="3" s="1"/>
  <c r="BI121" i="3" s="1"/>
  <c r="BI122" i="3" s="1"/>
  <c r="BI123" i="3" s="1"/>
  <c r="BI124" i="3" s="1"/>
  <c r="BJ113" i="3" s="1"/>
  <c r="BJ114" i="3" s="1"/>
  <c r="BJ115" i="3" s="1"/>
  <c r="BJ116" i="3" s="1"/>
  <c r="BJ117" i="3" s="1"/>
  <c r="BJ118" i="3" s="1"/>
  <c r="BJ119" i="3" s="1"/>
  <c r="BJ120" i="3" s="1"/>
  <c r="BJ121" i="3" s="1"/>
  <c r="BJ122" i="3" s="1"/>
  <c r="BJ123" i="3" s="1"/>
  <c r="BJ124" i="3" s="1"/>
  <c r="D113" i="3"/>
  <c r="D114" i="3" s="1"/>
  <c r="D115" i="3" s="1"/>
  <c r="D116" i="3" s="1"/>
  <c r="D117" i="3" s="1"/>
  <c r="D118" i="3" s="1"/>
  <c r="D119" i="3" s="1"/>
  <c r="D120" i="3" s="1"/>
  <c r="D121" i="3" s="1"/>
  <c r="D122" i="3" s="1"/>
  <c r="D123" i="3" s="1"/>
  <c r="D124" i="3" s="1"/>
  <c r="E113" i="3" s="1"/>
  <c r="E114" i="3" s="1"/>
  <c r="E115" i="3" s="1"/>
  <c r="E116" i="3" s="1"/>
  <c r="E117" i="3" s="1"/>
  <c r="E118" i="3" s="1"/>
  <c r="E119" i="3" s="1"/>
  <c r="E120" i="3" s="1"/>
  <c r="E121" i="3" s="1"/>
  <c r="E122" i="3" s="1"/>
  <c r="E123" i="3" s="1"/>
  <c r="E124" i="3" s="1"/>
  <c r="F113" i="3" s="1"/>
  <c r="F114" i="3" s="1"/>
  <c r="F115" i="3" s="1"/>
  <c r="F116" i="3" s="1"/>
  <c r="F117" i="3" s="1"/>
  <c r="F118" i="3" s="1"/>
  <c r="F119" i="3" s="1"/>
  <c r="F120" i="3" s="1"/>
  <c r="F121" i="3" s="1"/>
  <c r="F122" i="3" s="1"/>
  <c r="F123" i="3" s="1"/>
  <c r="F124" i="3" s="1"/>
  <c r="G113" i="3" s="1"/>
  <c r="G114" i="3" s="1"/>
  <c r="G115" i="3" s="1"/>
  <c r="G116" i="3" s="1"/>
  <c r="G117" i="3" s="1"/>
  <c r="G118" i="3" s="1"/>
  <c r="G119" i="3" s="1"/>
  <c r="G120" i="3" s="1"/>
  <c r="AI94" i="3"/>
  <c r="AI95" i="3" s="1"/>
  <c r="AI96" i="3" s="1"/>
  <c r="AI97" i="3" s="1"/>
  <c r="AI98" i="3" s="1"/>
  <c r="AI99" i="3" s="1"/>
  <c r="AI100" i="3" s="1"/>
  <c r="AI101" i="3" s="1"/>
  <c r="AI102" i="3" s="1"/>
  <c r="AI103" i="3" s="1"/>
  <c r="AI104" i="3" s="1"/>
  <c r="AI105" i="3" s="1"/>
  <c r="AJ94" i="3" s="1"/>
  <c r="AJ95" i="3" s="1"/>
  <c r="AJ96" i="3" s="1"/>
  <c r="AJ97" i="3" s="1"/>
  <c r="AJ98" i="3" s="1"/>
  <c r="AJ99" i="3" s="1"/>
  <c r="AJ100" i="3" s="1"/>
  <c r="AJ101" i="3" s="1"/>
  <c r="AJ102" i="3" s="1"/>
  <c r="AJ103" i="3" s="1"/>
  <c r="AJ104" i="3" s="1"/>
  <c r="AJ105" i="3" s="1"/>
  <c r="AK94" i="3" s="1"/>
  <c r="AK95" i="3" s="1"/>
  <c r="AK96" i="3" s="1"/>
  <c r="AK97" i="3" s="1"/>
  <c r="AK98" i="3" s="1"/>
  <c r="AK99" i="3" s="1"/>
  <c r="AK100" i="3" s="1"/>
  <c r="AK101" i="3" s="1"/>
  <c r="AK102" i="3" s="1"/>
  <c r="AK103" i="3" s="1"/>
  <c r="AK104" i="3" s="1"/>
  <c r="AK105" i="3" s="1"/>
  <c r="AL94" i="3" s="1"/>
  <c r="AL95" i="3" s="1"/>
  <c r="AL96" i="3" s="1"/>
  <c r="AL97" i="3" s="1"/>
  <c r="AL98" i="3" s="1"/>
  <c r="AL99" i="3" s="1"/>
  <c r="AL100" i="3" s="1"/>
  <c r="AL101" i="3" s="1"/>
  <c r="AL102" i="3" s="1"/>
  <c r="AL103" i="3" s="1"/>
  <c r="AL104" i="3" s="1"/>
  <c r="AL105" i="3" s="1"/>
  <c r="AM94" i="3" s="1"/>
  <c r="AM95" i="3" s="1"/>
  <c r="AM96" i="3" s="1"/>
  <c r="AM97" i="3" s="1"/>
  <c r="AM98" i="3" s="1"/>
  <c r="AM99" i="3" s="1"/>
  <c r="AM100" i="3" s="1"/>
  <c r="AM101" i="3" s="1"/>
  <c r="AM102" i="3" s="1"/>
  <c r="AM103" i="3" s="1"/>
  <c r="AM104" i="3" s="1"/>
  <c r="AM105" i="3" s="1"/>
  <c r="AN94" i="3" s="1"/>
  <c r="AN95" i="3" s="1"/>
  <c r="AN96" i="3" s="1"/>
  <c r="AN97" i="3" s="1"/>
  <c r="AN98" i="3" s="1"/>
  <c r="AN99" i="3" s="1"/>
  <c r="AN100" i="3" s="1"/>
  <c r="AN101" i="3" s="1"/>
  <c r="AN102" i="3" s="1"/>
  <c r="AN103" i="3" s="1"/>
  <c r="AN104" i="3" s="1"/>
  <c r="AN105" i="3" s="1"/>
  <c r="AO94" i="3" s="1"/>
  <c r="AO95" i="3" s="1"/>
  <c r="AO96" i="3" s="1"/>
  <c r="AO97" i="3" s="1"/>
  <c r="AO98" i="3" s="1"/>
  <c r="AO99" i="3" s="1"/>
  <c r="AO100" i="3" s="1"/>
  <c r="AO101" i="3" s="1"/>
  <c r="AO102" i="3" s="1"/>
  <c r="AO103" i="3" s="1"/>
  <c r="AO104" i="3" s="1"/>
  <c r="AO105" i="3" s="1"/>
  <c r="AP94" i="3" s="1"/>
  <c r="AP95" i="3" s="1"/>
  <c r="AP96" i="3" s="1"/>
  <c r="AP97" i="3" s="1"/>
  <c r="AP98" i="3" s="1"/>
  <c r="AP99" i="3" s="1"/>
  <c r="AP100" i="3" s="1"/>
  <c r="AP101" i="3" s="1"/>
  <c r="AP102" i="3" s="1"/>
  <c r="AP103" i="3" s="1"/>
  <c r="AP104" i="3" s="1"/>
  <c r="AP105" i="3" s="1"/>
  <c r="AQ94" i="3" s="1"/>
  <c r="AQ95" i="3" s="1"/>
  <c r="AQ96" i="3" s="1"/>
  <c r="AQ97" i="3" s="1"/>
  <c r="AQ98" i="3" s="1"/>
  <c r="AQ99" i="3" s="1"/>
  <c r="AQ100" i="3" s="1"/>
  <c r="AQ101" i="3" s="1"/>
  <c r="AQ102" i="3" s="1"/>
  <c r="AQ103" i="3" s="1"/>
  <c r="AQ104" i="3" s="1"/>
  <c r="AQ105" i="3" s="1"/>
  <c r="AR94" i="3" s="1"/>
  <c r="AR95" i="3" s="1"/>
  <c r="AR96" i="3" s="1"/>
  <c r="AR97" i="3" s="1"/>
  <c r="AR98" i="3" s="1"/>
  <c r="AR99" i="3" s="1"/>
  <c r="AR100" i="3" s="1"/>
  <c r="AR101" i="3" s="1"/>
  <c r="AR102" i="3" s="1"/>
  <c r="AR103" i="3" s="1"/>
  <c r="AR104" i="3" s="1"/>
  <c r="AR105" i="3" s="1"/>
  <c r="AS94" i="3" s="1"/>
  <c r="AS95" i="3" s="1"/>
  <c r="AS96" i="3" s="1"/>
  <c r="AS97" i="3" s="1"/>
  <c r="AS98" i="3" s="1"/>
  <c r="AS99" i="3" s="1"/>
  <c r="AS100" i="3" s="1"/>
  <c r="AS101" i="3" s="1"/>
  <c r="AS102" i="3" s="1"/>
  <c r="AS103" i="3" s="1"/>
  <c r="AS104" i="3" s="1"/>
  <c r="AS105" i="3" s="1"/>
  <c r="AT94" i="3" s="1"/>
  <c r="AT95" i="3" s="1"/>
  <c r="AT96" i="3" s="1"/>
  <c r="AT97" i="3" s="1"/>
  <c r="AT98" i="3" s="1"/>
  <c r="AT99" i="3" s="1"/>
  <c r="AT100" i="3" s="1"/>
  <c r="AT101" i="3" s="1"/>
  <c r="AT102" i="3" s="1"/>
  <c r="AT103" i="3" s="1"/>
  <c r="AT104" i="3" s="1"/>
  <c r="AT105" i="3" s="1"/>
  <c r="AU94" i="3" s="1"/>
  <c r="AU95" i="3" s="1"/>
  <c r="AU96" i="3" s="1"/>
  <c r="AU97" i="3" s="1"/>
  <c r="AU98" i="3" s="1"/>
  <c r="AU99" i="3" s="1"/>
  <c r="AU100" i="3" s="1"/>
  <c r="AU101" i="3" s="1"/>
  <c r="AU102" i="3" s="1"/>
  <c r="AU103" i="3" s="1"/>
  <c r="AU104" i="3" s="1"/>
  <c r="AU105" i="3" s="1"/>
  <c r="AV94" i="3" s="1"/>
  <c r="AV95" i="3" s="1"/>
  <c r="AV96" i="3" s="1"/>
  <c r="AV97" i="3" s="1"/>
  <c r="AV98" i="3" s="1"/>
  <c r="AV99" i="3" s="1"/>
  <c r="AV100" i="3" s="1"/>
  <c r="AV101" i="3" s="1"/>
  <c r="AV102" i="3" s="1"/>
  <c r="AV103" i="3" s="1"/>
  <c r="AV104" i="3" s="1"/>
  <c r="AV105" i="3" s="1"/>
  <c r="AW94" i="3" s="1"/>
  <c r="AW95" i="3" s="1"/>
  <c r="AW96" i="3" s="1"/>
  <c r="AW97" i="3" s="1"/>
  <c r="AW98" i="3" s="1"/>
  <c r="AW99" i="3" s="1"/>
  <c r="AW100" i="3" s="1"/>
  <c r="AW101" i="3" s="1"/>
  <c r="AW102" i="3" s="1"/>
  <c r="AW103" i="3" s="1"/>
  <c r="AW104" i="3" s="1"/>
  <c r="AW105" i="3" s="1"/>
  <c r="AX94" i="3" s="1"/>
  <c r="AX95" i="3" s="1"/>
  <c r="AX96" i="3" s="1"/>
  <c r="AX97" i="3" s="1"/>
  <c r="AX98" i="3" s="1"/>
  <c r="AX99" i="3" s="1"/>
  <c r="AX100" i="3" s="1"/>
  <c r="AX101" i="3" s="1"/>
  <c r="AX102" i="3" s="1"/>
  <c r="AX103" i="3" s="1"/>
  <c r="AX104" i="3" s="1"/>
  <c r="AX105" i="3" s="1"/>
  <c r="AY94" i="3" s="1"/>
  <c r="AY95" i="3" s="1"/>
  <c r="AY96" i="3" s="1"/>
  <c r="AY97" i="3" s="1"/>
  <c r="AY98" i="3" s="1"/>
  <c r="AY99" i="3" s="1"/>
  <c r="AY100" i="3" s="1"/>
  <c r="AY101" i="3" s="1"/>
  <c r="AY102" i="3" s="1"/>
  <c r="AY103" i="3" s="1"/>
  <c r="AY104" i="3" s="1"/>
  <c r="AY105" i="3" s="1"/>
  <c r="AZ94" i="3" s="1"/>
  <c r="AZ95" i="3" s="1"/>
  <c r="AZ96" i="3" s="1"/>
  <c r="AZ97" i="3" s="1"/>
  <c r="AZ98" i="3" s="1"/>
  <c r="AZ99" i="3" s="1"/>
  <c r="AZ100" i="3" s="1"/>
  <c r="AZ101" i="3" s="1"/>
  <c r="AZ102" i="3" s="1"/>
  <c r="AZ103" i="3" s="1"/>
  <c r="AZ104" i="3" s="1"/>
  <c r="AZ105" i="3" s="1"/>
  <c r="BA94" i="3" s="1"/>
  <c r="BA95" i="3" s="1"/>
  <c r="BA96" i="3" s="1"/>
  <c r="BA97" i="3" s="1"/>
  <c r="BA98" i="3" s="1"/>
  <c r="BA99" i="3" s="1"/>
  <c r="BA100" i="3" s="1"/>
  <c r="BA101" i="3" s="1"/>
  <c r="BA102" i="3" s="1"/>
  <c r="BA103" i="3" s="1"/>
  <c r="BA104" i="3" s="1"/>
  <c r="BA105" i="3" s="1"/>
  <c r="BB94" i="3" s="1"/>
  <c r="BB95" i="3" s="1"/>
  <c r="BB96" i="3" s="1"/>
  <c r="BB97" i="3" s="1"/>
  <c r="BB98" i="3" s="1"/>
  <c r="BB99" i="3" s="1"/>
  <c r="BB100" i="3" s="1"/>
  <c r="BB101" i="3" s="1"/>
  <c r="BB102" i="3" s="1"/>
  <c r="BB103" i="3" s="1"/>
  <c r="BB104" i="3" s="1"/>
  <c r="BB105" i="3" s="1"/>
  <c r="BC94" i="3" s="1"/>
  <c r="BC95" i="3" s="1"/>
  <c r="BC96" i="3" s="1"/>
  <c r="BC97" i="3" s="1"/>
  <c r="BC98" i="3" s="1"/>
  <c r="BC99" i="3" s="1"/>
  <c r="BC100" i="3" s="1"/>
  <c r="BC101" i="3" s="1"/>
  <c r="BC102" i="3" s="1"/>
  <c r="BC103" i="3" s="1"/>
  <c r="BC104" i="3" s="1"/>
  <c r="BC105" i="3" s="1"/>
  <c r="BD94" i="3" s="1"/>
  <c r="BD95" i="3" s="1"/>
  <c r="BD96" i="3" s="1"/>
  <c r="BD97" i="3" s="1"/>
  <c r="BD98" i="3" s="1"/>
  <c r="BD99" i="3" s="1"/>
  <c r="BD100" i="3" s="1"/>
  <c r="BD101" i="3" s="1"/>
  <c r="BD102" i="3" s="1"/>
  <c r="BD103" i="3" s="1"/>
  <c r="BD104" i="3" s="1"/>
  <c r="BD105" i="3" s="1"/>
  <c r="BE94" i="3" s="1"/>
  <c r="BE95" i="3" s="1"/>
  <c r="BE96" i="3" s="1"/>
  <c r="BE97" i="3" s="1"/>
  <c r="BE98" i="3" s="1"/>
  <c r="BE99" i="3" s="1"/>
  <c r="BE100" i="3" s="1"/>
  <c r="BE101" i="3" s="1"/>
  <c r="BE102" i="3" s="1"/>
  <c r="BE103" i="3" s="1"/>
  <c r="BE104" i="3" s="1"/>
  <c r="BE105" i="3" s="1"/>
  <c r="BF94" i="3" s="1"/>
  <c r="BF95" i="3" s="1"/>
  <c r="BF96" i="3" s="1"/>
  <c r="BF97" i="3" s="1"/>
  <c r="BF98" i="3" s="1"/>
  <c r="BF99" i="3" s="1"/>
  <c r="BF100" i="3" s="1"/>
  <c r="BF101" i="3" s="1"/>
  <c r="BF102" i="3" s="1"/>
  <c r="BF103" i="3" s="1"/>
  <c r="BF104" i="3" s="1"/>
  <c r="BF105" i="3" s="1"/>
  <c r="BG94" i="3" s="1"/>
  <c r="BG95" i="3" s="1"/>
  <c r="BG96" i="3" s="1"/>
  <c r="BG97" i="3" s="1"/>
  <c r="BG98" i="3" s="1"/>
  <c r="BG99" i="3" s="1"/>
  <c r="BG100" i="3" s="1"/>
  <c r="BG101" i="3" s="1"/>
  <c r="BG102" i="3" s="1"/>
  <c r="BG103" i="3" s="1"/>
  <c r="BG104" i="3" s="1"/>
  <c r="BG105" i="3" s="1"/>
  <c r="BH94" i="3" s="1"/>
  <c r="BH95" i="3" s="1"/>
  <c r="BH96" i="3" s="1"/>
  <c r="BH97" i="3" s="1"/>
  <c r="BH98" i="3" s="1"/>
  <c r="BH99" i="3" s="1"/>
  <c r="BH100" i="3" s="1"/>
  <c r="BH101" i="3" s="1"/>
  <c r="BH102" i="3" s="1"/>
  <c r="BH103" i="3" s="1"/>
  <c r="BH104" i="3" s="1"/>
  <c r="BH105" i="3" s="1"/>
  <c r="BI94" i="3" s="1"/>
  <c r="BI95" i="3" s="1"/>
  <c r="BI96" i="3" s="1"/>
  <c r="BI97" i="3" s="1"/>
  <c r="BI98" i="3" s="1"/>
  <c r="BI99" i="3" s="1"/>
  <c r="BI100" i="3" s="1"/>
  <c r="BI101" i="3" s="1"/>
  <c r="BI102" i="3" s="1"/>
  <c r="BI103" i="3" s="1"/>
  <c r="BI104" i="3" s="1"/>
  <c r="BI105" i="3" s="1"/>
  <c r="BJ94" i="3" s="1"/>
  <c r="BJ95" i="3" s="1"/>
  <c r="BJ96" i="3" s="1"/>
  <c r="BJ97" i="3" s="1"/>
  <c r="BJ98" i="3" s="1"/>
  <c r="BJ99" i="3" s="1"/>
  <c r="BJ100" i="3" s="1"/>
  <c r="BJ101" i="3" s="1"/>
  <c r="BJ102" i="3" s="1"/>
  <c r="BJ103" i="3" s="1"/>
  <c r="BJ104" i="3" s="1"/>
  <c r="BJ105" i="3" s="1"/>
  <c r="D94" i="3"/>
  <c r="D95" i="3" s="1"/>
  <c r="D96" i="3" s="1"/>
  <c r="D97" i="3" s="1"/>
  <c r="D98" i="3" s="1"/>
  <c r="D99" i="3" s="1"/>
  <c r="D100" i="3" s="1"/>
  <c r="D101" i="3" s="1"/>
  <c r="D102" i="3" s="1"/>
  <c r="D103" i="3" s="1"/>
  <c r="D104" i="3" s="1"/>
  <c r="D105" i="3" s="1"/>
  <c r="E94" i="3" s="1"/>
  <c r="E95" i="3" s="1"/>
  <c r="E96" i="3" s="1"/>
  <c r="E97" i="3" s="1"/>
  <c r="E98" i="3" s="1"/>
  <c r="E99" i="3" s="1"/>
  <c r="E100" i="3" s="1"/>
  <c r="E101" i="3" s="1"/>
  <c r="E102" i="3" s="1"/>
  <c r="E103" i="3" s="1"/>
  <c r="E104" i="3" s="1"/>
  <c r="E105" i="3" s="1"/>
  <c r="F94" i="3" s="1"/>
  <c r="F95" i="3" s="1"/>
  <c r="F96" i="3" s="1"/>
  <c r="F97" i="3" s="1"/>
  <c r="F98" i="3" s="1"/>
  <c r="F99" i="3" s="1"/>
  <c r="F100" i="3" s="1"/>
  <c r="F101" i="3" s="1"/>
  <c r="F102" i="3" s="1"/>
  <c r="F103" i="3" s="1"/>
  <c r="F104" i="3" s="1"/>
  <c r="F105" i="3" s="1"/>
  <c r="G94" i="3" s="1"/>
  <c r="G95" i="3" s="1"/>
  <c r="G96" i="3" s="1"/>
  <c r="G97" i="3" s="1"/>
  <c r="G98" i="3" s="1"/>
  <c r="G99" i="3" s="1"/>
  <c r="G100" i="3" s="1"/>
  <c r="G101" i="3" s="1"/>
  <c r="G102" i="3" s="1"/>
  <c r="AI56" i="3"/>
  <c r="AI57" i="3" s="1"/>
  <c r="AI58" i="3" s="1"/>
  <c r="AI59" i="3" s="1"/>
  <c r="AI60" i="3" s="1"/>
  <c r="AI61" i="3" s="1"/>
  <c r="AI62" i="3" s="1"/>
  <c r="AI63" i="3" s="1"/>
  <c r="AI64" i="3" s="1"/>
  <c r="AI65" i="3" s="1"/>
  <c r="AI66" i="3" s="1"/>
  <c r="AI67" i="3" s="1"/>
  <c r="AJ56" i="3" s="1"/>
  <c r="AJ57" i="3" s="1"/>
  <c r="AJ58" i="3" s="1"/>
  <c r="AJ59" i="3" s="1"/>
  <c r="AJ60" i="3" s="1"/>
  <c r="AJ61" i="3" s="1"/>
  <c r="AJ62" i="3" s="1"/>
  <c r="AJ63" i="3" s="1"/>
  <c r="AJ64" i="3" s="1"/>
  <c r="AJ65" i="3" s="1"/>
  <c r="AJ66" i="3" s="1"/>
  <c r="AJ67" i="3" s="1"/>
  <c r="AK56" i="3" s="1"/>
  <c r="AK57" i="3" s="1"/>
  <c r="AK58" i="3" s="1"/>
  <c r="AK59" i="3" s="1"/>
  <c r="AK60" i="3" s="1"/>
  <c r="AK61" i="3" s="1"/>
  <c r="AK62" i="3" s="1"/>
  <c r="AK63" i="3" s="1"/>
  <c r="AK64" i="3" s="1"/>
  <c r="AK65" i="3" s="1"/>
  <c r="AK66" i="3" s="1"/>
  <c r="AK67" i="3" s="1"/>
  <c r="AL56" i="3" s="1"/>
  <c r="AL57" i="3" s="1"/>
  <c r="AL58" i="3" s="1"/>
  <c r="AL59" i="3" s="1"/>
  <c r="AL60" i="3" s="1"/>
  <c r="AL61" i="3" s="1"/>
  <c r="AL62" i="3" s="1"/>
  <c r="AL63" i="3" s="1"/>
  <c r="AL64" i="3" s="1"/>
  <c r="AL65" i="3" s="1"/>
  <c r="AL66" i="3" s="1"/>
  <c r="AL67" i="3" s="1"/>
  <c r="AM56" i="3" s="1"/>
  <c r="AM57" i="3" s="1"/>
  <c r="AM58" i="3" s="1"/>
  <c r="AM59" i="3" s="1"/>
  <c r="AM60" i="3" s="1"/>
  <c r="AM61" i="3" s="1"/>
  <c r="AM62" i="3" s="1"/>
  <c r="AM63" i="3" s="1"/>
  <c r="AM64" i="3" s="1"/>
  <c r="AM65" i="3" s="1"/>
  <c r="AM66" i="3" s="1"/>
  <c r="AM67" i="3" s="1"/>
  <c r="AN56" i="3" s="1"/>
  <c r="AN57" i="3" s="1"/>
  <c r="AN58" i="3" s="1"/>
  <c r="AN59" i="3" s="1"/>
  <c r="AN60" i="3" s="1"/>
  <c r="AN61" i="3" s="1"/>
  <c r="AN62" i="3" s="1"/>
  <c r="AN63" i="3" s="1"/>
  <c r="AN64" i="3" s="1"/>
  <c r="AN65" i="3" s="1"/>
  <c r="AN66" i="3" s="1"/>
  <c r="AN67" i="3" s="1"/>
  <c r="AO56" i="3" s="1"/>
  <c r="AO57" i="3" s="1"/>
  <c r="AO58" i="3" s="1"/>
  <c r="AO59" i="3" s="1"/>
  <c r="AO60" i="3" s="1"/>
  <c r="AO61" i="3" s="1"/>
  <c r="AO62" i="3" s="1"/>
  <c r="AO63" i="3" s="1"/>
  <c r="AO64" i="3" s="1"/>
  <c r="AO65" i="3" s="1"/>
  <c r="AO66" i="3" s="1"/>
  <c r="AO67" i="3" s="1"/>
  <c r="AP56" i="3" s="1"/>
  <c r="AP57" i="3" s="1"/>
  <c r="AP58" i="3" s="1"/>
  <c r="AP59" i="3" s="1"/>
  <c r="AP60" i="3" s="1"/>
  <c r="AP61" i="3" s="1"/>
  <c r="AP62" i="3" s="1"/>
  <c r="AP63" i="3" s="1"/>
  <c r="AP64" i="3" s="1"/>
  <c r="AP65" i="3" s="1"/>
  <c r="AP66" i="3" s="1"/>
  <c r="AP67" i="3" s="1"/>
  <c r="AQ56" i="3" s="1"/>
  <c r="AQ57" i="3" s="1"/>
  <c r="AQ58" i="3" s="1"/>
  <c r="AQ59" i="3" s="1"/>
  <c r="AQ60" i="3" s="1"/>
  <c r="AQ61" i="3" s="1"/>
  <c r="AQ62" i="3" s="1"/>
  <c r="AQ63" i="3" s="1"/>
  <c r="AQ64" i="3" s="1"/>
  <c r="AQ65" i="3" s="1"/>
  <c r="AQ66" i="3" s="1"/>
  <c r="AQ67" i="3" s="1"/>
  <c r="AR56" i="3" s="1"/>
  <c r="AR57" i="3" s="1"/>
  <c r="AR58" i="3" s="1"/>
  <c r="AR59" i="3" s="1"/>
  <c r="AR60" i="3" s="1"/>
  <c r="AR61" i="3" s="1"/>
  <c r="AR62" i="3" s="1"/>
  <c r="AR63" i="3" s="1"/>
  <c r="AR64" i="3" s="1"/>
  <c r="AR65" i="3" s="1"/>
  <c r="AR66" i="3" s="1"/>
  <c r="AR67" i="3" s="1"/>
  <c r="AS56" i="3" s="1"/>
  <c r="AS57" i="3" s="1"/>
  <c r="AS58" i="3" s="1"/>
  <c r="AS59" i="3" s="1"/>
  <c r="AS60" i="3" s="1"/>
  <c r="AS61" i="3" s="1"/>
  <c r="AS62" i="3" s="1"/>
  <c r="AS63" i="3" s="1"/>
  <c r="AS64" i="3" s="1"/>
  <c r="AS65" i="3" s="1"/>
  <c r="AS66" i="3" s="1"/>
  <c r="AS67" i="3" s="1"/>
  <c r="AT56" i="3" s="1"/>
  <c r="AT57" i="3" s="1"/>
  <c r="AT58" i="3" s="1"/>
  <c r="AT59" i="3" s="1"/>
  <c r="AT60" i="3" s="1"/>
  <c r="AT61" i="3" s="1"/>
  <c r="AT62" i="3" s="1"/>
  <c r="AT63" i="3" s="1"/>
  <c r="AT64" i="3" s="1"/>
  <c r="AT65" i="3" s="1"/>
  <c r="AT66" i="3" s="1"/>
  <c r="AT67" i="3" s="1"/>
  <c r="AU56" i="3" s="1"/>
  <c r="AU57" i="3" s="1"/>
  <c r="AU58" i="3" s="1"/>
  <c r="AU59" i="3" s="1"/>
  <c r="AU60" i="3" s="1"/>
  <c r="AU61" i="3" s="1"/>
  <c r="AU62" i="3" s="1"/>
  <c r="AU63" i="3" s="1"/>
  <c r="AU64" i="3" s="1"/>
  <c r="AU65" i="3" s="1"/>
  <c r="AU66" i="3" s="1"/>
  <c r="AU67" i="3" s="1"/>
  <c r="AV56" i="3" s="1"/>
  <c r="AV57" i="3" s="1"/>
  <c r="AV58" i="3" s="1"/>
  <c r="AV59" i="3" s="1"/>
  <c r="AV60" i="3" s="1"/>
  <c r="AV61" i="3" s="1"/>
  <c r="AV62" i="3" s="1"/>
  <c r="AV63" i="3" s="1"/>
  <c r="AV64" i="3" s="1"/>
  <c r="AV65" i="3" s="1"/>
  <c r="AV66" i="3" s="1"/>
  <c r="AV67" i="3" s="1"/>
  <c r="AW56" i="3" s="1"/>
  <c r="AW57" i="3" s="1"/>
  <c r="AW58" i="3" s="1"/>
  <c r="AW59" i="3" s="1"/>
  <c r="AW60" i="3" s="1"/>
  <c r="AW61" i="3" s="1"/>
  <c r="AW62" i="3" s="1"/>
  <c r="AW63" i="3" s="1"/>
  <c r="AW64" i="3" s="1"/>
  <c r="AW65" i="3" s="1"/>
  <c r="AW66" i="3" s="1"/>
  <c r="AW67" i="3" s="1"/>
  <c r="AX56" i="3" s="1"/>
  <c r="AX57" i="3" s="1"/>
  <c r="AX58" i="3" s="1"/>
  <c r="AX59" i="3" s="1"/>
  <c r="AX60" i="3" s="1"/>
  <c r="AX61" i="3" s="1"/>
  <c r="AX62" i="3" s="1"/>
  <c r="AX63" i="3" s="1"/>
  <c r="AX64" i="3" s="1"/>
  <c r="AX65" i="3" s="1"/>
  <c r="AX66" i="3" s="1"/>
  <c r="AX67" i="3" s="1"/>
  <c r="AY56" i="3" s="1"/>
  <c r="AY57" i="3" s="1"/>
  <c r="AY58" i="3" s="1"/>
  <c r="AY59" i="3" s="1"/>
  <c r="AY60" i="3" s="1"/>
  <c r="AY61" i="3" s="1"/>
  <c r="AY62" i="3" s="1"/>
  <c r="AY63" i="3" s="1"/>
  <c r="AY64" i="3" s="1"/>
  <c r="AY65" i="3" s="1"/>
  <c r="AY66" i="3" s="1"/>
  <c r="AY67" i="3" s="1"/>
  <c r="AZ56" i="3" s="1"/>
  <c r="AZ57" i="3" s="1"/>
  <c r="AZ58" i="3" s="1"/>
  <c r="AZ59" i="3" s="1"/>
  <c r="AZ60" i="3" s="1"/>
  <c r="AZ61" i="3" s="1"/>
  <c r="AZ62" i="3" s="1"/>
  <c r="AZ63" i="3" s="1"/>
  <c r="AZ64" i="3" s="1"/>
  <c r="AZ65" i="3" s="1"/>
  <c r="AZ66" i="3" s="1"/>
  <c r="AZ67" i="3" s="1"/>
  <c r="BA56" i="3" s="1"/>
  <c r="BA57" i="3" s="1"/>
  <c r="BA58" i="3" s="1"/>
  <c r="BA59" i="3" s="1"/>
  <c r="BA60" i="3" s="1"/>
  <c r="BA61" i="3" s="1"/>
  <c r="BA62" i="3" s="1"/>
  <c r="BA63" i="3" s="1"/>
  <c r="BA64" i="3" s="1"/>
  <c r="BA65" i="3" s="1"/>
  <c r="BA66" i="3" s="1"/>
  <c r="BA67" i="3" s="1"/>
  <c r="BB56" i="3" s="1"/>
  <c r="BB57" i="3" s="1"/>
  <c r="BB58" i="3" s="1"/>
  <c r="BB59" i="3" s="1"/>
  <c r="BB60" i="3" s="1"/>
  <c r="BB61" i="3" s="1"/>
  <c r="BB62" i="3" s="1"/>
  <c r="BB63" i="3" s="1"/>
  <c r="BB64" i="3" s="1"/>
  <c r="BB65" i="3" s="1"/>
  <c r="BB66" i="3" s="1"/>
  <c r="BB67" i="3" s="1"/>
  <c r="BC56" i="3" s="1"/>
  <c r="BC57" i="3" s="1"/>
  <c r="BC58" i="3" s="1"/>
  <c r="BC59" i="3" s="1"/>
  <c r="BC60" i="3" s="1"/>
  <c r="BC61" i="3" s="1"/>
  <c r="BC62" i="3" s="1"/>
  <c r="BC63" i="3" s="1"/>
  <c r="BC64" i="3" s="1"/>
  <c r="BC65" i="3" s="1"/>
  <c r="BC66" i="3" s="1"/>
  <c r="BC67" i="3" s="1"/>
  <c r="BD56" i="3" s="1"/>
  <c r="BD57" i="3" s="1"/>
  <c r="BD58" i="3" s="1"/>
  <c r="BD59" i="3" s="1"/>
  <c r="BD60" i="3" s="1"/>
  <c r="BD61" i="3" s="1"/>
  <c r="BD62" i="3" s="1"/>
  <c r="BD63" i="3" s="1"/>
  <c r="BD64" i="3" s="1"/>
  <c r="BD65" i="3" s="1"/>
  <c r="BD66" i="3" s="1"/>
  <c r="BD67" i="3" s="1"/>
  <c r="BE56" i="3" s="1"/>
  <c r="BE57" i="3" s="1"/>
  <c r="BE58" i="3" s="1"/>
  <c r="BE59" i="3" s="1"/>
  <c r="BE60" i="3" s="1"/>
  <c r="BE61" i="3" s="1"/>
  <c r="BE62" i="3" s="1"/>
  <c r="BE63" i="3" s="1"/>
  <c r="BE64" i="3" s="1"/>
  <c r="BE65" i="3" s="1"/>
  <c r="BE66" i="3" s="1"/>
  <c r="BE67" i="3" s="1"/>
  <c r="BF56" i="3" s="1"/>
  <c r="BF57" i="3" s="1"/>
  <c r="BF58" i="3" s="1"/>
  <c r="BF59" i="3" s="1"/>
  <c r="BF60" i="3" s="1"/>
  <c r="BF61" i="3" s="1"/>
  <c r="BF62" i="3" s="1"/>
  <c r="BF63" i="3" s="1"/>
  <c r="BF64" i="3" s="1"/>
  <c r="BF65" i="3" s="1"/>
  <c r="BF66" i="3" s="1"/>
  <c r="BF67" i="3" s="1"/>
  <c r="BG56" i="3" s="1"/>
  <c r="BG57" i="3" s="1"/>
  <c r="BG58" i="3" s="1"/>
  <c r="BG59" i="3" s="1"/>
  <c r="BG60" i="3" s="1"/>
  <c r="BG61" i="3" s="1"/>
  <c r="BG62" i="3" s="1"/>
  <c r="BG63" i="3" s="1"/>
  <c r="BG64" i="3" s="1"/>
  <c r="BG65" i="3" s="1"/>
  <c r="BG66" i="3" s="1"/>
  <c r="BG67" i="3" s="1"/>
  <c r="BH56" i="3" s="1"/>
  <c r="BH57" i="3" s="1"/>
  <c r="BH58" i="3" s="1"/>
  <c r="BH59" i="3" s="1"/>
  <c r="BH60" i="3" s="1"/>
  <c r="BH61" i="3" s="1"/>
  <c r="BH62" i="3" s="1"/>
  <c r="BH63" i="3" s="1"/>
  <c r="BH64" i="3" s="1"/>
  <c r="BH65" i="3" s="1"/>
  <c r="BH66" i="3" s="1"/>
  <c r="BH67" i="3" s="1"/>
  <c r="BI56" i="3" s="1"/>
  <c r="BI57" i="3" s="1"/>
  <c r="BI58" i="3" s="1"/>
  <c r="BI59" i="3" s="1"/>
  <c r="BI60" i="3" s="1"/>
  <c r="BI61" i="3" s="1"/>
  <c r="BI62" i="3" s="1"/>
  <c r="BI63" i="3" s="1"/>
  <c r="BI64" i="3" s="1"/>
  <c r="BI65" i="3" s="1"/>
  <c r="BI66" i="3" s="1"/>
  <c r="BI67" i="3" s="1"/>
  <c r="BJ56" i="3" s="1"/>
  <c r="BJ57" i="3" s="1"/>
  <c r="BJ58" i="3" s="1"/>
  <c r="BJ59" i="3" s="1"/>
  <c r="BJ60" i="3" s="1"/>
  <c r="BJ61" i="3" s="1"/>
  <c r="BJ62" i="3" s="1"/>
  <c r="BJ63" i="3" s="1"/>
  <c r="BJ64" i="3" s="1"/>
  <c r="BJ65" i="3" s="1"/>
  <c r="BJ66" i="3" s="1"/>
  <c r="BJ67" i="3" s="1"/>
  <c r="D56" i="3"/>
  <c r="D57" i="3" s="1"/>
  <c r="D58" i="3" s="1"/>
  <c r="D59" i="3" s="1"/>
  <c r="D60" i="3" s="1"/>
  <c r="D61" i="3" s="1"/>
  <c r="D62" i="3" s="1"/>
  <c r="D63" i="3" s="1"/>
  <c r="D64" i="3" s="1"/>
  <c r="D65" i="3" s="1"/>
  <c r="D66" i="3" s="1"/>
  <c r="D67" i="3" s="1"/>
  <c r="E56" i="3" s="1"/>
  <c r="E57" i="3" s="1"/>
  <c r="E58" i="3" s="1"/>
  <c r="E59" i="3" s="1"/>
  <c r="E60" i="3" s="1"/>
  <c r="E61" i="3" s="1"/>
  <c r="E62" i="3" s="1"/>
  <c r="E63" i="3" s="1"/>
  <c r="E64" i="3" s="1"/>
  <c r="E65" i="3" s="1"/>
  <c r="E66" i="3" s="1"/>
  <c r="E67" i="3" s="1"/>
  <c r="F56" i="3" s="1"/>
  <c r="F57" i="3" s="1"/>
  <c r="F58" i="3" s="1"/>
  <c r="F59" i="3" s="1"/>
  <c r="F60" i="3" s="1"/>
  <c r="F61" i="3" s="1"/>
  <c r="F62" i="3" s="1"/>
  <c r="F63" i="3" s="1"/>
  <c r="F64" i="3" s="1"/>
  <c r="F65" i="3" s="1"/>
  <c r="F66" i="3" s="1"/>
  <c r="F67" i="3" s="1"/>
  <c r="G56" i="3" s="1"/>
  <c r="G57" i="3" s="1"/>
  <c r="G58" i="3" s="1"/>
  <c r="G59" i="3" s="1"/>
  <c r="G60" i="3" s="1"/>
  <c r="G61" i="3" s="1"/>
  <c r="G62" i="3" s="1"/>
  <c r="G63" i="3" s="1"/>
  <c r="G64" i="3" s="1"/>
  <c r="G65" i="3" s="1"/>
  <c r="AI37" i="3"/>
  <c r="AI38" i="3" s="1"/>
  <c r="AI39" i="3" s="1"/>
  <c r="AI40" i="3" s="1"/>
  <c r="AI41" i="3" s="1"/>
  <c r="AI42" i="3" s="1"/>
  <c r="AI43" i="3" s="1"/>
  <c r="AI44" i="3" s="1"/>
  <c r="AI45" i="3" s="1"/>
  <c r="AI46" i="3" s="1"/>
  <c r="AI47" i="3" s="1"/>
  <c r="AI48" i="3" s="1"/>
  <c r="AJ37" i="3" s="1"/>
  <c r="AJ38" i="3" s="1"/>
  <c r="AJ39" i="3" s="1"/>
  <c r="AJ40" i="3" s="1"/>
  <c r="AJ41" i="3" s="1"/>
  <c r="AJ42" i="3" s="1"/>
  <c r="AJ43" i="3" s="1"/>
  <c r="AJ44" i="3" s="1"/>
  <c r="AJ45" i="3" s="1"/>
  <c r="AJ46" i="3" s="1"/>
  <c r="AJ47" i="3" s="1"/>
  <c r="AJ48" i="3" s="1"/>
  <c r="AK37" i="3" s="1"/>
  <c r="AK38" i="3" s="1"/>
  <c r="AK39" i="3" s="1"/>
  <c r="AK40" i="3" s="1"/>
  <c r="AK41" i="3" s="1"/>
  <c r="AK42" i="3" s="1"/>
  <c r="AK43" i="3" s="1"/>
  <c r="AK44" i="3" s="1"/>
  <c r="AK45" i="3" s="1"/>
  <c r="AK46" i="3" s="1"/>
  <c r="AK47" i="3" s="1"/>
  <c r="AK48" i="3" s="1"/>
  <c r="AL37" i="3" s="1"/>
  <c r="AL38" i="3" s="1"/>
  <c r="AL39" i="3" s="1"/>
  <c r="AL40" i="3" s="1"/>
  <c r="AL41" i="3" s="1"/>
  <c r="AL42" i="3" s="1"/>
  <c r="AL43" i="3" s="1"/>
  <c r="AL44" i="3" s="1"/>
  <c r="AL45" i="3" s="1"/>
  <c r="AL46" i="3" s="1"/>
  <c r="AL47" i="3" s="1"/>
  <c r="AL48" i="3" s="1"/>
  <c r="AM37" i="3" s="1"/>
  <c r="AM38" i="3" s="1"/>
  <c r="AM39" i="3" s="1"/>
  <c r="AM40" i="3" s="1"/>
  <c r="AM41" i="3" s="1"/>
  <c r="AM42" i="3" s="1"/>
  <c r="AM43" i="3" s="1"/>
  <c r="AM44" i="3" s="1"/>
  <c r="AM45" i="3" s="1"/>
  <c r="AM46" i="3" s="1"/>
  <c r="AM47" i="3" s="1"/>
  <c r="AM48" i="3" s="1"/>
  <c r="AN37" i="3" s="1"/>
  <c r="AN38" i="3" s="1"/>
  <c r="AN39" i="3" s="1"/>
  <c r="AN40" i="3" s="1"/>
  <c r="AN41" i="3" s="1"/>
  <c r="AN42" i="3" s="1"/>
  <c r="AN43" i="3" s="1"/>
  <c r="AN44" i="3" s="1"/>
  <c r="AN45" i="3" s="1"/>
  <c r="AN46" i="3" s="1"/>
  <c r="AN47" i="3" s="1"/>
  <c r="AN48" i="3" s="1"/>
  <c r="AO37" i="3" s="1"/>
  <c r="AO38" i="3" s="1"/>
  <c r="AO39" i="3" s="1"/>
  <c r="AO40" i="3" s="1"/>
  <c r="AO41" i="3" s="1"/>
  <c r="AO42" i="3" s="1"/>
  <c r="AO43" i="3" s="1"/>
  <c r="AO44" i="3" s="1"/>
  <c r="AO45" i="3" s="1"/>
  <c r="AO46" i="3" s="1"/>
  <c r="AO47" i="3" s="1"/>
  <c r="AO48" i="3" s="1"/>
  <c r="AP37" i="3" s="1"/>
  <c r="AP38" i="3" s="1"/>
  <c r="AP39" i="3" s="1"/>
  <c r="AP40" i="3" s="1"/>
  <c r="AP41" i="3" s="1"/>
  <c r="AP42" i="3" s="1"/>
  <c r="AP43" i="3" s="1"/>
  <c r="AP44" i="3" s="1"/>
  <c r="AP45" i="3" s="1"/>
  <c r="AP46" i="3" s="1"/>
  <c r="AP47" i="3" s="1"/>
  <c r="AP48" i="3" s="1"/>
  <c r="AQ37" i="3" s="1"/>
  <c r="AQ38" i="3" s="1"/>
  <c r="AQ39" i="3" s="1"/>
  <c r="AQ40" i="3" s="1"/>
  <c r="AQ41" i="3" s="1"/>
  <c r="AQ42" i="3" s="1"/>
  <c r="AQ43" i="3" s="1"/>
  <c r="AQ44" i="3" s="1"/>
  <c r="AQ45" i="3" s="1"/>
  <c r="AQ46" i="3" s="1"/>
  <c r="AQ47" i="3" s="1"/>
  <c r="AQ48" i="3" s="1"/>
  <c r="AR37" i="3" s="1"/>
  <c r="AR38" i="3" s="1"/>
  <c r="AR39" i="3" s="1"/>
  <c r="AR40" i="3" s="1"/>
  <c r="AR41" i="3" s="1"/>
  <c r="AR42" i="3" s="1"/>
  <c r="AR43" i="3" s="1"/>
  <c r="AR44" i="3" s="1"/>
  <c r="AR45" i="3" s="1"/>
  <c r="AR46" i="3" s="1"/>
  <c r="AR47" i="3" s="1"/>
  <c r="AR48" i="3" s="1"/>
  <c r="AS37" i="3" s="1"/>
  <c r="AS38" i="3" s="1"/>
  <c r="AS39" i="3" s="1"/>
  <c r="AS40" i="3" s="1"/>
  <c r="AS41" i="3" s="1"/>
  <c r="AS42" i="3" s="1"/>
  <c r="AS43" i="3" s="1"/>
  <c r="AS44" i="3" s="1"/>
  <c r="AS45" i="3" s="1"/>
  <c r="AS46" i="3" s="1"/>
  <c r="AS47" i="3" s="1"/>
  <c r="AS48" i="3" s="1"/>
  <c r="AT37" i="3" s="1"/>
  <c r="AT38" i="3" s="1"/>
  <c r="AT39" i="3" s="1"/>
  <c r="AT40" i="3" s="1"/>
  <c r="AT41" i="3" s="1"/>
  <c r="AT42" i="3" s="1"/>
  <c r="AT43" i="3" s="1"/>
  <c r="AT44" i="3" s="1"/>
  <c r="AT45" i="3" s="1"/>
  <c r="AT46" i="3" s="1"/>
  <c r="AT47" i="3" s="1"/>
  <c r="AT48" i="3" s="1"/>
  <c r="AU37" i="3" s="1"/>
  <c r="AU38" i="3" s="1"/>
  <c r="AU39" i="3" s="1"/>
  <c r="AU40" i="3" s="1"/>
  <c r="AU41" i="3" s="1"/>
  <c r="AU42" i="3" s="1"/>
  <c r="AU43" i="3" s="1"/>
  <c r="AU44" i="3" s="1"/>
  <c r="AU45" i="3" s="1"/>
  <c r="AU46" i="3" s="1"/>
  <c r="AU47" i="3" s="1"/>
  <c r="AU48" i="3" s="1"/>
  <c r="AV37" i="3" s="1"/>
  <c r="AV38" i="3" s="1"/>
  <c r="AV39" i="3" s="1"/>
  <c r="AV40" i="3" s="1"/>
  <c r="AV41" i="3" s="1"/>
  <c r="AV42" i="3" s="1"/>
  <c r="AV43" i="3" s="1"/>
  <c r="AV44" i="3" s="1"/>
  <c r="AV45" i="3" s="1"/>
  <c r="AV46" i="3" s="1"/>
  <c r="AV47" i="3" s="1"/>
  <c r="AV48" i="3" s="1"/>
  <c r="AW37" i="3" s="1"/>
  <c r="AW38" i="3" s="1"/>
  <c r="AW39" i="3" s="1"/>
  <c r="AW40" i="3" s="1"/>
  <c r="AW41" i="3" s="1"/>
  <c r="AW42" i="3" s="1"/>
  <c r="AW43" i="3" s="1"/>
  <c r="AW44" i="3" s="1"/>
  <c r="AW45" i="3" s="1"/>
  <c r="AW46" i="3" s="1"/>
  <c r="AW47" i="3" s="1"/>
  <c r="AW48" i="3" s="1"/>
  <c r="AX37" i="3" s="1"/>
  <c r="AX38" i="3" s="1"/>
  <c r="AX39" i="3" s="1"/>
  <c r="AX40" i="3" s="1"/>
  <c r="AX41" i="3" s="1"/>
  <c r="AX42" i="3" s="1"/>
  <c r="AX43" i="3" s="1"/>
  <c r="AX44" i="3" s="1"/>
  <c r="AX45" i="3" s="1"/>
  <c r="AX46" i="3" s="1"/>
  <c r="AX47" i="3" s="1"/>
  <c r="AX48" i="3" s="1"/>
  <c r="AY37" i="3" s="1"/>
  <c r="AY38" i="3" s="1"/>
  <c r="AY39" i="3" s="1"/>
  <c r="AY40" i="3" s="1"/>
  <c r="AY41" i="3" s="1"/>
  <c r="AY42" i="3" s="1"/>
  <c r="AY43" i="3" s="1"/>
  <c r="AY44" i="3" s="1"/>
  <c r="AY45" i="3" s="1"/>
  <c r="AY46" i="3" s="1"/>
  <c r="AY47" i="3" s="1"/>
  <c r="AY48" i="3" s="1"/>
  <c r="AZ37" i="3" s="1"/>
  <c r="AZ38" i="3" s="1"/>
  <c r="AZ39" i="3" s="1"/>
  <c r="AZ40" i="3" s="1"/>
  <c r="AZ41" i="3" s="1"/>
  <c r="AZ42" i="3" s="1"/>
  <c r="AZ43" i="3" s="1"/>
  <c r="AZ44" i="3" s="1"/>
  <c r="AZ45" i="3" s="1"/>
  <c r="AZ46" i="3" s="1"/>
  <c r="AZ47" i="3" s="1"/>
  <c r="AZ48" i="3" s="1"/>
  <c r="BA37" i="3" s="1"/>
  <c r="BA38" i="3" s="1"/>
  <c r="BA39" i="3" s="1"/>
  <c r="BA40" i="3" s="1"/>
  <c r="BA41" i="3" s="1"/>
  <c r="BA42" i="3" s="1"/>
  <c r="BA43" i="3" s="1"/>
  <c r="BA44" i="3" s="1"/>
  <c r="BA45" i="3" s="1"/>
  <c r="BA46" i="3" s="1"/>
  <c r="BA47" i="3" s="1"/>
  <c r="BA48" i="3" s="1"/>
  <c r="BB37" i="3" s="1"/>
  <c r="BB38" i="3" s="1"/>
  <c r="BB39" i="3" s="1"/>
  <c r="BB40" i="3" s="1"/>
  <c r="BB41" i="3" s="1"/>
  <c r="BB42" i="3" s="1"/>
  <c r="BB43" i="3" s="1"/>
  <c r="BB44" i="3" s="1"/>
  <c r="BB45" i="3" s="1"/>
  <c r="BB46" i="3" s="1"/>
  <c r="BB47" i="3" s="1"/>
  <c r="BB48" i="3" s="1"/>
  <c r="BC37" i="3" s="1"/>
  <c r="BC38" i="3" s="1"/>
  <c r="BC39" i="3" s="1"/>
  <c r="BC40" i="3" s="1"/>
  <c r="BC41" i="3" s="1"/>
  <c r="BC42" i="3" s="1"/>
  <c r="BC43" i="3" s="1"/>
  <c r="BC44" i="3" s="1"/>
  <c r="BC45" i="3" s="1"/>
  <c r="BC46" i="3" s="1"/>
  <c r="BC47" i="3" s="1"/>
  <c r="BC48" i="3" s="1"/>
  <c r="BD37" i="3" s="1"/>
  <c r="BD38" i="3" s="1"/>
  <c r="BD39" i="3" s="1"/>
  <c r="BD40" i="3" s="1"/>
  <c r="BD41" i="3" s="1"/>
  <c r="BD42" i="3" s="1"/>
  <c r="BD43" i="3" s="1"/>
  <c r="BD44" i="3" s="1"/>
  <c r="BD45" i="3" s="1"/>
  <c r="BD46" i="3" s="1"/>
  <c r="BD47" i="3" s="1"/>
  <c r="BD48" i="3" s="1"/>
  <c r="BE37" i="3" s="1"/>
  <c r="BE38" i="3" s="1"/>
  <c r="BE39" i="3" s="1"/>
  <c r="BE40" i="3" s="1"/>
  <c r="BE41" i="3" s="1"/>
  <c r="BE42" i="3" s="1"/>
  <c r="BE43" i="3" s="1"/>
  <c r="BE44" i="3" s="1"/>
  <c r="BE45" i="3" s="1"/>
  <c r="BE46" i="3" s="1"/>
  <c r="BE47" i="3" s="1"/>
  <c r="BE48" i="3" s="1"/>
  <c r="BF37" i="3" s="1"/>
  <c r="BF38" i="3" s="1"/>
  <c r="BF39" i="3" s="1"/>
  <c r="BF40" i="3" s="1"/>
  <c r="BF41" i="3" s="1"/>
  <c r="BF42" i="3" s="1"/>
  <c r="BF43" i="3" s="1"/>
  <c r="BF44" i="3" s="1"/>
  <c r="BF45" i="3" s="1"/>
  <c r="BF46" i="3" s="1"/>
  <c r="BF47" i="3" s="1"/>
  <c r="BF48" i="3" s="1"/>
  <c r="BG37" i="3" s="1"/>
  <c r="BG38" i="3" s="1"/>
  <c r="BG39" i="3" s="1"/>
  <c r="BG40" i="3" s="1"/>
  <c r="BG41" i="3" s="1"/>
  <c r="BG42" i="3" s="1"/>
  <c r="BG43" i="3" s="1"/>
  <c r="BG44" i="3" s="1"/>
  <c r="BG45" i="3" s="1"/>
  <c r="BG46" i="3" s="1"/>
  <c r="BG47" i="3" s="1"/>
  <c r="BG48" i="3" s="1"/>
  <c r="BH37" i="3" s="1"/>
  <c r="BH38" i="3" s="1"/>
  <c r="BH39" i="3" s="1"/>
  <c r="BH40" i="3" s="1"/>
  <c r="BH41" i="3" s="1"/>
  <c r="BH42" i="3" s="1"/>
  <c r="BH43" i="3" s="1"/>
  <c r="BH44" i="3" s="1"/>
  <c r="BH45" i="3" s="1"/>
  <c r="BH46" i="3" s="1"/>
  <c r="BH47" i="3" s="1"/>
  <c r="BH48" i="3" s="1"/>
  <c r="BI37" i="3" s="1"/>
  <c r="BI38" i="3" s="1"/>
  <c r="BI39" i="3" s="1"/>
  <c r="BI40" i="3" s="1"/>
  <c r="BI41" i="3" s="1"/>
  <c r="BI42" i="3" s="1"/>
  <c r="BI43" i="3" s="1"/>
  <c r="BI44" i="3" s="1"/>
  <c r="BI45" i="3" s="1"/>
  <c r="BI46" i="3" s="1"/>
  <c r="BI47" i="3" s="1"/>
  <c r="BI48" i="3" s="1"/>
  <c r="BJ37" i="3" s="1"/>
  <c r="BJ38" i="3" s="1"/>
  <c r="BJ39" i="3" s="1"/>
  <c r="BJ40" i="3" s="1"/>
  <c r="BJ41" i="3" s="1"/>
  <c r="BJ42" i="3" s="1"/>
  <c r="BJ43" i="3" s="1"/>
  <c r="BJ44" i="3" s="1"/>
  <c r="BJ45" i="3" s="1"/>
  <c r="BJ46" i="3" s="1"/>
  <c r="BJ47" i="3" s="1"/>
  <c r="BJ48" i="3" s="1"/>
  <c r="D37" i="3"/>
  <c r="D38" i="3" s="1"/>
  <c r="D39" i="3" s="1"/>
  <c r="D40" i="3" s="1"/>
  <c r="D41" i="3" s="1"/>
  <c r="D42" i="3" s="1"/>
  <c r="D43" i="3" s="1"/>
  <c r="D44" i="3" s="1"/>
  <c r="D45" i="3" s="1"/>
  <c r="D46" i="3" s="1"/>
  <c r="D47" i="3" s="1"/>
  <c r="D48" i="3" s="1"/>
  <c r="E37" i="3" s="1"/>
  <c r="E38" i="3" s="1"/>
  <c r="E39" i="3" s="1"/>
  <c r="E40" i="3" s="1"/>
  <c r="E41" i="3" s="1"/>
  <c r="E42" i="3" s="1"/>
  <c r="E43" i="3" s="1"/>
  <c r="E44" i="3" s="1"/>
  <c r="E45" i="3" s="1"/>
  <c r="E46" i="3" s="1"/>
  <c r="E47" i="3" s="1"/>
  <c r="E48" i="3" s="1"/>
  <c r="F37" i="3" s="1"/>
  <c r="F38" i="3" s="1"/>
  <c r="F39" i="3" s="1"/>
  <c r="F40" i="3" s="1"/>
  <c r="F41" i="3" s="1"/>
  <c r="F42" i="3" s="1"/>
  <c r="F43" i="3" s="1"/>
  <c r="F44" i="3" s="1"/>
  <c r="F45" i="3" s="1"/>
  <c r="F46" i="3" s="1"/>
  <c r="F47" i="3" s="1"/>
  <c r="F48" i="3" s="1"/>
  <c r="G37" i="3" s="1"/>
  <c r="G38" i="3" s="1"/>
  <c r="G39" i="3" s="1"/>
  <c r="G40" i="3" s="1"/>
  <c r="G41" i="3" s="1"/>
  <c r="G42" i="3" s="1"/>
  <c r="G43" i="3" s="1"/>
  <c r="G44" i="3" s="1"/>
  <c r="G45" i="3" s="1"/>
  <c r="G46" i="3" s="1"/>
  <c r="G47" i="3" s="1"/>
  <c r="AI15" i="3"/>
  <c r="AI16" i="3" s="1"/>
  <c r="AI17" i="3" s="1"/>
  <c r="AI18" i="3" s="1"/>
  <c r="AI19" i="3" s="1"/>
  <c r="AI20" i="3" s="1"/>
  <c r="AI21" i="3" s="1"/>
  <c r="AI22" i="3" s="1"/>
  <c r="AI23" i="3" s="1"/>
  <c r="AI24" i="3" s="1"/>
  <c r="AI25" i="3" s="1"/>
  <c r="AI26" i="3" s="1"/>
  <c r="AJ15" i="3" s="1"/>
  <c r="AJ16" i="3" s="1"/>
  <c r="AJ17" i="3" s="1"/>
  <c r="AJ18" i="3" s="1"/>
  <c r="AJ19" i="3" s="1"/>
  <c r="AJ20" i="3" s="1"/>
  <c r="AJ21" i="3" s="1"/>
  <c r="AJ22" i="3" s="1"/>
  <c r="AJ23" i="3" s="1"/>
  <c r="AJ24" i="3" s="1"/>
  <c r="AJ25" i="3" s="1"/>
  <c r="AJ26" i="3" s="1"/>
  <c r="AK15" i="3" s="1"/>
  <c r="AK16" i="3" s="1"/>
  <c r="AK17" i="3" s="1"/>
  <c r="AK18" i="3" s="1"/>
  <c r="AK19" i="3" s="1"/>
  <c r="AK20" i="3" s="1"/>
  <c r="AK21" i="3" s="1"/>
  <c r="AK22" i="3" s="1"/>
  <c r="AK23" i="3" s="1"/>
  <c r="AK24" i="3" s="1"/>
  <c r="AK25" i="3" s="1"/>
  <c r="AK26" i="3" s="1"/>
  <c r="AL15" i="3" s="1"/>
  <c r="AL16" i="3" s="1"/>
  <c r="AL17" i="3" s="1"/>
  <c r="AL18" i="3" s="1"/>
  <c r="AL19" i="3" s="1"/>
  <c r="AL20" i="3" s="1"/>
  <c r="AL21" i="3" s="1"/>
  <c r="AL22" i="3" s="1"/>
  <c r="AL23" i="3" s="1"/>
  <c r="AL24" i="3" s="1"/>
  <c r="AL25" i="3" s="1"/>
  <c r="AL26" i="3" s="1"/>
  <c r="AM15" i="3" s="1"/>
  <c r="AM16" i="3" s="1"/>
  <c r="AM17" i="3" s="1"/>
  <c r="AM18" i="3" s="1"/>
  <c r="AM19" i="3" s="1"/>
  <c r="AM20" i="3" s="1"/>
  <c r="AM21" i="3" s="1"/>
  <c r="AM22" i="3" s="1"/>
  <c r="AM23" i="3" s="1"/>
  <c r="AM24" i="3" s="1"/>
  <c r="AM25" i="3" s="1"/>
  <c r="AM26" i="3" s="1"/>
  <c r="AN15" i="3" s="1"/>
  <c r="AN16" i="3" s="1"/>
  <c r="AN17" i="3" s="1"/>
  <c r="AN18" i="3" s="1"/>
  <c r="AN19" i="3" s="1"/>
  <c r="AN20" i="3" s="1"/>
  <c r="AN21" i="3" s="1"/>
  <c r="AN22" i="3" s="1"/>
  <c r="AN23" i="3" s="1"/>
  <c r="AN24" i="3" s="1"/>
  <c r="AN25" i="3" s="1"/>
  <c r="AN26" i="3" s="1"/>
  <c r="AO15" i="3" s="1"/>
  <c r="AO16" i="3" s="1"/>
  <c r="AO17" i="3" s="1"/>
  <c r="AO18" i="3" s="1"/>
  <c r="AO19" i="3" s="1"/>
  <c r="AO20" i="3" s="1"/>
  <c r="AO21" i="3" s="1"/>
  <c r="AO22" i="3" s="1"/>
  <c r="AO23" i="3" s="1"/>
  <c r="AO24" i="3" s="1"/>
  <c r="AO25" i="3" s="1"/>
  <c r="AO26" i="3" s="1"/>
  <c r="AP15" i="3" s="1"/>
  <c r="AP16" i="3" s="1"/>
  <c r="AP17" i="3" s="1"/>
  <c r="AP18" i="3" s="1"/>
  <c r="AP19" i="3" s="1"/>
  <c r="AP20" i="3" s="1"/>
  <c r="AP21" i="3" s="1"/>
  <c r="AP22" i="3" s="1"/>
  <c r="AP23" i="3" s="1"/>
  <c r="AP24" i="3" s="1"/>
  <c r="AP25" i="3" s="1"/>
  <c r="AP26" i="3" s="1"/>
  <c r="AQ15" i="3" s="1"/>
  <c r="AQ16" i="3" s="1"/>
  <c r="AQ17" i="3" s="1"/>
  <c r="AQ18" i="3" s="1"/>
  <c r="AQ19" i="3" s="1"/>
  <c r="AQ20" i="3" s="1"/>
  <c r="AQ21" i="3" s="1"/>
  <c r="AQ22" i="3" s="1"/>
  <c r="AQ23" i="3" s="1"/>
  <c r="AQ24" i="3" s="1"/>
  <c r="AQ25" i="3" s="1"/>
  <c r="AQ26" i="3" s="1"/>
  <c r="AR15" i="3" s="1"/>
  <c r="AR16" i="3" s="1"/>
  <c r="AR17" i="3" s="1"/>
  <c r="AR18" i="3" s="1"/>
  <c r="AR19" i="3" s="1"/>
  <c r="AR20" i="3" s="1"/>
  <c r="AR21" i="3" s="1"/>
  <c r="AR22" i="3" s="1"/>
  <c r="AR23" i="3" s="1"/>
  <c r="AR24" i="3" s="1"/>
  <c r="AR25" i="3" s="1"/>
  <c r="AR26" i="3" s="1"/>
  <c r="AS15" i="3" s="1"/>
  <c r="AS16" i="3" s="1"/>
  <c r="AS17" i="3" s="1"/>
  <c r="AS18" i="3" s="1"/>
  <c r="AS19" i="3" s="1"/>
  <c r="AS20" i="3" s="1"/>
  <c r="AS21" i="3" s="1"/>
  <c r="AS22" i="3" s="1"/>
  <c r="AS23" i="3" s="1"/>
  <c r="AS24" i="3" s="1"/>
  <c r="AS25" i="3" s="1"/>
  <c r="AS26" i="3" s="1"/>
  <c r="AT15" i="3" s="1"/>
  <c r="AT16" i="3" s="1"/>
  <c r="AT17" i="3" s="1"/>
  <c r="AT18" i="3" s="1"/>
  <c r="AT19" i="3" s="1"/>
  <c r="AT20" i="3" s="1"/>
  <c r="AT21" i="3" s="1"/>
  <c r="AT22" i="3" s="1"/>
  <c r="AT23" i="3" s="1"/>
  <c r="AT24" i="3" s="1"/>
  <c r="AT25" i="3" s="1"/>
  <c r="AT26" i="3" s="1"/>
  <c r="AU15" i="3" s="1"/>
  <c r="AU16" i="3" s="1"/>
  <c r="AU17" i="3" s="1"/>
  <c r="AU18" i="3" s="1"/>
  <c r="AU19" i="3" s="1"/>
  <c r="AU20" i="3" s="1"/>
  <c r="AU21" i="3" s="1"/>
  <c r="AU22" i="3" s="1"/>
  <c r="AU23" i="3" s="1"/>
  <c r="AU24" i="3" s="1"/>
  <c r="AU25" i="3" s="1"/>
  <c r="AU26" i="3" s="1"/>
  <c r="AV15" i="3" s="1"/>
  <c r="AV16" i="3" s="1"/>
  <c r="AV17" i="3" s="1"/>
  <c r="AV18" i="3" s="1"/>
  <c r="AV19" i="3" s="1"/>
  <c r="AV20" i="3" s="1"/>
  <c r="AV21" i="3" s="1"/>
  <c r="AV22" i="3" s="1"/>
  <c r="AV23" i="3" s="1"/>
  <c r="AV24" i="3" s="1"/>
  <c r="AV25" i="3" s="1"/>
  <c r="AV26" i="3" s="1"/>
  <c r="AW15" i="3" s="1"/>
  <c r="AW16" i="3" s="1"/>
  <c r="AW17" i="3" s="1"/>
  <c r="AW18" i="3" s="1"/>
  <c r="AW19" i="3" s="1"/>
  <c r="AW20" i="3" s="1"/>
  <c r="AW21" i="3" s="1"/>
  <c r="AW22" i="3" s="1"/>
  <c r="AW23" i="3" s="1"/>
  <c r="AW24" i="3" s="1"/>
  <c r="AW25" i="3" s="1"/>
  <c r="AW26" i="3" s="1"/>
  <c r="AX15" i="3" s="1"/>
  <c r="AX16" i="3" s="1"/>
  <c r="AX17" i="3" s="1"/>
  <c r="AX18" i="3" s="1"/>
  <c r="AX19" i="3" s="1"/>
  <c r="AX20" i="3" s="1"/>
  <c r="AX21" i="3" s="1"/>
  <c r="AX22" i="3" s="1"/>
  <c r="AX23" i="3" s="1"/>
  <c r="AX24" i="3" s="1"/>
  <c r="AX25" i="3" s="1"/>
  <c r="AX26" i="3" s="1"/>
  <c r="AY15" i="3" s="1"/>
  <c r="AY16" i="3" s="1"/>
  <c r="AY17" i="3" s="1"/>
  <c r="AY18" i="3" s="1"/>
  <c r="AY19" i="3" s="1"/>
  <c r="AY20" i="3" s="1"/>
  <c r="AY21" i="3" s="1"/>
  <c r="AY22" i="3" s="1"/>
  <c r="AY23" i="3" s="1"/>
  <c r="AY24" i="3" s="1"/>
  <c r="AY25" i="3" s="1"/>
  <c r="AY26" i="3" s="1"/>
  <c r="AZ15" i="3" s="1"/>
  <c r="AZ16" i="3" s="1"/>
  <c r="AZ17" i="3" s="1"/>
  <c r="AZ18" i="3" s="1"/>
  <c r="AZ19" i="3" s="1"/>
  <c r="AZ20" i="3" s="1"/>
  <c r="AZ21" i="3" s="1"/>
  <c r="AZ22" i="3" s="1"/>
  <c r="AZ23" i="3" s="1"/>
  <c r="AZ24" i="3" s="1"/>
  <c r="AZ25" i="3" s="1"/>
  <c r="AZ26" i="3" s="1"/>
  <c r="BA15" i="3" s="1"/>
  <c r="BA16" i="3" s="1"/>
  <c r="BA17" i="3" s="1"/>
  <c r="BA18" i="3" s="1"/>
  <c r="BA19" i="3" s="1"/>
  <c r="BA20" i="3" s="1"/>
  <c r="BA21" i="3" s="1"/>
  <c r="BA22" i="3" s="1"/>
  <c r="BA23" i="3" s="1"/>
  <c r="BA24" i="3" s="1"/>
  <c r="BA25" i="3" s="1"/>
  <c r="BA26" i="3" s="1"/>
  <c r="BB15" i="3" s="1"/>
  <c r="BB16" i="3" s="1"/>
  <c r="BB17" i="3" s="1"/>
  <c r="BB18" i="3" s="1"/>
  <c r="BB19" i="3" s="1"/>
  <c r="BB20" i="3" s="1"/>
  <c r="BB21" i="3" s="1"/>
  <c r="BB22" i="3" s="1"/>
  <c r="BB23" i="3" s="1"/>
  <c r="BB24" i="3" s="1"/>
  <c r="BB25" i="3" s="1"/>
  <c r="BB26" i="3" s="1"/>
  <c r="BC15" i="3" s="1"/>
  <c r="BC16" i="3" s="1"/>
  <c r="BC17" i="3" s="1"/>
  <c r="BC18" i="3" s="1"/>
  <c r="BC19" i="3" s="1"/>
  <c r="BC20" i="3" s="1"/>
  <c r="BC21" i="3" s="1"/>
  <c r="BC22" i="3" s="1"/>
  <c r="BC23" i="3" s="1"/>
  <c r="BC24" i="3" s="1"/>
  <c r="BC25" i="3" s="1"/>
  <c r="BC26" i="3" s="1"/>
  <c r="BD15" i="3" s="1"/>
  <c r="BD16" i="3" s="1"/>
  <c r="BD17" i="3" s="1"/>
  <c r="BD18" i="3" s="1"/>
  <c r="BD19" i="3" s="1"/>
  <c r="BD20" i="3" s="1"/>
  <c r="BD21" i="3" s="1"/>
  <c r="BD22" i="3" s="1"/>
  <c r="BD23" i="3" s="1"/>
  <c r="BD24" i="3" s="1"/>
  <c r="BD25" i="3" s="1"/>
  <c r="BD26" i="3" s="1"/>
  <c r="BE15" i="3" s="1"/>
  <c r="BE16" i="3" s="1"/>
  <c r="BE17" i="3" s="1"/>
  <c r="BE18" i="3" s="1"/>
  <c r="BE19" i="3" s="1"/>
  <c r="BE20" i="3" s="1"/>
  <c r="BE21" i="3" s="1"/>
  <c r="BE22" i="3" s="1"/>
  <c r="BE23" i="3" s="1"/>
  <c r="BE24" i="3" s="1"/>
  <c r="BE25" i="3" s="1"/>
  <c r="BE26" i="3" s="1"/>
  <c r="BF15" i="3" s="1"/>
  <c r="BF16" i="3" s="1"/>
  <c r="BF17" i="3" s="1"/>
  <c r="BF18" i="3" s="1"/>
  <c r="BF19" i="3" s="1"/>
  <c r="BF20" i="3" s="1"/>
  <c r="BF21" i="3" s="1"/>
  <c r="BF22" i="3" s="1"/>
  <c r="BF23" i="3" s="1"/>
  <c r="BF24" i="3" s="1"/>
  <c r="BF25" i="3" s="1"/>
  <c r="BF26" i="3" s="1"/>
  <c r="BG15" i="3" s="1"/>
  <c r="BG16" i="3" s="1"/>
  <c r="BG17" i="3" s="1"/>
  <c r="BG18" i="3" s="1"/>
  <c r="BG19" i="3" s="1"/>
  <c r="BG20" i="3" s="1"/>
  <c r="BG21" i="3" s="1"/>
  <c r="BG22" i="3" s="1"/>
  <c r="BG23" i="3" s="1"/>
  <c r="BG24" i="3" s="1"/>
  <c r="BG25" i="3" s="1"/>
  <c r="BG26" i="3" s="1"/>
  <c r="BH15" i="3" s="1"/>
  <c r="BH16" i="3" s="1"/>
  <c r="BH17" i="3" s="1"/>
  <c r="BH18" i="3" s="1"/>
  <c r="BH19" i="3" s="1"/>
  <c r="BH20" i="3" s="1"/>
  <c r="BH21" i="3" s="1"/>
  <c r="BH22" i="3" s="1"/>
  <c r="BH23" i="3" s="1"/>
  <c r="BH24" i="3" s="1"/>
  <c r="BH25" i="3" s="1"/>
  <c r="BH26" i="3" s="1"/>
  <c r="BI15" i="3" s="1"/>
  <c r="BI16" i="3" s="1"/>
  <c r="BI17" i="3" s="1"/>
  <c r="BI18" i="3" s="1"/>
  <c r="BI19" i="3" s="1"/>
  <c r="BI20" i="3" s="1"/>
  <c r="BI21" i="3" s="1"/>
  <c r="BI22" i="3" s="1"/>
  <c r="BI23" i="3" s="1"/>
  <c r="BI24" i="3" s="1"/>
  <c r="BI25" i="3" s="1"/>
  <c r="BI26" i="3" s="1"/>
  <c r="BJ15" i="3" s="1"/>
  <c r="BJ16" i="3" s="1"/>
  <c r="BJ17" i="3" s="1"/>
  <c r="BJ18" i="3" s="1"/>
  <c r="BJ19" i="3" s="1"/>
  <c r="BJ20" i="3" s="1"/>
  <c r="BJ21" i="3" s="1"/>
  <c r="BJ22" i="3" s="1"/>
  <c r="BJ23" i="3" s="1"/>
  <c r="BJ24" i="3" s="1"/>
  <c r="BJ25" i="3" s="1"/>
  <c r="BJ26" i="3" s="1"/>
  <c r="D15" i="3"/>
  <c r="D16" i="3" s="1"/>
  <c r="D17" i="3" s="1"/>
  <c r="D18" i="3" s="1"/>
  <c r="D19" i="3" s="1"/>
  <c r="D20" i="3" s="1"/>
  <c r="D21" i="3" s="1"/>
  <c r="D22" i="3" s="1"/>
  <c r="D23" i="3" s="1"/>
  <c r="D24" i="3" s="1"/>
  <c r="D25" i="3" s="1"/>
  <c r="D26" i="3" s="1"/>
  <c r="E15" i="3" s="1"/>
  <c r="E16" i="3" s="1"/>
  <c r="E17" i="3" s="1"/>
  <c r="E18" i="3" s="1"/>
  <c r="E19" i="3" s="1"/>
  <c r="E20" i="3" s="1"/>
  <c r="E21" i="3" s="1"/>
  <c r="E22" i="3" s="1"/>
  <c r="E23" i="3" s="1"/>
  <c r="E24" i="3" s="1"/>
  <c r="E25" i="3" s="1"/>
  <c r="E26" i="3" s="1"/>
  <c r="F15" i="3" s="1"/>
  <c r="F16" i="3" s="1"/>
  <c r="F17" i="3" s="1"/>
  <c r="F18" i="3" s="1"/>
  <c r="F19" i="3" s="1"/>
  <c r="F20" i="3" s="1"/>
  <c r="F21" i="3" s="1"/>
  <c r="F22" i="3" s="1"/>
  <c r="F23" i="3" s="1"/>
  <c r="F24" i="3" s="1"/>
  <c r="F25" i="3" s="1"/>
  <c r="F26" i="3" s="1"/>
  <c r="G15" i="3" s="1"/>
  <c r="G16" i="3" s="1"/>
  <c r="G17" i="3" s="1"/>
  <c r="G18" i="3" s="1"/>
  <c r="G19" i="3" s="1"/>
  <c r="G20" i="3" s="1"/>
  <c r="G21" i="3" s="1"/>
  <c r="G22" i="3" s="1"/>
  <c r="G23" i="3" s="1"/>
  <c r="G24" i="3" s="1"/>
  <c r="G25" i="3" s="1"/>
  <c r="G26" i="3" s="1"/>
  <c r="H15" i="3" s="1"/>
  <c r="H16" i="3" s="1"/>
  <c r="H17" i="3" s="1"/>
  <c r="A156" i="3"/>
  <c r="A155" i="3"/>
  <c r="A154" i="3"/>
  <c r="A153" i="3"/>
  <c r="A137" i="3"/>
  <c r="A136" i="3"/>
  <c r="A135" i="3"/>
  <c r="A134" i="3"/>
  <c r="A118" i="3"/>
  <c r="A117" i="3"/>
  <c r="A116" i="3"/>
  <c r="A115" i="3"/>
  <c r="A99" i="3"/>
  <c r="A98" i="3"/>
  <c r="A97" i="3"/>
  <c r="A96" i="3"/>
  <c r="A80" i="3"/>
  <c r="A79" i="3"/>
  <c r="A78" i="3"/>
  <c r="A77" i="3"/>
  <c r="A61" i="3"/>
  <c r="A60" i="3"/>
  <c r="A59" i="3"/>
  <c r="A58" i="3"/>
  <c r="A42" i="3"/>
  <c r="A41" i="3"/>
  <c r="A40" i="3"/>
  <c r="A39" i="3"/>
  <c r="A19" i="3"/>
  <c r="A18" i="3"/>
  <c r="A17" i="3"/>
  <c r="A16" i="3"/>
  <c r="D151" i="2"/>
  <c r="D152" i="2" s="1"/>
  <c r="D153" i="2" s="1"/>
  <c r="D154" i="2" s="1"/>
  <c r="D155" i="2" s="1"/>
  <c r="D156" i="2" s="1"/>
  <c r="D157" i="2" s="1"/>
  <c r="D158" i="2" s="1"/>
  <c r="D159" i="2" s="1"/>
  <c r="D160" i="2" s="1"/>
  <c r="D161" i="2" s="1"/>
  <c r="D162" i="2" s="1"/>
  <c r="E151" i="2" s="1"/>
  <c r="E152" i="2" s="1"/>
  <c r="E153" i="2" s="1"/>
  <c r="E154" i="2" s="1"/>
  <c r="E155" i="2" s="1"/>
  <c r="E156" i="2" s="1"/>
  <c r="E157" i="2" s="1"/>
  <c r="E158" i="2" s="1"/>
  <c r="E159" i="2" s="1"/>
  <c r="E160" i="2" s="1"/>
  <c r="E161" i="2" s="1"/>
  <c r="E162" i="2" s="1"/>
  <c r="F151" i="2" s="1"/>
  <c r="F152" i="2" s="1"/>
  <c r="F153" i="2" s="1"/>
  <c r="F154" i="2" s="1"/>
  <c r="F155" i="2" s="1"/>
  <c r="F156" i="2" s="1"/>
  <c r="F157" i="2" s="1"/>
  <c r="F158" i="2" s="1"/>
  <c r="F159" i="2" s="1"/>
  <c r="F160" i="2" s="1"/>
  <c r="F161" i="2" s="1"/>
  <c r="F162" i="2" s="1"/>
  <c r="G151" i="2" s="1"/>
  <c r="G152" i="2" s="1"/>
  <c r="G153" i="2" s="1"/>
  <c r="G154" i="2" s="1"/>
  <c r="G155" i="2" s="1"/>
  <c r="G156" i="2" s="1"/>
  <c r="G157" i="2" s="1"/>
  <c r="G158" i="2" s="1"/>
  <c r="G159" i="2" s="1"/>
  <c r="G160" i="2" s="1"/>
  <c r="G161" i="2" s="1"/>
  <c r="G162" i="2" s="1"/>
  <c r="H151" i="2" s="1"/>
  <c r="H152" i="2" s="1"/>
  <c r="H153" i="2" s="1"/>
  <c r="H154" i="2" s="1"/>
  <c r="D132" i="2"/>
  <c r="D133" i="2" s="1"/>
  <c r="D134" i="2" s="1"/>
  <c r="D135" i="2" s="1"/>
  <c r="D136" i="2" s="1"/>
  <c r="D137" i="2" s="1"/>
  <c r="D138" i="2" s="1"/>
  <c r="D139" i="2" s="1"/>
  <c r="D140" i="2" s="1"/>
  <c r="D141" i="2" s="1"/>
  <c r="D142" i="2" s="1"/>
  <c r="D143" i="2" s="1"/>
  <c r="E132" i="2" s="1"/>
  <c r="E133" i="2" s="1"/>
  <c r="E134" i="2" s="1"/>
  <c r="E135" i="2" s="1"/>
  <c r="E136" i="2" s="1"/>
  <c r="E137" i="2" s="1"/>
  <c r="E138" i="2" s="1"/>
  <c r="E139" i="2" s="1"/>
  <c r="E140" i="2" s="1"/>
  <c r="E141" i="2" s="1"/>
  <c r="E142" i="2" s="1"/>
  <c r="E143" i="2" s="1"/>
  <c r="F132" i="2" s="1"/>
  <c r="F133" i="2" s="1"/>
  <c r="F134" i="2" s="1"/>
  <c r="F135" i="2" s="1"/>
  <c r="F136" i="2" s="1"/>
  <c r="F137" i="2" s="1"/>
  <c r="F138" i="2" s="1"/>
  <c r="F139" i="2" s="1"/>
  <c r="F140" i="2" s="1"/>
  <c r="F141" i="2" s="1"/>
  <c r="F142" i="2" s="1"/>
  <c r="F143" i="2" s="1"/>
  <c r="G132" i="2" s="1"/>
  <c r="G133" i="2" s="1"/>
  <c r="G134" i="2" s="1"/>
  <c r="G135" i="2" s="1"/>
  <c r="G136" i="2" s="1"/>
  <c r="G137" i="2" s="1"/>
  <c r="G138" i="2" s="1"/>
  <c r="G139" i="2" s="1"/>
  <c r="G140" i="2" s="1"/>
  <c r="G141" i="2" s="1"/>
  <c r="G142" i="2" s="1"/>
  <c r="G143" i="2" s="1"/>
  <c r="H132" i="2" s="1"/>
  <c r="H133" i="2" s="1"/>
  <c r="H134" i="2" s="1"/>
  <c r="H135" i="2" s="1"/>
  <c r="H136" i="2" s="1"/>
  <c r="D113" i="2"/>
  <c r="D114" i="2" s="1"/>
  <c r="D115" i="2" s="1"/>
  <c r="D116" i="2" s="1"/>
  <c r="D117" i="2" s="1"/>
  <c r="D118" i="2" s="1"/>
  <c r="D119" i="2" s="1"/>
  <c r="D120" i="2" s="1"/>
  <c r="D121" i="2" s="1"/>
  <c r="D122" i="2" s="1"/>
  <c r="D123" i="2" s="1"/>
  <c r="D124" i="2" s="1"/>
  <c r="E113" i="2" s="1"/>
  <c r="E114" i="2" s="1"/>
  <c r="E115" i="2" s="1"/>
  <c r="E116" i="2" s="1"/>
  <c r="E117" i="2" s="1"/>
  <c r="E118" i="2" s="1"/>
  <c r="E119" i="2" s="1"/>
  <c r="E120" i="2" s="1"/>
  <c r="E121" i="2" s="1"/>
  <c r="E122" i="2" s="1"/>
  <c r="E123" i="2" s="1"/>
  <c r="E124" i="2" s="1"/>
  <c r="F113" i="2" s="1"/>
  <c r="F114" i="2" s="1"/>
  <c r="F115" i="2" s="1"/>
  <c r="F116" i="2" s="1"/>
  <c r="F117" i="2" s="1"/>
  <c r="F118" i="2" s="1"/>
  <c r="F119" i="2" s="1"/>
  <c r="F120" i="2" s="1"/>
  <c r="F121" i="2" s="1"/>
  <c r="F122" i="2" s="1"/>
  <c r="F123" i="2" s="1"/>
  <c r="F124" i="2" s="1"/>
  <c r="G113" i="2" s="1"/>
  <c r="G114" i="2" s="1"/>
  <c r="G115" i="2" s="1"/>
  <c r="G116" i="2" s="1"/>
  <c r="G117" i="2" s="1"/>
  <c r="G118" i="2" s="1"/>
  <c r="G119" i="2" s="1"/>
  <c r="G120" i="2" s="1"/>
  <c r="G121" i="2" s="1"/>
  <c r="G122" i="2" s="1"/>
  <c r="G123" i="2" s="1"/>
  <c r="G124" i="2" s="1"/>
  <c r="H113" i="2" s="1"/>
  <c r="H114" i="2" s="1"/>
  <c r="H115" i="2" s="1"/>
  <c r="H116" i="2" s="1"/>
  <c r="H117" i="2" s="1"/>
  <c r="H118" i="2" s="1"/>
  <c r="D94" i="2"/>
  <c r="D95" i="2" s="1"/>
  <c r="D96" i="2" s="1"/>
  <c r="D97" i="2" s="1"/>
  <c r="D98" i="2" s="1"/>
  <c r="D99" i="2" s="1"/>
  <c r="D100" i="2" s="1"/>
  <c r="D101" i="2" s="1"/>
  <c r="D102" i="2" s="1"/>
  <c r="D103" i="2" s="1"/>
  <c r="D104" i="2" s="1"/>
  <c r="D105" i="2" s="1"/>
  <c r="E94" i="2" s="1"/>
  <c r="E95" i="2" s="1"/>
  <c r="E96" i="2" s="1"/>
  <c r="E97" i="2" s="1"/>
  <c r="E98" i="2" s="1"/>
  <c r="E99" i="2" s="1"/>
  <c r="E100" i="2" s="1"/>
  <c r="E101" i="2" s="1"/>
  <c r="E102" i="2" s="1"/>
  <c r="E103" i="2" s="1"/>
  <c r="E104" i="2" s="1"/>
  <c r="E105" i="2" s="1"/>
  <c r="F94" i="2" s="1"/>
  <c r="F95" i="2" s="1"/>
  <c r="F96" i="2" s="1"/>
  <c r="F97" i="2" s="1"/>
  <c r="F98" i="2" s="1"/>
  <c r="F99" i="2" s="1"/>
  <c r="F100" i="2" s="1"/>
  <c r="F101" i="2" s="1"/>
  <c r="F102" i="2" s="1"/>
  <c r="F103" i="2" s="1"/>
  <c r="F104" i="2" s="1"/>
  <c r="F105" i="2" s="1"/>
  <c r="G94" i="2" s="1"/>
  <c r="G95" i="2" s="1"/>
  <c r="G96" i="2" s="1"/>
  <c r="G97" i="2" s="1"/>
  <c r="G98" i="2" s="1"/>
  <c r="G99" i="2" s="1"/>
  <c r="G100" i="2" s="1"/>
  <c r="G101" i="2" s="1"/>
  <c r="G102" i="2" s="1"/>
  <c r="G103" i="2" s="1"/>
  <c r="G104" i="2" s="1"/>
  <c r="G105" i="2" s="1"/>
  <c r="H94" i="2" s="1"/>
  <c r="H95" i="2" s="1"/>
  <c r="H96" i="2" s="1"/>
  <c r="H97" i="2" s="1"/>
  <c r="H98" i="2" s="1"/>
  <c r="H99" i="2" s="1"/>
  <c r="H100" i="2" s="1"/>
  <c r="D56" i="2"/>
  <c r="D57" i="2" s="1"/>
  <c r="D58" i="2" s="1"/>
  <c r="D59" i="2" s="1"/>
  <c r="D60" i="2" s="1"/>
  <c r="D61" i="2" s="1"/>
  <c r="D62" i="2" s="1"/>
  <c r="D63" i="2" s="1"/>
  <c r="D64" i="2" s="1"/>
  <c r="D65" i="2" s="1"/>
  <c r="D66" i="2" s="1"/>
  <c r="D67" i="2" s="1"/>
  <c r="E56" i="2" s="1"/>
  <c r="E57" i="2" s="1"/>
  <c r="E58" i="2" s="1"/>
  <c r="E59" i="2" s="1"/>
  <c r="E60" i="2" s="1"/>
  <c r="E61" i="2" s="1"/>
  <c r="E62" i="2" s="1"/>
  <c r="E63" i="2" s="1"/>
  <c r="E64" i="2" s="1"/>
  <c r="E65" i="2" s="1"/>
  <c r="E66" i="2" s="1"/>
  <c r="E67" i="2" s="1"/>
  <c r="F56" i="2" s="1"/>
  <c r="F57" i="2" s="1"/>
  <c r="F58" i="2" s="1"/>
  <c r="F59" i="2" s="1"/>
  <c r="F60" i="2" s="1"/>
  <c r="F61" i="2" s="1"/>
  <c r="F62" i="2" s="1"/>
  <c r="F63" i="2" s="1"/>
  <c r="F64" i="2" s="1"/>
  <c r="F65" i="2" s="1"/>
  <c r="F66" i="2" s="1"/>
  <c r="F67" i="2" s="1"/>
  <c r="G56" i="2" s="1"/>
  <c r="G57" i="2" s="1"/>
  <c r="G58" i="2" s="1"/>
  <c r="G59" i="2" s="1"/>
  <c r="G60" i="2" s="1"/>
  <c r="G61" i="2" s="1"/>
  <c r="G62" i="2" s="1"/>
  <c r="G63" i="2" s="1"/>
  <c r="G64" i="2" s="1"/>
  <c r="G65" i="2" s="1"/>
  <c r="G66" i="2" s="1"/>
  <c r="G67" i="2" s="1"/>
  <c r="H56" i="2" s="1"/>
  <c r="H57" i="2" s="1"/>
  <c r="H58" i="2" s="1"/>
  <c r="H59" i="2" s="1"/>
  <c r="H60" i="2" s="1"/>
  <c r="H61" i="2" s="1"/>
  <c r="H62" i="2" s="1"/>
  <c r="H63" i="2" s="1"/>
  <c r="H64" i="2" s="1"/>
  <c r="D37" i="2"/>
  <c r="D38" i="2" s="1"/>
  <c r="D39" i="2" s="1"/>
  <c r="D40" i="2" s="1"/>
  <c r="D41" i="2" s="1"/>
  <c r="D42" i="2" s="1"/>
  <c r="D43" i="2" s="1"/>
  <c r="D44" i="2" s="1"/>
  <c r="D45" i="2" s="1"/>
  <c r="D46" i="2" s="1"/>
  <c r="D47" i="2" s="1"/>
  <c r="D48" i="2" s="1"/>
  <c r="E37" i="2" s="1"/>
  <c r="E38" i="2" s="1"/>
  <c r="E39" i="2" s="1"/>
  <c r="E40" i="2" s="1"/>
  <c r="E41" i="2" s="1"/>
  <c r="E42" i="2" s="1"/>
  <c r="E43" i="2" s="1"/>
  <c r="E44" i="2" s="1"/>
  <c r="E45" i="2" s="1"/>
  <c r="E46" i="2" s="1"/>
  <c r="E47" i="2" s="1"/>
  <c r="E48" i="2" s="1"/>
  <c r="F37" i="2" s="1"/>
  <c r="F38" i="2" s="1"/>
  <c r="F39" i="2" s="1"/>
  <c r="F40" i="2" s="1"/>
  <c r="F41" i="2" s="1"/>
  <c r="F42" i="2" s="1"/>
  <c r="F43" i="2" s="1"/>
  <c r="F44" i="2" s="1"/>
  <c r="F45" i="2" s="1"/>
  <c r="F46" i="2" s="1"/>
  <c r="F47" i="2" s="1"/>
  <c r="F48" i="2" s="1"/>
  <c r="G37" i="2" s="1"/>
  <c r="G38" i="2" s="1"/>
  <c r="G39" i="2" s="1"/>
  <c r="G40" i="2" s="1"/>
  <c r="G41" i="2" s="1"/>
  <c r="G42" i="2" s="1"/>
  <c r="G43" i="2" s="1"/>
  <c r="G44" i="2" s="1"/>
  <c r="G45" i="2" s="1"/>
  <c r="G46" i="2" s="1"/>
  <c r="G47" i="2" s="1"/>
  <c r="G48" i="2" s="1"/>
  <c r="D15" i="2"/>
  <c r="D16" i="2" s="1"/>
  <c r="D17" i="2" s="1"/>
  <c r="D18" i="2" s="1"/>
  <c r="D19" i="2" s="1"/>
  <c r="D20" i="2" s="1"/>
  <c r="D21" i="2" s="1"/>
  <c r="D22" i="2" s="1"/>
  <c r="D23" i="2" s="1"/>
  <c r="D24" i="2" s="1"/>
  <c r="D25" i="2" s="1"/>
  <c r="D26" i="2" s="1"/>
  <c r="E15" i="2" s="1"/>
  <c r="E16" i="2" s="1"/>
  <c r="E17" i="2" s="1"/>
  <c r="E18" i="2" s="1"/>
  <c r="E19" i="2" s="1"/>
  <c r="E20" i="2" s="1"/>
  <c r="E21" i="2" s="1"/>
  <c r="E22" i="2" s="1"/>
  <c r="E23" i="2" s="1"/>
  <c r="E24" i="2" s="1"/>
  <c r="E25" i="2" s="1"/>
  <c r="E26" i="2" s="1"/>
  <c r="F15" i="2" s="1"/>
  <c r="F16" i="2" s="1"/>
  <c r="F17" i="2" s="1"/>
  <c r="F18" i="2" s="1"/>
  <c r="F19" i="2" s="1"/>
  <c r="F20" i="2" s="1"/>
  <c r="F21" i="2" s="1"/>
  <c r="F22" i="2" s="1"/>
  <c r="F23" i="2" s="1"/>
  <c r="F24" i="2" s="1"/>
  <c r="F25" i="2" s="1"/>
  <c r="F26" i="2" s="1"/>
  <c r="G15" i="2" s="1"/>
  <c r="G16" i="2" s="1"/>
  <c r="G17" i="2" s="1"/>
  <c r="G18" i="2" s="1"/>
  <c r="G19" i="2" s="1"/>
  <c r="G20" i="2" s="1"/>
  <c r="G21" i="2" s="1"/>
  <c r="G22" i="2" s="1"/>
  <c r="G23" i="2" s="1"/>
  <c r="G24" i="2" s="1"/>
  <c r="G25" i="2" s="1"/>
  <c r="G26" i="2" s="1"/>
  <c r="H15" i="2" s="1"/>
  <c r="H16" i="2" s="1"/>
  <c r="H17" i="2" s="1"/>
  <c r="H18" i="2" s="1"/>
  <c r="H19" i="2" s="1"/>
  <c r="H20" i="2" s="1"/>
  <c r="H21" i="2" s="1"/>
  <c r="H22" i="2" s="1"/>
  <c r="H23" i="2" s="1"/>
  <c r="H24" i="2" s="1"/>
  <c r="H25" i="2" s="1"/>
  <c r="H26" i="2" s="1"/>
  <c r="I15" i="2" s="1"/>
  <c r="I16" i="2" s="1"/>
  <c r="I17" i="2" s="1"/>
  <c r="I18" i="2" s="1"/>
  <c r="I19" i="2" s="1"/>
  <c r="AI151" i="2"/>
  <c r="AI152" i="2" s="1"/>
  <c r="AI153" i="2" s="1"/>
  <c r="AI154" i="2" s="1"/>
  <c r="AI155" i="2" s="1"/>
  <c r="AI156" i="2" s="1"/>
  <c r="AI157" i="2" s="1"/>
  <c r="AI158" i="2" s="1"/>
  <c r="AI159" i="2" s="1"/>
  <c r="AI160" i="2" s="1"/>
  <c r="AI161" i="2" s="1"/>
  <c r="AI162" i="2" s="1"/>
  <c r="AJ151" i="2" s="1"/>
  <c r="AJ152" i="2" s="1"/>
  <c r="AJ153" i="2" s="1"/>
  <c r="AJ154" i="2" s="1"/>
  <c r="AJ155" i="2" s="1"/>
  <c r="AJ156" i="2" s="1"/>
  <c r="AJ157" i="2" s="1"/>
  <c r="AJ158" i="2" s="1"/>
  <c r="AJ159" i="2" s="1"/>
  <c r="AJ160" i="2" s="1"/>
  <c r="AJ161" i="2" s="1"/>
  <c r="AJ162" i="2" s="1"/>
  <c r="AK151" i="2" s="1"/>
  <c r="AK152" i="2" s="1"/>
  <c r="AK153" i="2" s="1"/>
  <c r="AK154" i="2" s="1"/>
  <c r="AK155" i="2" s="1"/>
  <c r="AK156" i="2" s="1"/>
  <c r="AK157" i="2" s="1"/>
  <c r="AK158" i="2" s="1"/>
  <c r="AK159" i="2" s="1"/>
  <c r="AK160" i="2" s="1"/>
  <c r="AK161" i="2" s="1"/>
  <c r="AK162" i="2" s="1"/>
  <c r="AL151" i="2" s="1"/>
  <c r="AL152" i="2" s="1"/>
  <c r="AL153" i="2" s="1"/>
  <c r="AL154" i="2" s="1"/>
  <c r="AL155" i="2" s="1"/>
  <c r="AL156" i="2" s="1"/>
  <c r="AL157" i="2" s="1"/>
  <c r="AL158" i="2" s="1"/>
  <c r="AL159" i="2" s="1"/>
  <c r="AL160" i="2" s="1"/>
  <c r="AL161" i="2" s="1"/>
  <c r="AL162" i="2" s="1"/>
  <c r="AM151" i="2" s="1"/>
  <c r="AM152" i="2" s="1"/>
  <c r="AM153" i="2" s="1"/>
  <c r="AM154" i="2" s="1"/>
  <c r="AM155" i="2" s="1"/>
  <c r="AM156" i="2" s="1"/>
  <c r="AM157" i="2" s="1"/>
  <c r="AM158" i="2" s="1"/>
  <c r="AM159" i="2" s="1"/>
  <c r="AM160" i="2" s="1"/>
  <c r="AM161" i="2" s="1"/>
  <c r="AM162" i="2" s="1"/>
  <c r="AN151" i="2" s="1"/>
  <c r="AN152" i="2" s="1"/>
  <c r="AN153" i="2" s="1"/>
  <c r="AN154" i="2" s="1"/>
  <c r="AN155" i="2" s="1"/>
  <c r="AN156" i="2" s="1"/>
  <c r="AN157" i="2" s="1"/>
  <c r="AN158" i="2" s="1"/>
  <c r="AN159" i="2" s="1"/>
  <c r="AN160" i="2" s="1"/>
  <c r="AN161" i="2" s="1"/>
  <c r="AN162" i="2" s="1"/>
  <c r="AO151" i="2" s="1"/>
  <c r="AO152" i="2" s="1"/>
  <c r="AO153" i="2" s="1"/>
  <c r="AO154" i="2" s="1"/>
  <c r="AO155" i="2" s="1"/>
  <c r="AO156" i="2" s="1"/>
  <c r="AO157" i="2" s="1"/>
  <c r="AO158" i="2" s="1"/>
  <c r="AO159" i="2" s="1"/>
  <c r="AO160" i="2" s="1"/>
  <c r="AO161" i="2" s="1"/>
  <c r="AO162" i="2" s="1"/>
  <c r="AP151" i="2" s="1"/>
  <c r="AP152" i="2" s="1"/>
  <c r="AP153" i="2" s="1"/>
  <c r="AP154" i="2" s="1"/>
  <c r="AP155" i="2" s="1"/>
  <c r="AP156" i="2" s="1"/>
  <c r="AP157" i="2" s="1"/>
  <c r="AP158" i="2" s="1"/>
  <c r="AP159" i="2" s="1"/>
  <c r="AP160" i="2" s="1"/>
  <c r="AP161" i="2" s="1"/>
  <c r="AP162" i="2" s="1"/>
  <c r="AQ151" i="2" s="1"/>
  <c r="AQ152" i="2" s="1"/>
  <c r="AQ153" i="2" s="1"/>
  <c r="AQ154" i="2" s="1"/>
  <c r="AQ155" i="2" s="1"/>
  <c r="AQ156" i="2" s="1"/>
  <c r="AQ157" i="2" s="1"/>
  <c r="AQ158" i="2" s="1"/>
  <c r="AQ159" i="2" s="1"/>
  <c r="AQ160" i="2" s="1"/>
  <c r="AQ161" i="2" s="1"/>
  <c r="AQ162" i="2" s="1"/>
  <c r="AR151" i="2" s="1"/>
  <c r="AR152" i="2" s="1"/>
  <c r="AR153" i="2" s="1"/>
  <c r="AR154" i="2" s="1"/>
  <c r="AR155" i="2" s="1"/>
  <c r="AR156" i="2" s="1"/>
  <c r="AR157" i="2" s="1"/>
  <c r="AR158" i="2" s="1"/>
  <c r="AR159" i="2" s="1"/>
  <c r="AR160" i="2" s="1"/>
  <c r="AR161" i="2" s="1"/>
  <c r="AR162" i="2" s="1"/>
  <c r="AS151" i="2" s="1"/>
  <c r="AS152" i="2" s="1"/>
  <c r="AS153" i="2" s="1"/>
  <c r="AS154" i="2" s="1"/>
  <c r="AS155" i="2" s="1"/>
  <c r="AS156" i="2" s="1"/>
  <c r="AS157" i="2" s="1"/>
  <c r="AS158" i="2" s="1"/>
  <c r="AS159" i="2" s="1"/>
  <c r="AS160" i="2" s="1"/>
  <c r="AS161" i="2" s="1"/>
  <c r="AS162" i="2" s="1"/>
  <c r="AT151" i="2" s="1"/>
  <c r="AT152" i="2" s="1"/>
  <c r="AT153" i="2" s="1"/>
  <c r="AT154" i="2" s="1"/>
  <c r="AT155" i="2" s="1"/>
  <c r="AT156" i="2" s="1"/>
  <c r="AT157" i="2" s="1"/>
  <c r="AT158" i="2" s="1"/>
  <c r="AT159" i="2" s="1"/>
  <c r="AT160" i="2" s="1"/>
  <c r="AT161" i="2" s="1"/>
  <c r="AT162" i="2" s="1"/>
  <c r="AU151" i="2" s="1"/>
  <c r="AU152" i="2" s="1"/>
  <c r="AU153" i="2" s="1"/>
  <c r="AU154" i="2" s="1"/>
  <c r="AU155" i="2" s="1"/>
  <c r="AU156" i="2" s="1"/>
  <c r="AU157" i="2" s="1"/>
  <c r="AU158" i="2" s="1"/>
  <c r="AU159" i="2" s="1"/>
  <c r="AU160" i="2" s="1"/>
  <c r="AU161" i="2" s="1"/>
  <c r="AU162" i="2" s="1"/>
  <c r="AV151" i="2" s="1"/>
  <c r="AV152" i="2" s="1"/>
  <c r="AV153" i="2" s="1"/>
  <c r="AV154" i="2" s="1"/>
  <c r="AV155" i="2" s="1"/>
  <c r="AV156" i="2" s="1"/>
  <c r="AV157" i="2" s="1"/>
  <c r="AV158" i="2" s="1"/>
  <c r="AV159" i="2" s="1"/>
  <c r="AV160" i="2" s="1"/>
  <c r="AV161" i="2" s="1"/>
  <c r="AV162" i="2" s="1"/>
  <c r="AW151" i="2" s="1"/>
  <c r="AW152" i="2" s="1"/>
  <c r="AW153" i="2" s="1"/>
  <c r="AW154" i="2" s="1"/>
  <c r="AW155" i="2" s="1"/>
  <c r="AW156" i="2" s="1"/>
  <c r="AW157" i="2" s="1"/>
  <c r="AW158" i="2" s="1"/>
  <c r="AW159" i="2" s="1"/>
  <c r="AW160" i="2" s="1"/>
  <c r="AW161" i="2" s="1"/>
  <c r="AW162" i="2" s="1"/>
  <c r="AX151" i="2" s="1"/>
  <c r="AX152" i="2" s="1"/>
  <c r="AX153" i="2" s="1"/>
  <c r="AX154" i="2" s="1"/>
  <c r="AX155" i="2" s="1"/>
  <c r="AX156" i="2" s="1"/>
  <c r="AX157" i="2" s="1"/>
  <c r="AX158" i="2" s="1"/>
  <c r="AX159" i="2" s="1"/>
  <c r="AX160" i="2" s="1"/>
  <c r="AX161" i="2" s="1"/>
  <c r="AX162" i="2" s="1"/>
  <c r="AY151" i="2" s="1"/>
  <c r="AY152" i="2" s="1"/>
  <c r="AY153" i="2" s="1"/>
  <c r="AY154" i="2" s="1"/>
  <c r="AY155" i="2" s="1"/>
  <c r="AY156" i="2" s="1"/>
  <c r="AY157" i="2" s="1"/>
  <c r="AY158" i="2" s="1"/>
  <c r="AY159" i="2" s="1"/>
  <c r="AY160" i="2" s="1"/>
  <c r="AY161" i="2" s="1"/>
  <c r="AY162" i="2" s="1"/>
  <c r="AZ151" i="2" s="1"/>
  <c r="AZ152" i="2" s="1"/>
  <c r="AZ153" i="2" s="1"/>
  <c r="AZ154" i="2" s="1"/>
  <c r="AZ155" i="2" s="1"/>
  <c r="AZ156" i="2" s="1"/>
  <c r="AZ157" i="2" s="1"/>
  <c r="AZ158" i="2" s="1"/>
  <c r="AZ159" i="2" s="1"/>
  <c r="AZ160" i="2" s="1"/>
  <c r="AZ161" i="2" s="1"/>
  <c r="AZ162" i="2" s="1"/>
  <c r="BA151" i="2" s="1"/>
  <c r="BA152" i="2" s="1"/>
  <c r="BA153" i="2" s="1"/>
  <c r="BA154" i="2" s="1"/>
  <c r="BA155" i="2" s="1"/>
  <c r="BA156" i="2" s="1"/>
  <c r="BA157" i="2" s="1"/>
  <c r="BA158" i="2" s="1"/>
  <c r="BA159" i="2" s="1"/>
  <c r="BA160" i="2" s="1"/>
  <c r="BA161" i="2" s="1"/>
  <c r="BA162" i="2" s="1"/>
  <c r="BB151" i="2" s="1"/>
  <c r="BB152" i="2" s="1"/>
  <c r="BB153" i="2" s="1"/>
  <c r="BB154" i="2" s="1"/>
  <c r="BB155" i="2" s="1"/>
  <c r="BB156" i="2" s="1"/>
  <c r="BB157" i="2" s="1"/>
  <c r="BB158" i="2" s="1"/>
  <c r="BB159" i="2" s="1"/>
  <c r="BB160" i="2" s="1"/>
  <c r="BB161" i="2" s="1"/>
  <c r="BB162" i="2" s="1"/>
  <c r="BC151" i="2" s="1"/>
  <c r="BC152" i="2" s="1"/>
  <c r="BC153" i="2" s="1"/>
  <c r="BC154" i="2" s="1"/>
  <c r="BC155" i="2" s="1"/>
  <c r="BC156" i="2" s="1"/>
  <c r="BC157" i="2" s="1"/>
  <c r="BC158" i="2" s="1"/>
  <c r="BC159" i="2" s="1"/>
  <c r="BC160" i="2" s="1"/>
  <c r="BC161" i="2" s="1"/>
  <c r="BC162" i="2" s="1"/>
  <c r="BD151" i="2" s="1"/>
  <c r="BD152" i="2" s="1"/>
  <c r="BD153" i="2" s="1"/>
  <c r="BD154" i="2" s="1"/>
  <c r="BD155" i="2" s="1"/>
  <c r="BD156" i="2" s="1"/>
  <c r="BD157" i="2" s="1"/>
  <c r="BD158" i="2" s="1"/>
  <c r="BD159" i="2" s="1"/>
  <c r="BD160" i="2" s="1"/>
  <c r="BD161" i="2" s="1"/>
  <c r="BD162" i="2" s="1"/>
  <c r="BE151" i="2" s="1"/>
  <c r="BE152" i="2" s="1"/>
  <c r="BE153" i="2" s="1"/>
  <c r="BE154" i="2" s="1"/>
  <c r="BE155" i="2" s="1"/>
  <c r="BE156" i="2" s="1"/>
  <c r="BE157" i="2" s="1"/>
  <c r="BE158" i="2" s="1"/>
  <c r="BE159" i="2" s="1"/>
  <c r="BE160" i="2" s="1"/>
  <c r="BE161" i="2" s="1"/>
  <c r="BE162" i="2" s="1"/>
  <c r="BF151" i="2" s="1"/>
  <c r="BF152" i="2" s="1"/>
  <c r="BF153" i="2" s="1"/>
  <c r="BF154" i="2" s="1"/>
  <c r="BF155" i="2" s="1"/>
  <c r="BF156" i="2" s="1"/>
  <c r="BF157" i="2" s="1"/>
  <c r="BF158" i="2" s="1"/>
  <c r="BF159" i="2" s="1"/>
  <c r="BF160" i="2" s="1"/>
  <c r="BF161" i="2" s="1"/>
  <c r="BF162" i="2" s="1"/>
  <c r="BG151" i="2" s="1"/>
  <c r="BG152" i="2" s="1"/>
  <c r="BG153" i="2" s="1"/>
  <c r="BG154" i="2" s="1"/>
  <c r="BG155" i="2" s="1"/>
  <c r="BG156" i="2" s="1"/>
  <c r="BG157" i="2" s="1"/>
  <c r="BG158" i="2" s="1"/>
  <c r="BG159" i="2" s="1"/>
  <c r="BG160" i="2" s="1"/>
  <c r="BG161" i="2" s="1"/>
  <c r="BG162" i="2" s="1"/>
  <c r="BH151" i="2" s="1"/>
  <c r="BH152" i="2" s="1"/>
  <c r="BH153" i="2" s="1"/>
  <c r="BH154" i="2" s="1"/>
  <c r="BH155" i="2" s="1"/>
  <c r="BH156" i="2" s="1"/>
  <c r="BH157" i="2" s="1"/>
  <c r="BH158" i="2" s="1"/>
  <c r="BH159" i="2" s="1"/>
  <c r="BH160" i="2" s="1"/>
  <c r="BH161" i="2" s="1"/>
  <c r="BH162" i="2" s="1"/>
  <c r="BI151" i="2" s="1"/>
  <c r="BI152" i="2" s="1"/>
  <c r="BI153" i="2" s="1"/>
  <c r="BI154" i="2" s="1"/>
  <c r="BI155" i="2" s="1"/>
  <c r="BI156" i="2" s="1"/>
  <c r="BI157" i="2" s="1"/>
  <c r="BI158" i="2" s="1"/>
  <c r="BI159" i="2" s="1"/>
  <c r="BI160" i="2" s="1"/>
  <c r="BI161" i="2" s="1"/>
  <c r="BI162" i="2" s="1"/>
  <c r="BJ151" i="2" s="1"/>
  <c r="BJ152" i="2" s="1"/>
  <c r="BJ153" i="2" s="1"/>
  <c r="BJ154" i="2" s="1"/>
  <c r="BJ155" i="2" s="1"/>
  <c r="BJ156" i="2" s="1"/>
  <c r="BJ157" i="2" s="1"/>
  <c r="BJ158" i="2" s="1"/>
  <c r="BJ159" i="2" s="1"/>
  <c r="BJ160" i="2" s="1"/>
  <c r="BJ161" i="2" s="1"/>
  <c r="BJ162" i="2" s="1"/>
  <c r="AI132" i="2"/>
  <c r="AI133" i="2" s="1"/>
  <c r="AI134" i="2" s="1"/>
  <c r="AI135" i="2" s="1"/>
  <c r="AI136" i="2" s="1"/>
  <c r="AI137" i="2" s="1"/>
  <c r="AI138" i="2" s="1"/>
  <c r="AI139" i="2" s="1"/>
  <c r="AI140" i="2" s="1"/>
  <c r="AI141" i="2" s="1"/>
  <c r="AI142" i="2" s="1"/>
  <c r="AI143" i="2" s="1"/>
  <c r="AJ132" i="2" s="1"/>
  <c r="AJ133" i="2" s="1"/>
  <c r="AJ134" i="2" s="1"/>
  <c r="AJ135" i="2" s="1"/>
  <c r="AJ136" i="2" s="1"/>
  <c r="AJ137" i="2" s="1"/>
  <c r="AJ138" i="2" s="1"/>
  <c r="AJ139" i="2" s="1"/>
  <c r="AJ140" i="2" s="1"/>
  <c r="AJ141" i="2" s="1"/>
  <c r="AJ142" i="2" s="1"/>
  <c r="AJ143" i="2" s="1"/>
  <c r="AK132" i="2" s="1"/>
  <c r="AK133" i="2" s="1"/>
  <c r="AK134" i="2" s="1"/>
  <c r="AK135" i="2" s="1"/>
  <c r="AK136" i="2" s="1"/>
  <c r="AK137" i="2" s="1"/>
  <c r="AK138" i="2" s="1"/>
  <c r="AK139" i="2" s="1"/>
  <c r="AK140" i="2" s="1"/>
  <c r="AK141" i="2" s="1"/>
  <c r="AK142" i="2" s="1"/>
  <c r="AK143" i="2" s="1"/>
  <c r="AL132" i="2" s="1"/>
  <c r="AL133" i="2" s="1"/>
  <c r="AL134" i="2" s="1"/>
  <c r="AL135" i="2" s="1"/>
  <c r="AL136" i="2" s="1"/>
  <c r="AL137" i="2" s="1"/>
  <c r="AL138" i="2" s="1"/>
  <c r="AL139" i="2" s="1"/>
  <c r="AL140" i="2" s="1"/>
  <c r="AL141" i="2" s="1"/>
  <c r="AL142" i="2" s="1"/>
  <c r="AL143" i="2" s="1"/>
  <c r="AM132" i="2" s="1"/>
  <c r="AM133" i="2" s="1"/>
  <c r="AM134" i="2" s="1"/>
  <c r="AM135" i="2" s="1"/>
  <c r="AM136" i="2" s="1"/>
  <c r="AM137" i="2" s="1"/>
  <c r="AM138" i="2" s="1"/>
  <c r="AM139" i="2" s="1"/>
  <c r="AM140" i="2" s="1"/>
  <c r="AM141" i="2" s="1"/>
  <c r="AM142" i="2" s="1"/>
  <c r="AM143" i="2" s="1"/>
  <c r="AN132" i="2" s="1"/>
  <c r="AN133" i="2" s="1"/>
  <c r="AN134" i="2" s="1"/>
  <c r="AN135" i="2" s="1"/>
  <c r="AN136" i="2" s="1"/>
  <c r="AN137" i="2" s="1"/>
  <c r="AN138" i="2" s="1"/>
  <c r="AN139" i="2" s="1"/>
  <c r="AN140" i="2" s="1"/>
  <c r="AN141" i="2" s="1"/>
  <c r="AN142" i="2" s="1"/>
  <c r="AN143" i="2" s="1"/>
  <c r="AO132" i="2" s="1"/>
  <c r="AO133" i="2" s="1"/>
  <c r="AO134" i="2" s="1"/>
  <c r="AO135" i="2" s="1"/>
  <c r="AO136" i="2" s="1"/>
  <c r="AO137" i="2" s="1"/>
  <c r="AO138" i="2" s="1"/>
  <c r="AO139" i="2" s="1"/>
  <c r="AO140" i="2" s="1"/>
  <c r="AO141" i="2" s="1"/>
  <c r="AO142" i="2" s="1"/>
  <c r="AO143" i="2" s="1"/>
  <c r="AP132" i="2" s="1"/>
  <c r="AP133" i="2" s="1"/>
  <c r="AP134" i="2" s="1"/>
  <c r="AP135" i="2" s="1"/>
  <c r="AP136" i="2" s="1"/>
  <c r="AP137" i="2" s="1"/>
  <c r="AP138" i="2" s="1"/>
  <c r="AP139" i="2" s="1"/>
  <c r="AP140" i="2" s="1"/>
  <c r="AP141" i="2" s="1"/>
  <c r="AP142" i="2" s="1"/>
  <c r="AP143" i="2" s="1"/>
  <c r="AQ132" i="2" s="1"/>
  <c r="AQ133" i="2" s="1"/>
  <c r="AQ134" i="2" s="1"/>
  <c r="AQ135" i="2" s="1"/>
  <c r="AQ136" i="2" s="1"/>
  <c r="AQ137" i="2" s="1"/>
  <c r="AQ138" i="2" s="1"/>
  <c r="AQ139" i="2" s="1"/>
  <c r="AQ140" i="2" s="1"/>
  <c r="AQ141" i="2" s="1"/>
  <c r="AQ142" i="2" s="1"/>
  <c r="AQ143" i="2" s="1"/>
  <c r="AR132" i="2" s="1"/>
  <c r="AR133" i="2" s="1"/>
  <c r="AR134" i="2" s="1"/>
  <c r="AR135" i="2" s="1"/>
  <c r="AR136" i="2" s="1"/>
  <c r="AR137" i="2" s="1"/>
  <c r="AR138" i="2" s="1"/>
  <c r="AR139" i="2" s="1"/>
  <c r="AR140" i="2" s="1"/>
  <c r="AR141" i="2" s="1"/>
  <c r="AR142" i="2" s="1"/>
  <c r="AR143" i="2" s="1"/>
  <c r="AS132" i="2" s="1"/>
  <c r="AS133" i="2" s="1"/>
  <c r="AS134" i="2" s="1"/>
  <c r="AS135" i="2" s="1"/>
  <c r="AS136" i="2" s="1"/>
  <c r="AS137" i="2" s="1"/>
  <c r="AS138" i="2" s="1"/>
  <c r="AS139" i="2" s="1"/>
  <c r="AS140" i="2" s="1"/>
  <c r="AS141" i="2" s="1"/>
  <c r="AS142" i="2" s="1"/>
  <c r="AS143" i="2" s="1"/>
  <c r="AT132" i="2" s="1"/>
  <c r="AT133" i="2" s="1"/>
  <c r="AT134" i="2" s="1"/>
  <c r="AT135" i="2" s="1"/>
  <c r="AT136" i="2" s="1"/>
  <c r="AT137" i="2" s="1"/>
  <c r="AT138" i="2" s="1"/>
  <c r="AT139" i="2" s="1"/>
  <c r="AT140" i="2" s="1"/>
  <c r="AT141" i="2" s="1"/>
  <c r="AT142" i="2" s="1"/>
  <c r="AT143" i="2" s="1"/>
  <c r="AU132" i="2" s="1"/>
  <c r="AU133" i="2" s="1"/>
  <c r="AU134" i="2" s="1"/>
  <c r="AU135" i="2" s="1"/>
  <c r="AU136" i="2" s="1"/>
  <c r="AU137" i="2" s="1"/>
  <c r="AU138" i="2" s="1"/>
  <c r="AU139" i="2" s="1"/>
  <c r="AU140" i="2" s="1"/>
  <c r="AU141" i="2" s="1"/>
  <c r="AU142" i="2" s="1"/>
  <c r="AU143" i="2" s="1"/>
  <c r="AV132" i="2" s="1"/>
  <c r="AV133" i="2" s="1"/>
  <c r="AV134" i="2" s="1"/>
  <c r="AV135" i="2" s="1"/>
  <c r="AV136" i="2" s="1"/>
  <c r="AV137" i="2" s="1"/>
  <c r="AV138" i="2" s="1"/>
  <c r="AV139" i="2" s="1"/>
  <c r="AV140" i="2" s="1"/>
  <c r="AV141" i="2" s="1"/>
  <c r="AV142" i="2" s="1"/>
  <c r="AV143" i="2" s="1"/>
  <c r="AW132" i="2" s="1"/>
  <c r="AW133" i="2" s="1"/>
  <c r="AW134" i="2" s="1"/>
  <c r="AW135" i="2" s="1"/>
  <c r="AW136" i="2" s="1"/>
  <c r="AW137" i="2" s="1"/>
  <c r="AW138" i="2" s="1"/>
  <c r="AW139" i="2" s="1"/>
  <c r="AW140" i="2" s="1"/>
  <c r="AW141" i="2" s="1"/>
  <c r="AW142" i="2" s="1"/>
  <c r="AW143" i="2" s="1"/>
  <c r="AX132" i="2" s="1"/>
  <c r="AX133" i="2" s="1"/>
  <c r="AX134" i="2" s="1"/>
  <c r="AX135" i="2" s="1"/>
  <c r="AX136" i="2" s="1"/>
  <c r="AX137" i="2" s="1"/>
  <c r="AX138" i="2" s="1"/>
  <c r="AX139" i="2" s="1"/>
  <c r="AX140" i="2" s="1"/>
  <c r="AX141" i="2" s="1"/>
  <c r="AX142" i="2" s="1"/>
  <c r="AX143" i="2" s="1"/>
  <c r="AY132" i="2" s="1"/>
  <c r="AY133" i="2" s="1"/>
  <c r="AY134" i="2" s="1"/>
  <c r="AY135" i="2" s="1"/>
  <c r="AY136" i="2" s="1"/>
  <c r="AY137" i="2" s="1"/>
  <c r="AY138" i="2" s="1"/>
  <c r="AY139" i="2" s="1"/>
  <c r="AY140" i="2" s="1"/>
  <c r="AY141" i="2" s="1"/>
  <c r="AY142" i="2" s="1"/>
  <c r="AY143" i="2" s="1"/>
  <c r="AZ132" i="2" s="1"/>
  <c r="AZ133" i="2" s="1"/>
  <c r="AZ134" i="2" s="1"/>
  <c r="AZ135" i="2" s="1"/>
  <c r="AZ136" i="2" s="1"/>
  <c r="AZ137" i="2" s="1"/>
  <c r="AZ138" i="2" s="1"/>
  <c r="AZ139" i="2" s="1"/>
  <c r="AZ140" i="2" s="1"/>
  <c r="AZ141" i="2" s="1"/>
  <c r="AZ142" i="2" s="1"/>
  <c r="AZ143" i="2" s="1"/>
  <c r="BA132" i="2" s="1"/>
  <c r="BA133" i="2" s="1"/>
  <c r="BA134" i="2" s="1"/>
  <c r="BA135" i="2" s="1"/>
  <c r="BA136" i="2" s="1"/>
  <c r="BA137" i="2" s="1"/>
  <c r="BA138" i="2" s="1"/>
  <c r="BA139" i="2" s="1"/>
  <c r="BA140" i="2" s="1"/>
  <c r="BA141" i="2" s="1"/>
  <c r="BA142" i="2" s="1"/>
  <c r="BA143" i="2" s="1"/>
  <c r="BB132" i="2" s="1"/>
  <c r="BB133" i="2" s="1"/>
  <c r="BB134" i="2" s="1"/>
  <c r="BB135" i="2" s="1"/>
  <c r="BB136" i="2" s="1"/>
  <c r="BB137" i="2" s="1"/>
  <c r="BB138" i="2" s="1"/>
  <c r="BB139" i="2" s="1"/>
  <c r="BB140" i="2" s="1"/>
  <c r="BB141" i="2" s="1"/>
  <c r="BB142" i="2" s="1"/>
  <c r="BB143" i="2" s="1"/>
  <c r="BC132" i="2" s="1"/>
  <c r="BC133" i="2" s="1"/>
  <c r="BC134" i="2" s="1"/>
  <c r="BC135" i="2" s="1"/>
  <c r="BC136" i="2" s="1"/>
  <c r="BC137" i="2" s="1"/>
  <c r="BC138" i="2" s="1"/>
  <c r="BC139" i="2" s="1"/>
  <c r="BC140" i="2" s="1"/>
  <c r="BC141" i="2" s="1"/>
  <c r="BC142" i="2" s="1"/>
  <c r="BC143" i="2" s="1"/>
  <c r="BD132" i="2" s="1"/>
  <c r="BD133" i="2" s="1"/>
  <c r="BD134" i="2" s="1"/>
  <c r="BD135" i="2" s="1"/>
  <c r="BD136" i="2" s="1"/>
  <c r="BD137" i="2" s="1"/>
  <c r="BD138" i="2" s="1"/>
  <c r="BD139" i="2" s="1"/>
  <c r="BD140" i="2" s="1"/>
  <c r="BD141" i="2" s="1"/>
  <c r="BD142" i="2" s="1"/>
  <c r="BD143" i="2" s="1"/>
  <c r="BE132" i="2" s="1"/>
  <c r="BE133" i="2" s="1"/>
  <c r="BE134" i="2" s="1"/>
  <c r="BE135" i="2" s="1"/>
  <c r="BE136" i="2" s="1"/>
  <c r="BE137" i="2" s="1"/>
  <c r="BE138" i="2" s="1"/>
  <c r="BE139" i="2" s="1"/>
  <c r="BE140" i="2" s="1"/>
  <c r="BE141" i="2" s="1"/>
  <c r="BE142" i="2" s="1"/>
  <c r="BE143" i="2" s="1"/>
  <c r="BF132" i="2" s="1"/>
  <c r="BF133" i="2" s="1"/>
  <c r="BF134" i="2" s="1"/>
  <c r="BF135" i="2" s="1"/>
  <c r="BF136" i="2" s="1"/>
  <c r="BF137" i="2" s="1"/>
  <c r="BF138" i="2" s="1"/>
  <c r="BF139" i="2" s="1"/>
  <c r="BF140" i="2" s="1"/>
  <c r="BF141" i="2" s="1"/>
  <c r="BF142" i="2" s="1"/>
  <c r="BF143" i="2" s="1"/>
  <c r="BG132" i="2" s="1"/>
  <c r="BG133" i="2" s="1"/>
  <c r="BG134" i="2" s="1"/>
  <c r="BG135" i="2" s="1"/>
  <c r="BG136" i="2" s="1"/>
  <c r="BG137" i="2" s="1"/>
  <c r="BG138" i="2" s="1"/>
  <c r="BG139" i="2" s="1"/>
  <c r="BG140" i="2" s="1"/>
  <c r="BG141" i="2" s="1"/>
  <c r="BG142" i="2" s="1"/>
  <c r="BG143" i="2" s="1"/>
  <c r="BH132" i="2" s="1"/>
  <c r="BH133" i="2" s="1"/>
  <c r="BH134" i="2" s="1"/>
  <c r="BH135" i="2" s="1"/>
  <c r="BH136" i="2" s="1"/>
  <c r="BH137" i="2" s="1"/>
  <c r="BH138" i="2" s="1"/>
  <c r="BH139" i="2" s="1"/>
  <c r="BH140" i="2" s="1"/>
  <c r="BH141" i="2" s="1"/>
  <c r="BH142" i="2" s="1"/>
  <c r="BH143" i="2" s="1"/>
  <c r="BI132" i="2" s="1"/>
  <c r="BI133" i="2" s="1"/>
  <c r="BI134" i="2" s="1"/>
  <c r="BI135" i="2" s="1"/>
  <c r="BI136" i="2" s="1"/>
  <c r="BI137" i="2" s="1"/>
  <c r="BI138" i="2" s="1"/>
  <c r="BI139" i="2" s="1"/>
  <c r="BI140" i="2" s="1"/>
  <c r="BI141" i="2" s="1"/>
  <c r="BI142" i="2" s="1"/>
  <c r="BI143" i="2" s="1"/>
  <c r="BJ132" i="2" s="1"/>
  <c r="BJ133" i="2" s="1"/>
  <c r="BJ134" i="2" s="1"/>
  <c r="BJ135" i="2" s="1"/>
  <c r="BJ136" i="2" s="1"/>
  <c r="BJ137" i="2" s="1"/>
  <c r="BJ138" i="2" s="1"/>
  <c r="BJ139" i="2" s="1"/>
  <c r="BJ140" i="2" s="1"/>
  <c r="BJ141" i="2" s="1"/>
  <c r="BJ142" i="2" s="1"/>
  <c r="BJ143" i="2" s="1"/>
  <c r="AI113" i="2"/>
  <c r="AI114" i="2" s="1"/>
  <c r="AI115" i="2" s="1"/>
  <c r="AI116" i="2" s="1"/>
  <c r="AI117" i="2" s="1"/>
  <c r="AI118" i="2" s="1"/>
  <c r="AI119" i="2" s="1"/>
  <c r="AI120" i="2" s="1"/>
  <c r="AI121" i="2" s="1"/>
  <c r="AI122" i="2" s="1"/>
  <c r="AI123" i="2" s="1"/>
  <c r="AI124" i="2" s="1"/>
  <c r="AJ113" i="2" s="1"/>
  <c r="AJ114" i="2" s="1"/>
  <c r="AJ115" i="2" s="1"/>
  <c r="AJ116" i="2" s="1"/>
  <c r="AJ117" i="2" s="1"/>
  <c r="AJ118" i="2" s="1"/>
  <c r="AJ119" i="2" s="1"/>
  <c r="AJ120" i="2" s="1"/>
  <c r="AJ121" i="2" s="1"/>
  <c r="AJ122" i="2" s="1"/>
  <c r="AJ123" i="2" s="1"/>
  <c r="AJ124" i="2" s="1"/>
  <c r="AK113" i="2" s="1"/>
  <c r="AK114" i="2" s="1"/>
  <c r="AK115" i="2" s="1"/>
  <c r="AK116" i="2" s="1"/>
  <c r="AK117" i="2" s="1"/>
  <c r="AK118" i="2" s="1"/>
  <c r="AK119" i="2" s="1"/>
  <c r="AK120" i="2" s="1"/>
  <c r="AK121" i="2" s="1"/>
  <c r="AK122" i="2" s="1"/>
  <c r="AK123" i="2" s="1"/>
  <c r="AK124" i="2" s="1"/>
  <c r="AL113" i="2" s="1"/>
  <c r="AL114" i="2" s="1"/>
  <c r="AL115" i="2" s="1"/>
  <c r="AL116" i="2" s="1"/>
  <c r="AL117" i="2" s="1"/>
  <c r="AL118" i="2" s="1"/>
  <c r="AL119" i="2" s="1"/>
  <c r="AL120" i="2" s="1"/>
  <c r="AL121" i="2" s="1"/>
  <c r="AL122" i="2" s="1"/>
  <c r="AL123" i="2" s="1"/>
  <c r="AL124" i="2" s="1"/>
  <c r="AM113" i="2" s="1"/>
  <c r="AM114" i="2" s="1"/>
  <c r="AM115" i="2" s="1"/>
  <c r="AM116" i="2" s="1"/>
  <c r="AM117" i="2" s="1"/>
  <c r="AM118" i="2" s="1"/>
  <c r="AM119" i="2" s="1"/>
  <c r="AM120" i="2" s="1"/>
  <c r="AM121" i="2" s="1"/>
  <c r="AM122" i="2" s="1"/>
  <c r="AM123" i="2" s="1"/>
  <c r="AM124" i="2" s="1"/>
  <c r="AN113" i="2" s="1"/>
  <c r="AN114" i="2" s="1"/>
  <c r="AN115" i="2" s="1"/>
  <c r="AN116" i="2" s="1"/>
  <c r="AN117" i="2" s="1"/>
  <c r="AN118" i="2" s="1"/>
  <c r="AN119" i="2" s="1"/>
  <c r="AN120" i="2" s="1"/>
  <c r="AN121" i="2" s="1"/>
  <c r="AN122" i="2" s="1"/>
  <c r="AN123" i="2" s="1"/>
  <c r="AN124" i="2" s="1"/>
  <c r="AO113" i="2" s="1"/>
  <c r="AO114" i="2" s="1"/>
  <c r="AO115" i="2" s="1"/>
  <c r="AO116" i="2" s="1"/>
  <c r="AO117" i="2" s="1"/>
  <c r="AO118" i="2" s="1"/>
  <c r="AO119" i="2" s="1"/>
  <c r="AO120" i="2" s="1"/>
  <c r="AO121" i="2" s="1"/>
  <c r="AO122" i="2" s="1"/>
  <c r="AO123" i="2" s="1"/>
  <c r="AO124" i="2" s="1"/>
  <c r="AP113" i="2" s="1"/>
  <c r="AP114" i="2" s="1"/>
  <c r="AP115" i="2" s="1"/>
  <c r="AP116" i="2" s="1"/>
  <c r="AP117" i="2" s="1"/>
  <c r="AP118" i="2" s="1"/>
  <c r="AP119" i="2" s="1"/>
  <c r="AP120" i="2" s="1"/>
  <c r="AP121" i="2" s="1"/>
  <c r="AP122" i="2" s="1"/>
  <c r="AP123" i="2" s="1"/>
  <c r="AP124" i="2" s="1"/>
  <c r="AQ113" i="2" s="1"/>
  <c r="AQ114" i="2" s="1"/>
  <c r="AQ115" i="2" s="1"/>
  <c r="AQ116" i="2" s="1"/>
  <c r="AQ117" i="2" s="1"/>
  <c r="AQ118" i="2" s="1"/>
  <c r="AQ119" i="2" s="1"/>
  <c r="AQ120" i="2" s="1"/>
  <c r="AQ121" i="2" s="1"/>
  <c r="AQ122" i="2" s="1"/>
  <c r="AQ123" i="2" s="1"/>
  <c r="AQ124" i="2" s="1"/>
  <c r="AR113" i="2" s="1"/>
  <c r="AR114" i="2" s="1"/>
  <c r="AR115" i="2" s="1"/>
  <c r="AR116" i="2" s="1"/>
  <c r="AR117" i="2" s="1"/>
  <c r="AR118" i="2" s="1"/>
  <c r="AR119" i="2" s="1"/>
  <c r="AR120" i="2" s="1"/>
  <c r="AR121" i="2" s="1"/>
  <c r="AR122" i="2" s="1"/>
  <c r="AR123" i="2" s="1"/>
  <c r="AR124" i="2" s="1"/>
  <c r="AS113" i="2" s="1"/>
  <c r="AS114" i="2" s="1"/>
  <c r="AS115" i="2" s="1"/>
  <c r="AS116" i="2" s="1"/>
  <c r="AS117" i="2" s="1"/>
  <c r="AS118" i="2" s="1"/>
  <c r="AS119" i="2" s="1"/>
  <c r="AS120" i="2" s="1"/>
  <c r="AS121" i="2" s="1"/>
  <c r="AS122" i="2" s="1"/>
  <c r="AS123" i="2" s="1"/>
  <c r="AS124" i="2" s="1"/>
  <c r="AT113" i="2" s="1"/>
  <c r="AT114" i="2" s="1"/>
  <c r="AT115" i="2" s="1"/>
  <c r="AT116" i="2" s="1"/>
  <c r="AT117" i="2" s="1"/>
  <c r="AT118" i="2" s="1"/>
  <c r="AT119" i="2" s="1"/>
  <c r="AT120" i="2" s="1"/>
  <c r="AT121" i="2" s="1"/>
  <c r="AT122" i="2" s="1"/>
  <c r="AT123" i="2" s="1"/>
  <c r="AT124" i="2" s="1"/>
  <c r="AU113" i="2" s="1"/>
  <c r="AU114" i="2" s="1"/>
  <c r="AU115" i="2" s="1"/>
  <c r="AU116" i="2" s="1"/>
  <c r="AU117" i="2" s="1"/>
  <c r="AU118" i="2" s="1"/>
  <c r="AU119" i="2" s="1"/>
  <c r="AU120" i="2" s="1"/>
  <c r="AU121" i="2" s="1"/>
  <c r="AU122" i="2" s="1"/>
  <c r="AU123" i="2" s="1"/>
  <c r="AU124" i="2" s="1"/>
  <c r="AV113" i="2" s="1"/>
  <c r="AV114" i="2" s="1"/>
  <c r="AV115" i="2" s="1"/>
  <c r="AV116" i="2" s="1"/>
  <c r="AV117" i="2" s="1"/>
  <c r="AV118" i="2" s="1"/>
  <c r="AV119" i="2" s="1"/>
  <c r="AV120" i="2" s="1"/>
  <c r="AV121" i="2" s="1"/>
  <c r="AV122" i="2" s="1"/>
  <c r="AV123" i="2" s="1"/>
  <c r="AV124" i="2" s="1"/>
  <c r="AW113" i="2" s="1"/>
  <c r="AW114" i="2" s="1"/>
  <c r="AW115" i="2" s="1"/>
  <c r="AW116" i="2" s="1"/>
  <c r="AW117" i="2" s="1"/>
  <c r="AW118" i="2" s="1"/>
  <c r="AW119" i="2" s="1"/>
  <c r="AW120" i="2" s="1"/>
  <c r="AW121" i="2" s="1"/>
  <c r="AW122" i="2" s="1"/>
  <c r="AW123" i="2" s="1"/>
  <c r="AW124" i="2" s="1"/>
  <c r="AX113" i="2" s="1"/>
  <c r="AX114" i="2" s="1"/>
  <c r="AX115" i="2" s="1"/>
  <c r="AX116" i="2" s="1"/>
  <c r="AX117" i="2" s="1"/>
  <c r="AX118" i="2" s="1"/>
  <c r="AX119" i="2" s="1"/>
  <c r="AX120" i="2" s="1"/>
  <c r="AX121" i="2" s="1"/>
  <c r="AX122" i="2" s="1"/>
  <c r="AX123" i="2" s="1"/>
  <c r="AX124" i="2" s="1"/>
  <c r="AY113" i="2" s="1"/>
  <c r="AY114" i="2" s="1"/>
  <c r="AY115" i="2" s="1"/>
  <c r="AY116" i="2" s="1"/>
  <c r="AY117" i="2" s="1"/>
  <c r="AY118" i="2" s="1"/>
  <c r="AY119" i="2" s="1"/>
  <c r="AY120" i="2" s="1"/>
  <c r="AY121" i="2" s="1"/>
  <c r="AY122" i="2" s="1"/>
  <c r="AY123" i="2" s="1"/>
  <c r="AY124" i="2" s="1"/>
  <c r="AZ113" i="2" s="1"/>
  <c r="AZ114" i="2" s="1"/>
  <c r="AZ115" i="2" s="1"/>
  <c r="AZ116" i="2" s="1"/>
  <c r="AZ117" i="2" s="1"/>
  <c r="AZ118" i="2" s="1"/>
  <c r="AZ119" i="2" s="1"/>
  <c r="AZ120" i="2" s="1"/>
  <c r="AZ121" i="2" s="1"/>
  <c r="AZ122" i="2" s="1"/>
  <c r="AZ123" i="2" s="1"/>
  <c r="AZ124" i="2" s="1"/>
  <c r="BA113" i="2" s="1"/>
  <c r="BA114" i="2" s="1"/>
  <c r="BA115" i="2" s="1"/>
  <c r="BA116" i="2" s="1"/>
  <c r="BA117" i="2" s="1"/>
  <c r="BA118" i="2" s="1"/>
  <c r="BA119" i="2" s="1"/>
  <c r="BA120" i="2" s="1"/>
  <c r="BA121" i="2" s="1"/>
  <c r="BA122" i="2" s="1"/>
  <c r="BA123" i="2" s="1"/>
  <c r="BA124" i="2" s="1"/>
  <c r="BB113" i="2" s="1"/>
  <c r="BB114" i="2" s="1"/>
  <c r="BB115" i="2" s="1"/>
  <c r="BB116" i="2" s="1"/>
  <c r="BB117" i="2" s="1"/>
  <c r="BB118" i="2" s="1"/>
  <c r="BB119" i="2" s="1"/>
  <c r="BB120" i="2" s="1"/>
  <c r="BB121" i="2" s="1"/>
  <c r="BB122" i="2" s="1"/>
  <c r="BB123" i="2" s="1"/>
  <c r="BB124" i="2" s="1"/>
  <c r="BC113" i="2" s="1"/>
  <c r="BC114" i="2" s="1"/>
  <c r="BC115" i="2" s="1"/>
  <c r="BC116" i="2" s="1"/>
  <c r="BC117" i="2" s="1"/>
  <c r="BC118" i="2" s="1"/>
  <c r="BC119" i="2" s="1"/>
  <c r="BC120" i="2" s="1"/>
  <c r="BC121" i="2" s="1"/>
  <c r="BC122" i="2" s="1"/>
  <c r="BC123" i="2" s="1"/>
  <c r="BC124" i="2" s="1"/>
  <c r="BD113" i="2" s="1"/>
  <c r="BD114" i="2" s="1"/>
  <c r="BD115" i="2" s="1"/>
  <c r="BD116" i="2" s="1"/>
  <c r="BD117" i="2" s="1"/>
  <c r="BD118" i="2" s="1"/>
  <c r="BD119" i="2" s="1"/>
  <c r="BD120" i="2" s="1"/>
  <c r="BD121" i="2" s="1"/>
  <c r="BD122" i="2" s="1"/>
  <c r="BD123" i="2" s="1"/>
  <c r="BD124" i="2" s="1"/>
  <c r="BE113" i="2" s="1"/>
  <c r="BE114" i="2" s="1"/>
  <c r="BE115" i="2" s="1"/>
  <c r="BE116" i="2" s="1"/>
  <c r="BE117" i="2" s="1"/>
  <c r="BE118" i="2" s="1"/>
  <c r="BE119" i="2" s="1"/>
  <c r="BE120" i="2" s="1"/>
  <c r="BE121" i="2" s="1"/>
  <c r="BE122" i="2" s="1"/>
  <c r="BE123" i="2" s="1"/>
  <c r="BE124" i="2" s="1"/>
  <c r="BF113" i="2" s="1"/>
  <c r="BF114" i="2" s="1"/>
  <c r="BF115" i="2" s="1"/>
  <c r="BF116" i="2" s="1"/>
  <c r="BF117" i="2" s="1"/>
  <c r="BF118" i="2" s="1"/>
  <c r="BF119" i="2" s="1"/>
  <c r="BF120" i="2" s="1"/>
  <c r="BF121" i="2" s="1"/>
  <c r="BF122" i="2" s="1"/>
  <c r="BF123" i="2" s="1"/>
  <c r="BF124" i="2" s="1"/>
  <c r="BG113" i="2" s="1"/>
  <c r="BG114" i="2" s="1"/>
  <c r="BG115" i="2" s="1"/>
  <c r="BG116" i="2" s="1"/>
  <c r="BG117" i="2" s="1"/>
  <c r="BG118" i="2" s="1"/>
  <c r="BG119" i="2" s="1"/>
  <c r="BG120" i="2" s="1"/>
  <c r="BG121" i="2" s="1"/>
  <c r="BG122" i="2" s="1"/>
  <c r="BG123" i="2" s="1"/>
  <c r="BG124" i="2" s="1"/>
  <c r="BH113" i="2" s="1"/>
  <c r="BH114" i="2" s="1"/>
  <c r="BH115" i="2" s="1"/>
  <c r="BH116" i="2" s="1"/>
  <c r="BH117" i="2" s="1"/>
  <c r="BH118" i="2" s="1"/>
  <c r="BH119" i="2" s="1"/>
  <c r="BH120" i="2" s="1"/>
  <c r="BH121" i="2" s="1"/>
  <c r="BH122" i="2" s="1"/>
  <c r="BH123" i="2" s="1"/>
  <c r="BH124" i="2" s="1"/>
  <c r="BI113" i="2" s="1"/>
  <c r="BI114" i="2" s="1"/>
  <c r="BI115" i="2" s="1"/>
  <c r="BI116" i="2" s="1"/>
  <c r="BI117" i="2" s="1"/>
  <c r="BI118" i="2" s="1"/>
  <c r="BI119" i="2" s="1"/>
  <c r="BI120" i="2" s="1"/>
  <c r="BI121" i="2" s="1"/>
  <c r="BI122" i="2" s="1"/>
  <c r="BI123" i="2" s="1"/>
  <c r="BI124" i="2" s="1"/>
  <c r="BJ113" i="2" s="1"/>
  <c r="BJ114" i="2" s="1"/>
  <c r="BJ115" i="2" s="1"/>
  <c r="BJ116" i="2" s="1"/>
  <c r="BJ117" i="2" s="1"/>
  <c r="BJ118" i="2" s="1"/>
  <c r="BJ119" i="2" s="1"/>
  <c r="BJ120" i="2" s="1"/>
  <c r="BJ121" i="2" s="1"/>
  <c r="BJ122" i="2" s="1"/>
  <c r="BJ123" i="2" s="1"/>
  <c r="BJ124" i="2" s="1"/>
  <c r="AI94" i="2"/>
  <c r="AI95" i="2" s="1"/>
  <c r="AI96" i="2" s="1"/>
  <c r="AI97" i="2" s="1"/>
  <c r="AI98" i="2" s="1"/>
  <c r="AI99" i="2" s="1"/>
  <c r="AI100" i="2" s="1"/>
  <c r="AI101" i="2" s="1"/>
  <c r="AI102" i="2" s="1"/>
  <c r="AI103" i="2" s="1"/>
  <c r="AI104" i="2" s="1"/>
  <c r="AI105" i="2" s="1"/>
  <c r="AJ94" i="2" s="1"/>
  <c r="AJ95" i="2" s="1"/>
  <c r="AJ96" i="2" s="1"/>
  <c r="AJ97" i="2" s="1"/>
  <c r="AJ98" i="2" s="1"/>
  <c r="AJ99" i="2" s="1"/>
  <c r="AJ100" i="2" s="1"/>
  <c r="AJ101" i="2" s="1"/>
  <c r="AJ102" i="2" s="1"/>
  <c r="AJ103" i="2" s="1"/>
  <c r="AJ104" i="2" s="1"/>
  <c r="AJ105" i="2" s="1"/>
  <c r="AK94" i="2" s="1"/>
  <c r="AK95" i="2" s="1"/>
  <c r="AK96" i="2" s="1"/>
  <c r="AK97" i="2" s="1"/>
  <c r="AK98" i="2" s="1"/>
  <c r="AK99" i="2" s="1"/>
  <c r="AK100" i="2" s="1"/>
  <c r="AK101" i="2" s="1"/>
  <c r="AK102" i="2" s="1"/>
  <c r="AK103" i="2" s="1"/>
  <c r="AK104" i="2" s="1"/>
  <c r="AK105" i="2" s="1"/>
  <c r="AL94" i="2" s="1"/>
  <c r="AL95" i="2" s="1"/>
  <c r="AL96" i="2" s="1"/>
  <c r="AL97" i="2" s="1"/>
  <c r="AL98" i="2" s="1"/>
  <c r="AL99" i="2" s="1"/>
  <c r="AL100" i="2" s="1"/>
  <c r="AL101" i="2" s="1"/>
  <c r="AL102" i="2" s="1"/>
  <c r="AL103" i="2" s="1"/>
  <c r="AL104" i="2" s="1"/>
  <c r="AL105" i="2" s="1"/>
  <c r="AM94" i="2" s="1"/>
  <c r="AM95" i="2" s="1"/>
  <c r="AM96" i="2" s="1"/>
  <c r="AM97" i="2" s="1"/>
  <c r="AM98" i="2" s="1"/>
  <c r="AM99" i="2" s="1"/>
  <c r="AM100" i="2" s="1"/>
  <c r="AM101" i="2" s="1"/>
  <c r="AM102" i="2" s="1"/>
  <c r="AM103" i="2" s="1"/>
  <c r="AM104" i="2" s="1"/>
  <c r="AM105" i="2" s="1"/>
  <c r="AN94" i="2" s="1"/>
  <c r="AN95" i="2" s="1"/>
  <c r="AN96" i="2" s="1"/>
  <c r="AN97" i="2" s="1"/>
  <c r="AN98" i="2" s="1"/>
  <c r="AN99" i="2" s="1"/>
  <c r="AN100" i="2" s="1"/>
  <c r="AN101" i="2" s="1"/>
  <c r="AN102" i="2" s="1"/>
  <c r="AN103" i="2" s="1"/>
  <c r="AN104" i="2" s="1"/>
  <c r="AN105" i="2" s="1"/>
  <c r="AO94" i="2" s="1"/>
  <c r="AO95" i="2" s="1"/>
  <c r="AO96" i="2" s="1"/>
  <c r="AO97" i="2" s="1"/>
  <c r="AO98" i="2" s="1"/>
  <c r="AO99" i="2" s="1"/>
  <c r="AO100" i="2" s="1"/>
  <c r="AO101" i="2" s="1"/>
  <c r="AO102" i="2" s="1"/>
  <c r="AO103" i="2" s="1"/>
  <c r="AO104" i="2" s="1"/>
  <c r="AO105" i="2" s="1"/>
  <c r="AP94" i="2" s="1"/>
  <c r="AP95" i="2" s="1"/>
  <c r="AP96" i="2" s="1"/>
  <c r="AP97" i="2" s="1"/>
  <c r="AP98" i="2" s="1"/>
  <c r="AP99" i="2" s="1"/>
  <c r="AP100" i="2" s="1"/>
  <c r="AP101" i="2" s="1"/>
  <c r="AP102" i="2" s="1"/>
  <c r="AP103" i="2" s="1"/>
  <c r="AP104" i="2" s="1"/>
  <c r="AP105" i="2" s="1"/>
  <c r="AQ94" i="2" s="1"/>
  <c r="AQ95" i="2" s="1"/>
  <c r="AQ96" i="2" s="1"/>
  <c r="AQ97" i="2" s="1"/>
  <c r="AQ98" i="2" s="1"/>
  <c r="AQ99" i="2" s="1"/>
  <c r="AQ100" i="2" s="1"/>
  <c r="AQ101" i="2" s="1"/>
  <c r="AQ102" i="2" s="1"/>
  <c r="AQ103" i="2" s="1"/>
  <c r="AQ104" i="2" s="1"/>
  <c r="AQ105" i="2" s="1"/>
  <c r="AR94" i="2" s="1"/>
  <c r="AR95" i="2" s="1"/>
  <c r="AR96" i="2" s="1"/>
  <c r="AR97" i="2" s="1"/>
  <c r="AR98" i="2" s="1"/>
  <c r="AR99" i="2" s="1"/>
  <c r="AR100" i="2" s="1"/>
  <c r="AR101" i="2" s="1"/>
  <c r="AR102" i="2" s="1"/>
  <c r="AR103" i="2" s="1"/>
  <c r="AR104" i="2" s="1"/>
  <c r="AR105" i="2" s="1"/>
  <c r="AS94" i="2" s="1"/>
  <c r="AS95" i="2" s="1"/>
  <c r="AS96" i="2" s="1"/>
  <c r="AS97" i="2" s="1"/>
  <c r="AS98" i="2" s="1"/>
  <c r="AS99" i="2" s="1"/>
  <c r="AS100" i="2" s="1"/>
  <c r="AS101" i="2" s="1"/>
  <c r="AS102" i="2" s="1"/>
  <c r="AS103" i="2" s="1"/>
  <c r="AS104" i="2" s="1"/>
  <c r="AS105" i="2" s="1"/>
  <c r="AT94" i="2" s="1"/>
  <c r="AT95" i="2" s="1"/>
  <c r="AT96" i="2" s="1"/>
  <c r="AT97" i="2" s="1"/>
  <c r="AT98" i="2" s="1"/>
  <c r="AT99" i="2" s="1"/>
  <c r="AT100" i="2" s="1"/>
  <c r="AT101" i="2" s="1"/>
  <c r="AT102" i="2" s="1"/>
  <c r="AT103" i="2" s="1"/>
  <c r="AT104" i="2" s="1"/>
  <c r="AT105" i="2" s="1"/>
  <c r="AU94" i="2" s="1"/>
  <c r="AU95" i="2" s="1"/>
  <c r="AU96" i="2" s="1"/>
  <c r="AU97" i="2" s="1"/>
  <c r="AU98" i="2" s="1"/>
  <c r="AU99" i="2" s="1"/>
  <c r="AU100" i="2" s="1"/>
  <c r="AU101" i="2" s="1"/>
  <c r="AU102" i="2" s="1"/>
  <c r="AU103" i="2" s="1"/>
  <c r="AU104" i="2" s="1"/>
  <c r="AU105" i="2" s="1"/>
  <c r="AV94" i="2" s="1"/>
  <c r="AV95" i="2" s="1"/>
  <c r="AV96" i="2" s="1"/>
  <c r="AV97" i="2" s="1"/>
  <c r="AV98" i="2" s="1"/>
  <c r="AV99" i="2" s="1"/>
  <c r="AV100" i="2" s="1"/>
  <c r="AV101" i="2" s="1"/>
  <c r="AV102" i="2" s="1"/>
  <c r="AV103" i="2" s="1"/>
  <c r="AV104" i="2" s="1"/>
  <c r="AV105" i="2" s="1"/>
  <c r="AW94" i="2" s="1"/>
  <c r="AW95" i="2" s="1"/>
  <c r="AW96" i="2" s="1"/>
  <c r="AW97" i="2" s="1"/>
  <c r="AW98" i="2" s="1"/>
  <c r="AW99" i="2" s="1"/>
  <c r="AW100" i="2" s="1"/>
  <c r="AW101" i="2" s="1"/>
  <c r="AW102" i="2" s="1"/>
  <c r="AW103" i="2" s="1"/>
  <c r="AW104" i="2" s="1"/>
  <c r="AW105" i="2" s="1"/>
  <c r="AX94" i="2" s="1"/>
  <c r="AX95" i="2" s="1"/>
  <c r="AX96" i="2" s="1"/>
  <c r="AX97" i="2" s="1"/>
  <c r="AX98" i="2" s="1"/>
  <c r="AX99" i="2" s="1"/>
  <c r="AX100" i="2" s="1"/>
  <c r="AX101" i="2" s="1"/>
  <c r="AX102" i="2" s="1"/>
  <c r="AX103" i="2" s="1"/>
  <c r="AX104" i="2" s="1"/>
  <c r="AX105" i="2" s="1"/>
  <c r="AY94" i="2" s="1"/>
  <c r="AY95" i="2" s="1"/>
  <c r="AY96" i="2" s="1"/>
  <c r="AY97" i="2" s="1"/>
  <c r="AY98" i="2" s="1"/>
  <c r="AY99" i="2" s="1"/>
  <c r="AY100" i="2" s="1"/>
  <c r="AY101" i="2" s="1"/>
  <c r="AY102" i="2" s="1"/>
  <c r="AY103" i="2" s="1"/>
  <c r="AY104" i="2" s="1"/>
  <c r="AY105" i="2" s="1"/>
  <c r="AZ94" i="2" s="1"/>
  <c r="AZ95" i="2" s="1"/>
  <c r="AZ96" i="2" s="1"/>
  <c r="AZ97" i="2" s="1"/>
  <c r="AZ98" i="2" s="1"/>
  <c r="AZ99" i="2" s="1"/>
  <c r="AZ100" i="2" s="1"/>
  <c r="AZ101" i="2" s="1"/>
  <c r="AZ102" i="2" s="1"/>
  <c r="AZ103" i="2" s="1"/>
  <c r="AZ104" i="2" s="1"/>
  <c r="AZ105" i="2" s="1"/>
  <c r="BA94" i="2" s="1"/>
  <c r="BA95" i="2" s="1"/>
  <c r="BA96" i="2" s="1"/>
  <c r="BA97" i="2" s="1"/>
  <c r="BA98" i="2" s="1"/>
  <c r="BA99" i="2" s="1"/>
  <c r="BA100" i="2" s="1"/>
  <c r="BA101" i="2" s="1"/>
  <c r="BA102" i="2" s="1"/>
  <c r="BA103" i="2" s="1"/>
  <c r="BA104" i="2" s="1"/>
  <c r="BA105" i="2" s="1"/>
  <c r="BB94" i="2" s="1"/>
  <c r="BB95" i="2" s="1"/>
  <c r="BB96" i="2" s="1"/>
  <c r="BB97" i="2" s="1"/>
  <c r="BB98" i="2" s="1"/>
  <c r="BB99" i="2" s="1"/>
  <c r="BB100" i="2" s="1"/>
  <c r="BB101" i="2" s="1"/>
  <c r="BB102" i="2" s="1"/>
  <c r="BB103" i="2" s="1"/>
  <c r="BB104" i="2" s="1"/>
  <c r="BB105" i="2" s="1"/>
  <c r="BC94" i="2" s="1"/>
  <c r="BC95" i="2" s="1"/>
  <c r="BC96" i="2" s="1"/>
  <c r="BC97" i="2" s="1"/>
  <c r="BC98" i="2" s="1"/>
  <c r="BC99" i="2" s="1"/>
  <c r="BC100" i="2" s="1"/>
  <c r="BC101" i="2" s="1"/>
  <c r="BC102" i="2" s="1"/>
  <c r="BC103" i="2" s="1"/>
  <c r="BC104" i="2" s="1"/>
  <c r="BC105" i="2" s="1"/>
  <c r="BD94" i="2" s="1"/>
  <c r="BD95" i="2" s="1"/>
  <c r="BD96" i="2" s="1"/>
  <c r="BD97" i="2" s="1"/>
  <c r="BD98" i="2" s="1"/>
  <c r="BD99" i="2" s="1"/>
  <c r="BD100" i="2" s="1"/>
  <c r="BD101" i="2" s="1"/>
  <c r="BD102" i="2" s="1"/>
  <c r="BD103" i="2" s="1"/>
  <c r="BD104" i="2" s="1"/>
  <c r="BD105" i="2" s="1"/>
  <c r="BE94" i="2" s="1"/>
  <c r="BE95" i="2" s="1"/>
  <c r="BE96" i="2" s="1"/>
  <c r="BE97" i="2" s="1"/>
  <c r="BE98" i="2" s="1"/>
  <c r="BE99" i="2" s="1"/>
  <c r="BE100" i="2" s="1"/>
  <c r="BE101" i="2" s="1"/>
  <c r="BE102" i="2" s="1"/>
  <c r="BE103" i="2" s="1"/>
  <c r="BE104" i="2" s="1"/>
  <c r="BE105" i="2" s="1"/>
  <c r="BF94" i="2" s="1"/>
  <c r="BF95" i="2" s="1"/>
  <c r="BF96" i="2" s="1"/>
  <c r="BF97" i="2" s="1"/>
  <c r="BF98" i="2" s="1"/>
  <c r="BF99" i="2" s="1"/>
  <c r="BF100" i="2" s="1"/>
  <c r="BF101" i="2" s="1"/>
  <c r="BF102" i="2" s="1"/>
  <c r="BF103" i="2" s="1"/>
  <c r="BF104" i="2" s="1"/>
  <c r="BF105" i="2" s="1"/>
  <c r="BG94" i="2" s="1"/>
  <c r="BG95" i="2" s="1"/>
  <c r="BG96" i="2" s="1"/>
  <c r="BG97" i="2" s="1"/>
  <c r="BG98" i="2" s="1"/>
  <c r="BG99" i="2" s="1"/>
  <c r="BG100" i="2" s="1"/>
  <c r="BG101" i="2" s="1"/>
  <c r="BG102" i="2" s="1"/>
  <c r="BG103" i="2" s="1"/>
  <c r="BG104" i="2" s="1"/>
  <c r="BG105" i="2" s="1"/>
  <c r="BH94" i="2" s="1"/>
  <c r="BH95" i="2" s="1"/>
  <c r="BH96" i="2" s="1"/>
  <c r="BH97" i="2" s="1"/>
  <c r="BH98" i="2" s="1"/>
  <c r="BH99" i="2" s="1"/>
  <c r="BH100" i="2" s="1"/>
  <c r="BH101" i="2" s="1"/>
  <c r="BH102" i="2" s="1"/>
  <c r="BH103" i="2" s="1"/>
  <c r="BH104" i="2" s="1"/>
  <c r="BH105" i="2" s="1"/>
  <c r="BI94" i="2" s="1"/>
  <c r="BI95" i="2" s="1"/>
  <c r="BI96" i="2" s="1"/>
  <c r="BI97" i="2" s="1"/>
  <c r="BI98" i="2" s="1"/>
  <c r="BI99" i="2" s="1"/>
  <c r="BI100" i="2" s="1"/>
  <c r="BI101" i="2" s="1"/>
  <c r="BI102" i="2" s="1"/>
  <c r="BI103" i="2" s="1"/>
  <c r="BI104" i="2" s="1"/>
  <c r="BI105" i="2" s="1"/>
  <c r="BJ94" i="2" s="1"/>
  <c r="BJ95" i="2" s="1"/>
  <c r="BJ96" i="2" s="1"/>
  <c r="BJ97" i="2" s="1"/>
  <c r="BJ98" i="2" s="1"/>
  <c r="BJ99" i="2" s="1"/>
  <c r="BJ100" i="2" s="1"/>
  <c r="BJ101" i="2" s="1"/>
  <c r="BJ102" i="2" s="1"/>
  <c r="BJ103" i="2" s="1"/>
  <c r="BJ104" i="2" s="1"/>
  <c r="BJ105" i="2" s="1"/>
  <c r="AI56" i="2"/>
  <c r="AI57" i="2" s="1"/>
  <c r="AI58" i="2" s="1"/>
  <c r="AI59" i="2" s="1"/>
  <c r="AI60" i="2" s="1"/>
  <c r="AI61" i="2" s="1"/>
  <c r="AI62" i="2" s="1"/>
  <c r="AI63" i="2" s="1"/>
  <c r="AI64" i="2" s="1"/>
  <c r="AI65" i="2" s="1"/>
  <c r="AI66" i="2" s="1"/>
  <c r="AI67" i="2" s="1"/>
  <c r="AJ56" i="2" s="1"/>
  <c r="AJ57" i="2" s="1"/>
  <c r="AJ58" i="2" s="1"/>
  <c r="AJ59" i="2" s="1"/>
  <c r="AJ60" i="2" s="1"/>
  <c r="AJ61" i="2" s="1"/>
  <c r="AJ62" i="2" s="1"/>
  <c r="AJ63" i="2" s="1"/>
  <c r="AJ64" i="2" s="1"/>
  <c r="AJ65" i="2" s="1"/>
  <c r="AJ66" i="2" s="1"/>
  <c r="AJ67" i="2" s="1"/>
  <c r="AK56" i="2" s="1"/>
  <c r="AK57" i="2" s="1"/>
  <c r="AK58" i="2" s="1"/>
  <c r="AK59" i="2" s="1"/>
  <c r="AK60" i="2" s="1"/>
  <c r="AK61" i="2" s="1"/>
  <c r="AK62" i="2" s="1"/>
  <c r="AK63" i="2" s="1"/>
  <c r="AK64" i="2" s="1"/>
  <c r="AK65" i="2" s="1"/>
  <c r="AK66" i="2" s="1"/>
  <c r="AK67" i="2" s="1"/>
  <c r="AL56" i="2" s="1"/>
  <c r="AL57" i="2" s="1"/>
  <c r="AL58" i="2" s="1"/>
  <c r="AL59" i="2" s="1"/>
  <c r="AL60" i="2" s="1"/>
  <c r="AL61" i="2" s="1"/>
  <c r="AL62" i="2" s="1"/>
  <c r="AL63" i="2" s="1"/>
  <c r="AL64" i="2" s="1"/>
  <c r="AL65" i="2" s="1"/>
  <c r="AL66" i="2" s="1"/>
  <c r="AL67" i="2" s="1"/>
  <c r="AM56" i="2" s="1"/>
  <c r="AM57" i="2" s="1"/>
  <c r="AM58" i="2" s="1"/>
  <c r="AM59" i="2" s="1"/>
  <c r="AM60" i="2" s="1"/>
  <c r="AM61" i="2" s="1"/>
  <c r="AM62" i="2" s="1"/>
  <c r="AM63" i="2" s="1"/>
  <c r="AM64" i="2" s="1"/>
  <c r="AM65" i="2" s="1"/>
  <c r="AM66" i="2" s="1"/>
  <c r="AM67" i="2" s="1"/>
  <c r="AN56" i="2" s="1"/>
  <c r="AN57" i="2" s="1"/>
  <c r="AN58" i="2" s="1"/>
  <c r="AN59" i="2" s="1"/>
  <c r="AN60" i="2" s="1"/>
  <c r="AN61" i="2" s="1"/>
  <c r="AN62" i="2" s="1"/>
  <c r="AN63" i="2" s="1"/>
  <c r="AN64" i="2" s="1"/>
  <c r="AN65" i="2" s="1"/>
  <c r="AN66" i="2" s="1"/>
  <c r="AN67" i="2" s="1"/>
  <c r="AO56" i="2" s="1"/>
  <c r="AO57" i="2" s="1"/>
  <c r="AO58" i="2" s="1"/>
  <c r="AO59" i="2" s="1"/>
  <c r="AO60" i="2" s="1"/>
  <c r="AO61" i="2" s="1"/>
  <c r="AO62" i="2" s="1"/>
  <c r="AO63" i="2" s="1"/>
  <c r="AO64" i="2" s="1"/>
  <c r="AO65" i="2" s="1"/>
  <c r="AO66" i="2" s="1"/>
  <c r="AO67" i="2" s="1"/>
  <c r="AP56" i="2" s="1"/>
  <c r="AP57" i="2" s="1"/>
  <c r="AP58" i="2" s="1"/>
  <c r="AP59" i="2" s="1"/>
  <c r="AP60" i="2" s="1"/>
  <c r="AP61" i="2" s="1"/>
  <c r="AP62" i="2" s="1"/>
  <c r="AP63" i="2" s="1"/>
  <c r="AP64" i="2" s="1"/>
  <c r="AP65" i="2" s="1"/>
  <c r="AP66" i="2" s="1"/>
  <c r="AP67" i="2" s="1"/>
  <c r="AQ56" i="2" s="1"/>
  <c r="AQ57" i="2" s="1"/>
  <c r="AQ58" i="2" s="1"/>
  <c r="AQ59" i="2" s="1"/>
  <c r="AQ60" i="2" s="1"/>
  <c r="AQ61" i="2" s="1"/>
  <c r="AQ62" i="2" s="1"/>
  <c r="AQ63" i="2" s="1"/>
  <c r="AQ64" i="2" s="1"/>
  <c r="AQ65" i="2" s="1"/>
  <c r="AQ66" i="2" s="1"/>
  <c r="AQ67" i="2" s="1"/>
  <c r="AR56" i="2" s="1"/>
  <c r="AR57" i="2" s="1"/>
  <c r="AR58" i="2" s="1"/>
  <c r="AR59" i="2" s="1"/>
  <c r="AR60" i="2" s="1"/>
  <c r="AR61" i="2" s="1"/>
  <c r="AR62" i="2" s="1"/>
  <c r="AR63" i="2" s="1"/>
  <c r="AR64" i="2" s="1"/>
  <c r="AR65" i="2" s="1"/>
  <c r="AR66" i="2" s="1"/>
  <c r="AR67" i="2" s="1"/>
  <c r="AS56" i="2" s="1"/>
  <c r="AS57" i="2" s="1"/>
  <c r="AS58" i="2" s="1"/>
  <c r="AS59" i="2" s="1"/>
  <c r="AS60" i="2" s="1"/>
  <c r="AS61" i="2" s="1"/>
  <c r="AS62" i="2" s="1"/>
  <c r="AS63" i="2" s="1"/>
  <c r="AS64" i="2" s="1"/>
  <c r="AS65" i="2" s="1"/>
  <c r="AS66" i="2" s="1"/>
  <c r="AS67" i="2" s="1"/>
  <c r="AT56" i="2" s="1"/>
  <c r="AT57" i="2" s="1"/>
  <c r="AT58" i="2" s="1"/>
  <c r="AT59" i="2" s="1"/>
  <c r="AT60" i="2" s="1"/>
  <c r="AT61" i="2" s="1"/>
  <c r="AT62" i="2" s="1"/>
  <c r="AT63" i="2" s="1"/>
  <c r="AT64" i="2" s="1"/>
  <c r="AT65" i="2" s="1"/>
  <c r="AT66" i="2" s="1"/>
  <c r="AT67" i="2" s="1"/>
  <c r="AU56" i="2" s="1"/>
  <c r="AU57" i="2" s="1"/>
  <c r="AU58" i="2" s="1"/>
  <c r="AU59" i="2" s="1"/>
  <c r="AU60" i="2" s="1"/>
  <c r="AU61" i="2" s="1"/>
  <c r="AU62" i="2" s="1"/>
  <c r="AU63" i="2" s="1"/>
  <c r="AU64" i="2" s="1"/>
  <c r="AU65" i="2" s="1"/>
  <c r="AU66" i="2" s="1"/>
  <c r="AU67" i="2" s="1"/>
  <c r="AV56" i="2" s="1"/>
  <c r="AV57" i="2" s="1"/>
  <c r="AV58" i="2" s="1"/>
  <c r="AV59" i="2" s="1"/>
  <c r="AV60" i="2" s="1"/>
  <c r="AV61" i="2" s="1"/>
  <c r="AV62" i="2" s="1"/>
  <c r="AV63" i="2" s="1"/>
  <c r="AV64" i="2" s="1"/>
  <c r="AV65" i="2" s="1"/>
  <c r="AV66" i="2" s="1"/>
  <c r="AV67" i="2" s="1"/>
  <c r="AW56" i="2" s="1"/>
  <c r="AW57" i="2" s="1"/>
  <c r="AW58" i="2" s="1"/>
  <c r="AW59" i="2" s="1"/>
  <c r="AW60" i="2" s="1"/>
  <c r="AW61" i="2" s="1"/>
  <c r="AW62" i="2" s="1"/>
  <c r="AW63" i="2" s="1"/>
  <c r="AW64" i="2" s="1"/>
  <c r="AW65" i="2" s="1"/>
  <c r="AW66" i="2" s="1"/>
  <c r="AW67" i="2" s="1"/>
  <c r="AX56" i="2" s="1"/>
  <c r="AX57" i="2" s="1"/>
  <c r="AX58" i="2" s="1"/>
  <c r="AX59" i="2" s="1"/>
  <c r="AX60" i="2" s="1"/>
  <c r="AX61" i="2" s="1"/>
  <c r="AX62" i="2" s="1"/>
  <c r="AX63" i="2" s="1"/>
  <c r="AX64" i="2" s="1"/>
  <c r="AX65" i="2" s="1"/>
  <c r="AX66" i="2" s="1"/>
  <c r="AX67" i="2" s="1"/>
  <c r="AY56" i="2" s="1"/>
  <c r="AY57" i="2" s="1"/>
  <c r="AY58" i="2" s="1"/>
  <c r="AY59" i="2" s="1"/>
  <c r="AY60" i="2" s="1"/>
  <c r="AY61" i="2" s="1"/>
  <c r="AY62" i="2" s="1"/>
  <c r="AY63" i="2" s="1"/>
  <c r="AY64" i="2" s="1"/>
  <c r="AY65" i="2" s="1"/>
  <c r="AY66" i="2" s="1"/>
  <c r="AY67" i="2" s="1"/>
  <c r="AZ56" i="2" s="1"/>
  <c r="AZ57" i="2" s="1"/>
  <c r="AZ58" i="2" s="1"/>
  <c r="AZ59" i="2" s="1"/>
  <c r="AZ60" i="2" s="1"/>
  <c r="AZ61" i="2" s="1"/>
  <c r="AZ62" i="2" s="1"/>
  <c r="AZ63" i="2" s="1"/>
  <c r="AZ64" i="2" s="1"/>
  <c r="AZ65" i="2" s="1"/>
  <c r="AZ66" i="2" s="1"/>
  <c r="AZ67" i="2" s="1"/>
  <c r="BA56" i="2" s="1"/>
  <c r="BA57" i="2" s="1"/>
  <c r="BA58" i="2" s="1"/>
  <c r="BA59" i="2" s="1"/>
  <c r="BA60" i="2" s="1"/>
  <c r="BA61" i="2" s="1"/>
  <c r="BA62" i="2" s="1"/>
  <c r="BA63" i="2" s="1"/>
  <c r="BA64" i="2" s="1"/>
  <c r="BA65" i="2" s="1"/>
  <c r="BA66" i="2" s="1"/>
  <c r="BA67" i="2" s="1"/>
  <c r="BB56" i="2" s="1"/>
  <c r="BB57" i="2" s="1"/>
  <c r="BB58" i="2" s="1"/>
  <c r="BB59" i="2" s="1"/>
  <c r="BB60" i="2" s="1"/>
  <c r="BB61" i="2" s="1"/>
  <c r="BB62" i="2" s="1"/>
  <c r="BB63" i="2" s="1"/>
  <c r="BB64" i="2" s="1"/>
  <c r="BB65" i="2" s="1"/>
  <c r="BB66" i="2" s="1"/>
  <c r="BB67" i="2" s="1"/>
  <c r="BC56" i="2" s="1"/>
  <c r="BC57" i="2" s="1"/>
  <c r="BC58" i="2" s="1"/>
  <c r="BC59" i="2" s="1"/>
  <c r="BC60" i="2" s="1"/>
  <c r="BC61" i="2" s="1"/>
  <c r="BC62" i="2" s="1"/>
  <c r="BC63" i="2" s="1"/>
  <c r="BC64" i="2" s="1"/>
  <c r="BC65" i="2" s="1"/>
  <c r="BC66" i="2" s="1"/>
  <c r="BC67" i="2" s="1"/>
  <c r="BD56" i="2" s="1"/>
  <c r="BD57" i="2" s="1"/>
  <c r="BD58" i="2" s="1"/>
  <c r="BD59" i="2" s="1"/>
  <c r="BD60" i="2" s="1"/>
  <c r="BD61" i="2" s="1"/>
  <c r="BD62" i="2" s="1"/>
  <c r="BD63" i="2" s="1"/>
  <c r="BD64" i="2" s="1"/>
  <c r="BD65" i="2" s="1"/>
  <c r="BD66" i="2" s="1"/>
  <c r="BD67" i="2" s="1"/>
  <c r="BE56" i="2" s="1"/>
  <c r="BE57" i="2" s="1"/>
  <c r="BE58" i="2" s="1"/>
  <c r="BE59" i="2" s="1"/>
  <c r="BE60" i="2" s="1"/>
  <c r="BE61" i="2" s="1"/>
  <c r="BE62" i="2" s="1"/>
  <c r="BE63" i="2" s="1"/>
  <c r="BE64" i="2" s="1"/>
  <c r="BE65" i="2" s="1"/>
  <c r="BE66" i="2" s="1"/>
  <c r="BE67" i="2" s="1"/>
  <c r="BF56" i="2" s="1"/>
  <c r="BF57" i="2" s="1"/>
  <c r="BF58" i="2" s="1"/>
  <c r="BF59" i="2" s="1"/>
  <c r="BF60" i="2" s="1"/>
  <c r="BF61" i="2" s="1"/>
  <c r="BF62" i="2" s="1"/>
  <c r="BF63" i="2" s="1"/>
  <c r="BF64" i="2" s="1"/>
  <c r="BF65" i="2" s="1"/>
  <c r="BF66" i="2" s="1"/>
  <c r="BF67" i="2" s="1"/>
  <c r="BG56" i="2" s="1"/>
  <c r="BG57" i="2" s="1"/>
  <c r="BG58" i="2" s="1"/>
  <c r="BG59" i="2" s="1"/>
  <c r="BG60" i="2" s="1"/>
  <c r="BG61" i="2" s="1"/>
  <c r="BG62" i="2" s="1"/>
  <c r="BG63" i="2" s="1"/>
  <c r="BG64" i="2" s="1"/>
  <c r="BG65" i="2" s="1"/>
  <c r="BG66" i="2" s="1"/>
  <c r="BG67" i="2" s="1"/>
  <c r="BH56" i="2" s="1"/>
  <c r="BH57" i="2" s="1"/>
  <c r="BH58" i="2" s="1"/>
  <c r="BH59" i="2" s="1"/>
  <c r="BH60" i="2" s="1"/>
  <c r="BH61" i="2" s="1"/>
  <c r="BH62" i="2" s="1"/>
  <c r="BH63" i="2" s="1"/>
  <c r="BH64" i="2" s="1"/>
  <c r="BH65" i="2" s="1"/>
  <c r="BH66" i="2" s="1"/>
  <c r="BH67" i="2" s="1"/>
  <c r="BI56" i="2" s="1"/>
  <c r="BI57" i="2" s="1"/>
  <c r="BI58" i="2" s="1"/>
  <c r="BI59" i="2" s="1"/>
  <c r="BI60" i="2" s="1"/>
  <c r="BI61" i="2" s="1"/>
  <c r="BI62" i="2" s="1"/>
  <c r="BI63" i="2" s="1"/>
  <c r="BI64" i="2" s="1"/>
  <c r="BI65" i="2" s="1"/>
  <c r="BI66" i="2" s="1"/>
  <c r="BI67" i="2" s="1"/>
  <c r="BJ56" i="2" s="1"/>
  <c r="BJ57" i="2" s="1"/>
  <c r="BJ58" i="2" s="1"/>
  <c r="BJ59" i="2" s="1"/>
  <c r="BJ60" i="2" s="1"/>
  <c r="BJ61" i="2" s="1"/>
  <c r="BJ62" i="2" s="1"/>
  <c r="BJ63" i="2" s="1"/>
  <c r="BJ64" i="2" s="1"/>
  <c r="BJ65" i="2" s="1"/>
  <c r="BJ66" i="2" s="1"/>
  <c r="BJ67" i="2" s="1"/>
  <c r="AI37" i="2"/>
  <c r="AI38" i="2" s="1"/>
  <c r="AI39" i="2" s="1"/>
  <c r="AI40" i="2" s="1"/>
  <c r="AI41" i="2" s="1"/>
  <c r="AI42" i="2" s="1"/>
  <c r="AI43" i="2" s="1"/>
  <c r="AI44" i="2" s="1"/>
  <c r="AI45" i="2" s="1"/>
  <c r="AI46" i="2" s="1"/>
  <c r="AI47" i="2" s="1"/>
  <c r="AI48" i="2" s="1"/>
  <c r="AJ37" i="2" s="1"/>
  <c r="AJ38" i="2" s="1"/>
  <c r="AJ39" i="2" s="1"/>
  <c r="AJ40" i="2" s="1"/>
  <c r="AJ41" i="2" s="1"/>
  <c r="AJ42" i="2" s="1"/>
  <c r="AJ43" i="2" s="1"/>
  <c r="AJ44" i="2" s="1"/>
  <c r="AJ45" i="2" s="1"/>
  <c r="AJ46" i="2" s="1"/>
  <c r="AJ47" i="2" s="1"/>
  <c r="AJ48" i="2" s="1"/>
  <c r="AK37" i="2" s="1"/>
  <c r="AK38" i="2" s="1"/>
  <c r="AK39" i="2" s="1"/>
  <c r="AK40" i="2" s="1"/>
  <c r="AK41" i="2" s="1"/>
  <c r="AK42" i="2" s="1"/>
  <c r="AK43" i="2" s="1"/>
  <c r="AK44" i="2" s="1"/>
  <c r="AK45" i="2" s="1"/>
  <c r="AK46" i="2" s="1"/>
  <c r="AK47" i="2" s="1"/>
  <c r="AK48" i="2" s="1"/>
  <c r="AL37" i="2" s="1"/>
  <c r="AL38" i="2" s="1"/>
  <c r="AL39" i="2" s="1"/>
  <c r="AL40" i="2" s="1"/>
  <c r="AL41" i="2" s="1"/>
  <c r="AL42" i="2" s="1"/>
  <c r="AL43" i="2" s="1"/>
  <c r="AL44" i="2" s="1"/>
  <c r="AL45" i="2" s="1"/>
  <c r="AL46" i="2" s="1"/>
  <c r="AL47" i="2" s="1"/>
  <c r="AL48" i="2" s="1"/>
  <c r="AM37" i="2" s="1"/>
  <c r="AM38" i="2" s="1"/>
  <c r="AM39" i="2" s="1"/>
  <c r="AM40" i="2" s="1"/>
  <c r="AM41" i="2" s="1"/>
  <c r="AM42" i="2" s="1"/>
  <c r="AM43" i="2" s="1"/>
  <c r="AM44" i="2" s="1"/>
  <c r="AM45" i="2" s="1"/>
  <c r="AM46" i="2" s="1"/>
  <c r="AM47" i="2" s="1"/>
  <c r="AM48" i="2" s="1"/>
  <c r="AN37" i="2" s="1"/>
  <c r="AN38" i="2" s="1"/>
  <c r="AN39" i="2" s="1"/>
  <c r="AN40" i="2" s="1"/>
  <c r="AN41" i="2" s="1"/>
  <c r="AN42" i="2" s="1"/>
  <c r="AN43" i="2" s="1"/>
  <c r="AN44" i="2" s="1"/>
  <c r="AN45" i="2" s="1"/>
  <c r="AN46" i="2" s="1"/>
  <c r="AN47" i="2" s="1"/>
  <c r="AN48" i="2" s="1"/>
  <c r="AO37" i="2" s="1"/>
  <c r="AO38" i="2" s="1"/>
  <c r="AO39" i="2" s="1"/>
  <c r="AO40" i="2" s="1"/>
  <c r="AO41" i="2" s="1"/>
  <c r="AO42" i="2" s="1"/>
  <c r="AO43" i="2" s="1"/>
  <c r="AO44" i="2" s="1"/>
  <c r="AO45" i="2" s="1"/>
  <c r="AO46" i="2" s="1"/>
  <c r="AO47" i="2" s="1"/>
  <c r="AO48" i="2" s="1"/>
  <c r="AP37" i="2" s="1"/>
  <c r="AP38" i="2" s="1"/>
  <c r="AP39" i="2" s="1"/>
  <c r="AP40" i="2" s="1"/>
  <c r="AP41" i="2" s="1"/>
  <c r="AP42" i="2" s="1"/>
  <c r="AP43" i="2" s="1"/>
  <c r="AP44" i="2" s="1"/>
  <c r="AP45" i="2" s="1"/>
  <c r="AP46" i="2" s="1"/>
  <c r="AP47" i="2" s="1"/>
  <c r="AP48" i="2" s="1"/>
  <c r="AQ37" i="2" s="1"/>
  <c r="AQ38" i="2" s="1"/>
  <c r="AQ39" i="2" s="1"/>
  <c r="AQ40" i="2" s="1"/>
  <c r="AQ41" i="2" s="1"/>
  <c r="AQ42" i="2" s="1"/>
  <c r="AQ43" i="2" s="1"/>
  <c r="AQ44" i="2" s="1"/>
  <c r="AQ45" i="2" s="1"/>
  <c r="AQ46" i="2" s="1"/>
  <c r="AQ47" i="2" s="1"/>
  <c r="AQ48" i="2" s="1"/>
  <c r="AR37" i="2" s="1"/>
  <c r="AR38" i="2" s="1"/>
  <c r="AR39" i="2" s="1"/>
  <c r="AR40" i="2" s="1"/>
  <c r="AR41" i="2" s="1"/>
  <c r="AR42" i="2" s="1"/>
  <c r="AR43" i="2" s="1"/>
  <c r="AR44" i="2" s="1"/>
  <c r="AR45" i="2" s="1"/>
  <c r="AR46" i="2" s="1"/>
  <c r="AR47" i="2" s="1"/>
  <c r="AR48" i="2" s="1"/>
  <c r="AS37" i="2" s="1"/>
  <c r="AS38" i="2" s="1"/>
  <c r="AS39" i="2" s="1"/>
  <c r="AS40" i="2" s="1"/>
  <c r="AS41" i="2" s="1"/>
  <c r="AS42" i="2" s="1"/>
  <c r="AS43" i="2" s="1"/>
  <c r="AS44" i="2" s="1"/>
  <c r="AS45" i="2" s="1"/>
  <c r="AS46" i="2" s="1"/>
  <c r="AS47" i="2" s="1"/>
  <c r="AS48" i="2" s="1"/>
  <c r="AT37" i="2" s="1"/>
  <c r="AT38" i="2" s="1"/>
  <c r="AT39" i="2" s="1"/>
  <c r="AT40" i="2" s="1"/>
  <c r="AT41" i="2" s="1"/>
  <c r="AT42" i="2" s="1"/>
  <c r="AT43" i="2" s="1"/>
  <c r="AT44" i="2" s="1"/>
  <c r="AT45" i="2" s="1"/>
  <c r="AT46" i="2" s="1"/>
  <c r="AT47" i="2" s="1"/>
  <c r="AT48" i="2" s="1"/>
  <c r="AU37" i="2" s="1"/>
  <c r="AU38" i="2" s="1"/>
  <c r="AU39" i="2" s="1"/>
  <c r="AU40" i="2" s="1"/>
  <c r="AU41" i="2" s="1"/>
  <c r="AU42" i="2" s="1"/>
  <c r="AU43" i="2" s="1"/>
  <c r="AU44" i="2" s="1"/>
  <c r="AU45" i="2" s="1"/>
  <c r="AU46" i="2" s="1"/>
  <c r="AU47" i="2" s="1"/>
  <c r="AU48" i="2" s="1"/>
  <c r="AV37" i="2" s="1"/>
  <c r="AV38" i="2" s="1"/>
  <c r="AV39" i="2" s="1"/>
  <c r="AV40" i="2" s="1"/>
  <c r="AV41" i="2" s="1"/>
  <c r="AV42" i="2" s="1"/>
  <c r="AV43" i="2" s="1"/>
  <c r="AV44" i="2" s="1"/>
  <c r="AV45" i="2" s="1"/>
  <c r="AV46" i="2" s="1"/>
  <c r="AV47" i="2" s="1"/>
  <c r="AV48" i="2" s="1"/>
  <c r="AW37" i="2" s="1"/>
  <c r="AW38" i="2" s="1"/>
  <c r="AW39" i="2" s="1"/>
  <c r="AW40" i="2" s="1"/>
  <c r="AW41" i="2" s="1"/>
  <c r="AW42" i="2" s="1"/>
  <c r="AW43" i="2" s="1"/>
  <c r="AW44" i="2" s="1"/>
  <c r="AW45" i="2" s="1"/>
  <c r="AW46" i="2" s="1"/>
  <c r="AW47" i="2" s="1"/>
  <c r="AW48" i="2" s="1"/>
  <c r="AX37" i="2" s="1"/>
  <c r="AX38" i="2" s="1"/>
  <c r="AX39" i="2" s="1"/>
  <c r="AX40" i="2" s="1"/>
  <c r="AX41" i="2" s="1"/>
  <c r="AX42" i="2" s="1"/>
  <c r="AX43" i="2" s="1"/>
  <c r="AX44" i="2" s="1"/>
  <c r="AX45" i="2" s="1"/>
  <c r="AX46" i="2" s="1"/>
  <c r="AX47" i="2" s="1"/>
  <c r="AX48" i="2" s="1"/>
  <c r="AY37" i="2" s="1"/>
  <c r="AY38" i="2" s="1"/>
  <c r="AY39" i="2" s="1"/>
  <c r="AY40" i="2" s="1"/>
  <c r="AY41" i="2" s="1"/>
  <c r="AY42" i="2" s="1"/>
  <c r="AY43" i="2" s="1"/>
  <c r="AY44" i="2" s="1"/>
  <c r="AY45" i="2" s="1"/>
  <c r="AY46" i="2" s="1"/>
  <c r="AY47" i="2" s="1"/>
  <c r="AY48" i="2" s="1"/>
  <c r="AZ37" i="2" s="1"/>
  <c r="AZ38" i="2" s="1"/>
  <c r="AZ39" i="2" s="1"/>
  <c r="AZ40" i="2" s="1"/>
  <c r="AZ41" i="2" s="1"/>
  <c r="AZ42" i="2" s="1"/>
  <c r="AZ43" i="2" s="1"/>
  <c r="AZ44" i="2" s="1"/>
  <c r="AZ45" i="2" s="1"/>
  <c r="AZ46" i="2" s="1"/>
  <c r="AZ47" i="2" s="1"/>
  <c r="AZ48" i="2" s="1"/>
  <c r="BA37" i="2" s="1"/>
  <c r="BA38" i="2" s="1"/>
  <c r="BA39" i="2" s="1"/>
  <c r="BA40" i="2" s="1"/>
  <c r="BA41" i="2" s="1"/>
  <c r="BA42" i="2" s="1"/>
  <c r="BA43" i="2" s="1"/>
  <c r="BA44" i="2" s="1"/>
  <c r="BA45" i="2" s="1"/>
  <c r="BA46" i="2" s="1"/>
  <c r="BA47" i="2" s="1"/>
  <c r="BA48" i="2" s="1"/>
  <c r="BB37" i="2" s="1"/>
  <c r="BB38" i="2" s="1"/>
  <c r="BB39" i="2" s="1"/>
  <c r="BB40" i="2" s="1"/>
  <c r="BB41" i="2" s="1"/>
  <c r="BB42" i="2" s="1"/>
  <c r="BB43" i="2" s="1"/>
  <c r="BB44" i="2" s="1"/>
  <c r="BB45" i="2" s="1"/>
  <c r="BB46" i="2" s="1"/>
  <c r="BB47" i="2" s="1"/>
  <c r="BB48" i="2" s="1"/>
  <c r="BC37" i="2" s="1"/>
  <c r="BC38" i="2" s="1"/>
  <c r="BC39" i="2" s="1"/>
  <c r="BC40" i="2" s="1"/>
  <c r="BC41" i="2" s="1"/>
  <c r="BC42" i="2" s="1"/>
  <c r="BC43" i="2" s="1"/>
  <c r="BC44" i="2" s="1"/>
  <c r="BC45" i="2" s="1"/>
  <c r="BC46" i="2" s="1"/>
  <c r="BC47" i="2" s="1"/>
  <c r="BC48" i="2" s="1"/>
  <c r="BD37" i="2" s="1"/>
  <c r="BD38" i="2" s="1"/>
  <c r="BD39" i="2" s="1"/>
  <c r="BD40" i="2" s="1"/>
  <c r="BD41" i="2" s="1"/>
  <c r="BD42" i="2" s="1"/>
  <c r="BD43" i="2" s="1"/>
  <c r="BD44" i="2" s="1"/>
  <c r="BD45" i="2" s="1"/>
  <c r="BD46" i="2" s="1"/>
  <c r="BD47" i="2" s="1"/>
  <c r="BD48" i="2" s="1"/>
  <c r="BE37" i="2" s="1"/>
  <c r="BE38" i="2" s="1"/>
  <c r="BE39" i="2" s="1"/>
  <c r="BE40" i="2" s="1"/>
  <c r="BE41" i="2" s="1"/>
  <c r="BE42" i="2" s="1"/>
  <c r="BE43" i="2" s="1"/>
  <c r="BE44" i="2" s="1"/>
  <c r="BE45" i="2" s="1"/>
  <c r="BE46" i="2" s="1"/>
  <c r="BE47" i="2" s="1"/>
  <c r="BE48" i="2" s="1"/>
  <c r="BF37" i="2" s="1"/>
  <c r="BF38" i="2" s="1"/>
  <c r="BF39" i="2" s="1"/>
  <c r="BF40" i="2" s="1"/>
  <c r="BF41" i="2" s="1"/>
  <c r="BF42" i="2" s="1"/>
  <c r="BF43" i="2" s="1"/>
  <c r="BF44" i="2" s="1"/>
  <c r="BF45" i="2" s="1"/>
  <c r="BF46" i="2" s="1"/>
  <c r="BF47" i="2" s="1"/>
  <c r="BF48" i="2" s="1"/>
  <c r="BG37" i="2" s="1"/>
  <c r="BG38" i="2" s="1"/>
  <c r="BG39" i="2" s="1"/>
  <c r="BG40" i="2" s="1"/>
  <c r="BG41" i="2" s="1"/>
  <c r="BG42" i="2" s="1"/>
  <c r="BG43" i="2" s="1"/>
  <c r="BG44" i="2" s="1"/>
  <c r="BG45" i="2" s="1"/>
  <c r="BG46" i="2" s="1"/>
  <c r="BG47" i="2" s="1"/>
  <c r="BG48" i="2" s="1"/>
  <c r="BH37" i="2" s="1"/>
  <c r="BH38" i="2" s="1"/>
  <c r="BH39" i="2" s="1"/>
  <c r="BH40" i="2" s="1"/>
  <c r="BH41" i="2" s="1"/>
  <c r="BH42" i="2" s="1"/>
  <c r="BH43" i="2" s="1"/>
  <c r="BH44" i="2" s="1"/>
  <c r="BH45" i="2" s="1"/>
  <c r="BH46" i="2" s="1"/>
  <c r="BH47" i="2" s="1"/>
  <c r="BH48" i="2" s="1"/>
  <c r="BI37" i="2" s="1"/>
  <c r="BI38" i="2" s="1"/>
  <c r="BI39" i="2" s="1"/>
  <c r="BI40" i="2" s="1"/>
  <c r="BI41" i="2" s="1"/>
  <c r="BI42" i="2" s="1"/>
  <c r="BI43" i="2" s="1"/>
  <c r="BI44" i="2" s="1"/>
  <c r="BI45" i="2" s="1"/>
  <c r="BI46" i="2" s="1"/>
  <c r="BI47" i="2" s="1"/>
  <c r="BI48" i="2" s="1"/>
  <c r="BJ37" i="2" s="1"/>
  <c r="BJ38" i="2" s="1"/>
  <c r="BJ39" i="2" s="1"/>
  <c r="BJ40" i="2" s="1"/>
  <c r="BJ41" i="2" s="1"/>
  <c r="BJ42" i="2" s="1"/>
  <c r="BJ43" i="2" s="1"/>
  <c r="BJ44" i="2" s="1"/>
  <c r="BJ45" i="2" s="1"/>
  <c r="BJ46" i="2" s="1"/>
  <c r="BJ47" i="2" s="1"/>
  <c r="BJ48" i="2" s="1"/>
  <c r="AI15" i="2"/>
  <c r="AI16" i="2" s="1"/>
  <c r="AI17" i="2" s="1"/>
  <c r="AI18" i="2" s="1"/>
  <c r="AI19" i="2" s="1"/>
  <c r="AI20" i="2" s="1"/>
  <c r="AI21" i="2" s="1"/>
  <c r="AI22" i="2" s="1"/>
  <c r="AI23" i="2" s="1"/>
  <c r="AI24" i="2" s="1"/>
  <c r="AI25" i="2" s="1"/>
  <c r="AI26" i="2" s="1"/>
  <c r="AJ15" i="2" s="1"/>
  <c r="AJ16" i="2" s="1"/>
  <c r="AJ17" i="2" s="1"/>
  <c r="AJ18" i="2" s="1"/>
  <c r="AJ19" i="2" s="1"/>
  <c r="AJ20" i="2" s="1"/>
  <c r="AJ21" i="2" s="1"/>
  <c r="AJ22" i="2" s="1"/>
  <c r="AJ23" i="2" s="1"/>
  <c r="AJ24" i="2" s="1"/>
  <c r="AJ25" i="2" s="1"/>
  <c r="AJ26" i="2" s="1"/>
  <c r="AK15" i="2" s="1"/>
  <c r="AK16" i="2" s="1"/>
  <c r="AK17" i="2" s="1"/>
  <c r="AK18" i="2" s="1"/>
  <c r="AK19" i="2" s="1"/>
  <c r="AK20" i="2" s="1"/>
  <c r="AK21" i="2" s="1"/>
  <c r="AK22" i="2" s="1"/>
  <c r="AK23" i="2" s="1"/>
  <c r="AK24" i="2" s="1"/>
  <c r="AK25" i="2" s="1"/>
  <c r="AK26" i="2" s="1"/>
  <c r="AL15" i="2" s="1"/>
  <c r="AL16" i="2" s="1"/>
  <c r="AL17" i="2" s="1"/>
  <c r="AL18" i="2" s="1"/>
  <c r="AL19" i="2" s="1"/>
  <c r="AL20" i="2" s="1"/>
  <c r="AL21" i="2" s="1"/>
  <c r="AL22" i="2" s="1"/>
  <c r="AL23" i="2" s="1"/>
  <c r="AL24" i="2" s="1"/>
  <c r="AL25" i="2" s="1"/>
  <c r="AL26" i="2" s="1"/>
  <c r="AM15" i="2" s="1"/>
  <c r="AM16" i="2" s="1"/>
  <c r="AM17" i="2" s="1"/>
  <c r="AM18" i="2" s="1"/>
  <c r="AM19" i="2" s="1"/>
  <c r="AM20" i="2" s="1"/>
  <c r="AM21" i="2" s="1"/>
  <c r="AM22" i="2" s="1"/>
  <c r="AM23" i="2" s="1"/>
  <c r="AM24" i="2" s="1"/>
  <c r="AM25" i="2" s="1"/>
  <c r="AM26" i="2" s="1"/>
  <c r="AN15" i="2" s="1"/>
  <c r="AN16" i="2" s="1"/>
  <c r="AN17" i="2" s="1"/>
  <c r="AN18" i="2" s="1"/>
  <c r="AN19" i="2" s="1"/>
  <c r="AN20" i="2" s="1"/>
  <c r="AN21" i="2" s="1"/>
  <c r="AN22" i="2" s="1"/>
  <c r="AN23" i="2" s="1"/>
  <c r="AN24" i="2" s="1"/>
  <c r="AN25" i="2" s="1"/>
  <c r="AN26" i="2" s="1"/>
  <c r="AO15" i="2" s="1"/>
  <c r="AO16" i="2" s="1"/>
  <c r="AO17" i="2" s="1"/>
  <c r="AO18" i="2" s="1"/>
  <c r="AO19" i="2" s="1"/>
  <c r="AO20" i="2" s="1"/>
  <c r="AO21" i="2" s="1"/>
  <c r="AO22" i="2" s="1"/>
  <c r="AO23" i="2" s="1"/>
  <c r="AO24" i="2" s="1"/>
  <c r="AO25" i="2" s="1"/>
  <c r="AO26" i="2" s="1"/>
  <c r="AP15" i="2" s="1"/>
  <c r="AP16" i="2" s="1"/>
  <c r="AP17" i="2" s="1"/>
  <c r="AP18" i="2" s="1"/>
  <c r="AP19" i="2" s="1"/>
  <c r="AP20" i="2" s="1"/>
  <c r="AP21" i="2" s="1"/>
  <c r="AP22" i="2" s="1"/>
  <c r="AP23" i="2" s="1"/>
  <c r="AP24" i="2" s="1"/>
  <c r="AP25" i="2" s="1"/>
  <c r="AP26" i="2" s="1"/>
  <c r="AQ15" i="2" s="1"/>
  <c r="AQ16" i="2" s="1"/>
  <c r="AQ17" i="2" s="1"/>
  <c r="AQ18" i="2" s="1"/>
  <c r="AQ19" i="2" s="1"/>
  <c r="AQ20" i="2" s="1"/>
  <c r="AQ21" i="2" s="1"/>
  <c r="AQ22" i="2" s="1"/>
  <c r="AQ23" i="2" s="1"/>
  <c r="AQ24" i="2" s="1"/>
  <c r="AQ25" i="2" s="1"/>
  <c r="AQ26" i="2" s="1"/>
  <c r="AR15" i="2" s="1"/>
  <c r="AR16" i="2" s="1"/>
  <c r="AR17" i="2" s="1"/>
  <c r="AR18" i="2" s="1"/>
  <c r="AR19" i="2" s="1"/>
  <c r="AR20" i="2" s="1"/>
  <c r="AR21" i="2" s="1"/>
  <c r="AR22" i="2" s="1"/>
  <c r="AR23" i="2" s="1"/>
  <c r="AR24" i="2" s="1"/>
  <c r="AR25" i="2" s="1"/>
  <c r="AR26" i="2" s="1"/>
  <c r="AS15" i="2" s="1"/>
  <c r="AS16" i="2" s="1"/>
  <c r="AS17" i="2" s="1"/>
  <c r="AS18" i="2" s="1"/>
  <c r="AS19" i="2" s="1"/>
  <c r="AS20" i="2" s="1"/>
  <c r="AS21" i="2" s="1"/>
  <c r="AS22" i="2" s="1"/>
  <c r="AS23" i="2" s="1"/>
  <c r="AS24" i="2" s="1"/>
  <c r="AS25" i="2" s="1"/>
  <c r="AS26" i="2" s="1"/>
  <c r="AT15" i="2" s="1"/>
  <c r="AT16" i="2" s="1"/>
  <c r="AT17" i="2" s="1"/>
  <c r="AT18" i="2" s="1"/>
  <c r="AT19" i="2" s="1"/>
  <c r="AT20" i="2" s="1"/>
  <c r="AT21" i="2" s="1"/>
  <c r="AT22" i="2" s="1"/>
  <c r="AT23" i="2" s="1"/>
  <c r="AT24" i="2" s="1"/>
  <c r="AT25" i="2" s="1"/>
  <c r="AT26" i="2" s="1"/>
  <c r="AU15" i="2" s="1"/>
  <c r="AU16" i="2" s="1"/>
  <c r="AU17" i="2" s="1"/>
  <c r="AU18" i="2" s="1"/>
  <c r="AU19" i="2" s="1"/>
  <c r="AU20" i="2" s="1"/>
  <c r="AU21" i="2" s="1"/>
  <c r="AU22" i="2" s="1"/>
  <c r="AU23" i="2" s="1"/>
  <c r="AU24" i="2" s="1"/>
  <c r="AU25" i="2" s="1"/>
  <c r="AU26" i="2" s="1"/>
  <c r="AV15" i="2" s="1"/>
  <c r="AV16" i="2" s="1"/>
  <c r="AV17" i="2" s="1"/>
  <c r="AV18" i="2" s="1"/>
  <c r="AV19" i="2" s="1"/>
  <c r="AV20" i="2" s="1"/>
  <c r="AV21" i="2" s="1"/>
  <c r="AV22" i="2" s="1"/>
  <c r="AV23" i="2" s="1"/>
  <c r="AV24" i="2" s="1"/>
  <c r="AV25" i="2" s="1"/>
  <c r="AV26" i="2" s="1"/>
  <c r="AW15" i="2" s="1"/>
  <c r="AW16" i="2" s="1"/>
  <c r="AW17" i="2" s="1"/>
  <c r="AW18" i="2" s="1"/>
  <c r="AW19" i="2" s="1"/>
  <c r="AW20" i="2" s="1"/>
  <c r="AW21" i="2" s="1"/>
  <c r="AW22" i="2" s="1"/>
  <c r="AW23" i="2" s="1"/>
  <c r="AW24" i="2" s="1"/>
  <c r="AW25" i="2" s="1"/>
  <c r="AW26" i="2" s="1"/>
  <c r="AX15" i="2" s="1"/>
  <c r="AX16" i="2" s="1"/>
  <c r="AX17" i="2" s="1"/>
  <c r="AX18" i="2" s="1"/>
  <c r="AX19" i="2" s="1"/>
  <c r="AX20" i="2" s="1"/>
  <c r="AX21" i="2" s="1"/>
  <c r="AX22" i="2" s="1"/>
  <c r="AX23" i="2" s="1"/>
  <c r="AX24" i="2" s="1"/>
  <c r="AX25" i="2" s="1"/>
  <c r="AX26" i="2" s="1"/>
  <c r="AY15" i="2" s="1"/>
  <c r="AY16" i="2" s="1"/>
  <c r="AY17" i="2" s="1"/>
  <c r="AY18" i="2" s="1"/>
  <c r="AY19" i="2" s="1"/>
  <c r="AY20" i="2" s="1"/>
  <c r="AY21" i="2" s="1"/>
  <c r="AY22" i="2" s="1"/>
  <c r="AY23" i="2" s="1"/>
  <c r="AY24" i="2" s="1"/>
  <c r="AY25" i="2" s="1"/>
  <c r="AY26" i="2" s="1"/>
  <c r="AZ15" i="2" s="1"/>
  <c r="AZ16" i="2" s="1"/>
  <c r="AZ17" i="2" s="1"/>
  <c r="AZ18" i="2" s="1"/>
  <c r="AZ19" i="2" s="1"/>
  <c r="AZ20" i="2" s="1"/>
  <c r="AZ21" i="2" s="1"/>
  <c r="AZ22" i="2" s="1"/>
  <c r="AZ23" i="2" s="1"/>
  <c r="AZ24" i="2" s="1"/>
  <c r="AZ25" i="2" s="1"/>
  <c r="AZ26" i="2" s="1"/>
  <c r="BA15" i="2" s="1"/>
  <c r="BA16" i="2" s="1"/>
  <c r="BA17" i="2" s="1"/>
  <c r="BA18" i="2" s="1"/>
  <c r="BA19" i="2" s="1"/>
  <c r="BA20" i="2" s="1"/>
  <c r="BA21" i="2" s="1"/>
  <c r="BA22" i="2" s="1"/>
  <c r="BA23" i="2" s="1"/>
  <c r="BA24" i="2" s="1"/>
  <c r="BA25" i="2" s="1"/>
  <c r="BA26" i="2" s="1"/>
  <c r="BB15" i="2" s="1"/>
  <c r="BB16" i="2" s="1"/>
  <c r="BB17" i="2" s="1"/>
  <c r="BB18" i="2" s="1"/>
  <c r="BB19" i="2" s="1"/>
  <c r="BB20" i="2" s="1"/>
  <c r="BB21" i="2" s="1"/>
  <c r="BB22" i="2" s="1"/>
  <c r="BB23" i="2" s="1"/>
  <c r="BB24" i="2" s="1"/>
  <c r="BB25" i="2" s="1"/>
  <c r="BB26" i="2" s="1"/>
  <c r="BC15" i="2" s="1"/>
  <c r="BC16" i="2" s="1"/>
  <c r="BC17" i="2" s="1"/>
  <c r="BC18" i="2" s="1"/>
  <c r="BC19" i="2" s="1"/>
  <c r="BC20" i="2" s="1"/>
  <c r="BC21" i="2" s="1"/>
  <c r="BC22" i="2" s="1"/>
  <c r="BC23" i="2" s="1"/>
  <c r="BC24" i="2" s="1"/>
  <c r="BC25" i="2" s="1"/>
  <c r="BC26" i="2" s="1"/>
  <c r="BD15" i="2" s="1"/>
  <c r="BD16" i="2" s="1"/>
  <c r="BD17" i="2" s="1"/>
  <c r="BD18" i="2" s="1"/>
  <c r="BD19" i="2" s="1"/>
  <c r="BD20" i="2" s="1"/>
  <c r="BD21" i="2" s="1"/>
  <c r="BD22" i="2" s="1"/>
  <c r="BD23" i="2" s="1"/>
  <c r="BD24" i="2" s="1"/>
  <c r="BD25" i="2" s="1"/>
  <c r="BD26" i="2" s="1"/>
  <c r="BE15" i="2" s="1"/>
  <c r="BE16" i="2" s="1"/>
  <c r="BE17" i="2" s="1"/>
  <c r="BE18" i="2" s="1"/>
  <c r="BE19" i="2" s="1"/>
  <c r="BE20" i="2" s="1"/>
  <c r="BE21" i="2" s="1"/>
  <c r="BE22" i="2" s="1"/>
  <c r="BE23" i="2" s="1"/>
  <c r="BE24" i="2" s="1"/>
  <c r="BE25" i="2" s="1"/>
  <c r="BE26" i="2" s="1"/>
  <c r="BF15" i="2" s="1"/>
  <c r="BF16" i="2" s="1"/>
  <c r="BF17" i="2" s="1"/>
  <c r="BF18" i="2" s="1"/>
  <c r="BF19" i="2" s="1"/>
  <c r="BF20" i="2" s="1"/>
  <c r="BF21" i="2" s="1"/>
  <c r="BF22" i="2" s="1"/>
  <c r="BF23" i="2" s="1"/>
  <c r="BF24" i="2" s="1"/>
  <c r="BF25" i="2" s="1"/>
  <c r="BF26" i="2" s="1"/>
  <c r="BG15" i="2" s="1"/>
  <c r="BG16" i="2" s="1"/>
  <c r="BG17" i="2" s="1"/>
  <c r="BG18" i="2" s="1"/>
  <c r="BG19" i="2" s="1"/>
  <c r="BG20" i="2" s="1"/>
  <c r="BG21" i="2" s="1"/>
  <c r="BG22" i="2" s="1"/>
  <c r="BG23" i="2" s="1"/>
  <c r="BG24" i="2" s="1"/>
  <c r="BG25" i="2" s="1"/>
  <c r="BG26" i="2" s="1"/>
  <c r="BH15" i="2" s="1"/>
  <c r="BH16" i="2" s="1"/>
  <c r="BH17" i="2" s="1"/>
  <c r="BH18" i="2" s="1"/>
  <c r="BH19" i="2" s="1"/>
  <c r="BH20" i="2" s="1"/>
  <c r="BH21" i="2" s="1"/>
  <c r="BH22" i="2" s="1"/>
  <c r="BH23" i="2" s="1"/>
  <c r="BH24" i="2" s="1"/>
  <c r="BH25" i="2" s="1"/>
  <c r="BH26" i="2" s="1"/>
  <c r="BI15" i="2" s="1"/>
  <c r="BI16" i="2" s="1"/>
  <c r="BI17" i="2" s="1"/>
  <c r="BI18" i="2" s="1"/>
  <c r="BI19" i="2" s="1"/>
  <c r="BI20" i="2" s="1"/>
  <c r="BI21" i="2" s="1"/>
  <c r="BI22" i="2" s="1"/>
  <c r="BI23" i="2" s="1"/>
  <c r="BI24" i="2" s="1"/>
  <c r="BI25" i="2" s="1"/>
  <c r="BI26" i="2" s="1"/>
  <c r="BJ15" i="2" s="1"/>
  <c r="BJ16" i="2" s="1"/>
  <c r="BJ17" i="2" s="1"/>
  <c r="BJ18" i="2" s="1"/>
  <c r="BJ19" i="2" s="1"/>
  <c r="BJ20" i="2" s="1"/>
  <c r="BJ21" i="2" s="1"/>
  <c r="BJ22" i="2" s="1"/>
  <c r="BJ23" i="2" s="1"/>
  <c r="BJ24" i="2" s="1"/>
  <c r="BJ25" i="2" s="1"/>
  <c r="BJ26" i="2" s="1"/>
  <c r="A156" i="2"/>
  <c r="A155" i="2"/>
  <c r="A154" i="2"/>
  <c r="A153" i="2"/>
  <c r="A137" i="2"/>
  <c r="A136" i="2"/>
  <c r="A135" i="2"/>
  <c r="A134" i="2"/>
  <c r="A118" i="2"/>
  <c r="A117" i="2"/>
  <c r="A116" i="2"/>
  <c r="A115" i="2"/>
  <c r="A99" i="2"/>
  <c r="A98" i="2"/>
  <c r="A97" i="2"/>
  <c r="A96" i="2"/>
  <c r="A80" i="2"/>
  <c r="A79" i="2"/>
  <c r="A78" i="2"/>
  <c r="A77" i="2"/>
  <c r="A61" i="2"/>
  <c r="A60" i="2"/>
  <c r="A59" i="2"/>
  <c r="A58" i="2"/>
  <c r="A42" i="2"/>
  <c r="A41" i="2"/>
  <c r="A40" i="2"/>
  <c r="A39" i="2"/>
  <c r="A19" i="2"/>
  <c r="A18" i="2"/>
  <c r="A17" i="2"/>
  <c r="A16" i="2"/>
  <c r="AI132" i="1"/>
  <c r="AI133" i="1" s="1"/>
  <c r="AI134" i="1" s="1"/>
  <c r="AI135" i="1" s="1"/>
  <c r="AI136" i="1" s="1"/>
  <c r="AI137" i="1" s="1"/>
  <c r="AI138" i="1" s="1"/>
  <c r="AI139" i="1" s="1"/>
  <c r="AI140" i="1" s="1"/>
  <c r="AI141" i="1" s="1"/>
  <c r="AI142" i="1" s="1"/>
  <c r="AI143" i="1" s="1"/>
  <c r="AJ132" i="1" s="1"/>
  <c r="AJ133" i="1" s="1"/>
  <c r="AJ134" i="1" s="1"/>
  <c r="AJ135" i="1" s="1"/>
  <c r="AJ136" i="1" s="1"/>
  <c r="AJ137" i="1" s="1"/>
  <c r="AJ138" i="1" s="1"/>
  <c r="AJ139" i="1" s="1"/>
  <c r="AJ140" i="1" s="1"/>
  <c r="AJ141" i="1" s="1"/>
  <c r="AJ142" i="1" s="1"/>
  <c r="AJ143" i="1" s="1"/>
  <c r="AK132" i="1" s="1"/>
  <c r="AK133" i="1" s="1"/>
  <c r="AK134" i="1" s="1"/>
  <c r="AK135" i="1" s="1"/>
  <c r="AK136" i="1" s="1"/>
  <c r="AK137" i="1" s="1"/>
  <c r="AK138" i="1" s="1"/>
  <c r="AK139" i="1" s="1"/>
  <c r="AK140" i="1" s="1"/>
  <c r="AK141" i="1" s="1"/>
  <c r="AK142" i="1" s="1"/>
  <c r="AK143" i="1" s="1"/>
  <c r="AL132" i="1" s="1"/>
  <c r="AL133" i="1" s="1"/>
  <c r="AL134" i="1" s="1"/>
  <c r="AL135" i="1" s="1"/>
  <c r="AL136" i="1" s="1"/>
  <c r="AL137" i="1" s="1"/>
  <c r="AL138" i="1" s="1"/>
  <c r="AL139" i="1" s="1"/>
  <c r="AL140" i="1" s="1"/>
  <c r="AL141" i="1" s="1"/>
  <c r="AL142" i="1" s="1"/>
  <c r="AL143" i="1" s="1"/>
  <c r="AM132" i="1" s="1"/>
  <c r="AM133" i="1" s="1"/>
  <c r="AM134" i="1" s="1"/>
  <c r="AM135" i="1" s="1"/>
  <c r="AM136" i="1" s="1"/>
  <c r="AM137" i="1" s="1"/>
  <c r="AM138" i="1" s="1"/>
  <c r="AM139" i="1" s="1"/>
  <c r="AM140" i="1" s="1"/>
  <c r="AM141" i="1" s="1"/>
  <c r="AM142" i="1" s="1"/>
  <c r="AM143" i="1" s="1"/>
  <c r="AN132" i="1" s="1"/>
  <c r="AN133" i="1" s="1"/>
  <c r="AN134" i="1" s="1"/>
  <c r="AN135" i="1" s="1"/>
  <c r="AN136" i="1" s="1"/>
  <c r="AN137" i="1" s="1"/>
  <c r="AN138" i="1" s="1"/>
  <c r="AN139" i="1" s="1"/>
  <c r="AN140" i="1" s="1"/>
  <c r="AN141" i="1" s="1"/>
  <c r="AN142" i="1" s="1"/>
  <c r="AN143" i="1" s="1"/>
  <c r="AO132" i="1" s="1"/>
  <c r="AO133" i="1" s="1"/>
  <c r="AO134" i="1" s="1"/>
  <c r="AO135" i="1" s="1"/>
  <c r="AO136" i="1" s="1"/>
  <c r="AO137" i="1" s="1"/>
  <c r="AO138" i="1" s="1"/>
  <c r="AO139" i="1" s="1"/>
  <c r="AO140" i="1" s="1"/>
  <c r="AO141" i="1" s="1"/>
  <c r="AO142" i="1" s="1"/>
  <c r="AO143" i="1" s="1"/>
  <c r="AP132" i="1" s="1"/>
  <c r="AP133" i="1" s="1"/>
  <c r="AP134" i="1" s="1"/>
  <c r="AP135" i="1" s="1"/>
  <c r="AP136" i="1" s="1"/>
  <c r="AP137" i="1" s="1"/>
  <c r="AP138" i="1" s="1"/>
  <c r="AP139" i="1" s="1"/>
  <c r="AP140" i="1" s="1"/>
  <c r="AP141" i="1" s="1"/>
  <c r="AP142" i="1" s="1"/>
  <c r="AP143" i="1" s="1"/>
  <c r="AQ132" i="1" s="1"/>
  <c r="AQ133" i="1" s="1"/>
  <c r="AQ134" i="1" s="1"/>
  <c r="AQ135" i="1" s="1"/>
  <c r="AQ136" i="1" s="1"/>
  <c r="AQ137" i="1" s="1"/>
  <c r="AQ138" i="1" s="1"/>
  <c r="AQ139" i="1" s="1"/>
  <c r="AQ140" i="1" s="1"/>
  <c r="AQ141" i="1" s="1"/>
  <c r="AQ142" i="1" s="1"/>
  <c r="AQ143" i="1" s="1"/>
  <c r="AR132" i="1" s="1"/>
  <c r="AR133" i="1" s="1"/>
  <c r="AR134" i="1" s="1"/>
  <c r="AR135" i="1" s="1"/>
  <c r="AR136" i="1" s="1"/>
  <c r="AR137" i="1" s="1"/>
  <c r="AR138" i="1" s="1"/>
  <c r="AR139" i="1" s="1"/>
  <c r="AR140" i="1" s="1"/>
  <c r="AR141" i="1" s="1"/>
  <c r="AR142" i="1" s="1"/>
  <c r="AR143" i="1" s="1"/>
  <c r="AS132" i="1" s="1"/>
  <c r="AS133" i="1" s="1"/>
  <c r="AS134" i="1" s="1"/>
  <c r="AS135" i="1" s="1"/>
  <c r="AS136" i="1" s="1"/>
  <c r="AS137" i="1" s="1"/>
  <c r="AS138" i="1" s="1"/>
  <c r="AS139" i="1" s="1"/>
  <c r="AS140" i="1" s="1"/>
  <c r="AS141" i="1" s="1"/>
  <c r="AS142" i="1" s="1"/>
  <c r="AS143" i="1" s="1"/>
  <c r="AT132" i="1" s="1"/>
  <c r="AT133" i="1" s="1"/>
  <c r="AT134" i="1" s="1"/>
  <c r="AT135" i="1" s="1"/>
  <c r="AT136" i="1" s="1"/>
  <c r="AT137" i="1" s="1"/>
  <c r="AT138" i="1" s="1"/>
  <c r="AT139" i="1" s="1"/>
  <c r="AT140" i="1" s="1"/>
  <c r="AT141" i="1" s="1"/>
  <c r="AT142" i="1" s="1"/>
  <c r="AT143" i="1" s="1"/>
  <c r="AU132" i="1" s="1"/>
  <c r="AU133" i="1" s="1"/>
  <c r="AU134" i="1" s="1"/>
  <c r="AU135" i="1" s="1"/>
  <c r="AU136" i="1" s="1"/>
  <c r="AU137" i="1" s="1"/>
  <c r="AU138" i="1" s="1"/>
  <c r="AU139" i="1" s="1"/>
  <c r="AU140" i="1" s="1"/>
  <c r="AU141" i="1" s="1"/>
  <c r="AU142" i="1" s="1"/>
  <c r="AU143" i="1" s="1"/>
  <c r="AV132" i="1" s="1"/>
  <c r="AV133" i="1" s="1"/>
  <c r="AV134" i="1" s="1"/>
  <c r="AV135" i="1" s="1"/>
  <c r="AV136" i="1" s="1"/>
  <c r="AV137" i="1" s="1"/>
  <c r="AV138" i="1" s="1"/>
  <c r="AV139" i="1" s="1"/>
  <c r="AV140" i="1" s="1"/>
  <c r="AV141" i="1" s="1"/>
  <c r="AV142" i="1" s="1"/>
  <c r="AV143" i="1" s="1"/>
  <c r="AW132" i="1" s="1"/>
  <c r="AW133" i="1" s="1"/>
  <c r="AW134" i="1" s="1"/>
  <c r="AW135" i="1" s="1"/>
  <c r="AW136" i="1" s="1"/>
  <c r="AW137" i="1" s="1"/>
  <c r="AW138" i="1" s="1"/>
  <c r="AW139" i="1" s="1"/>
  <c r="AW140" i="1" s="1"/>
  <c r="AW141" i="1" s="1"/>
  <c r="AW142" i="1" s="1"/>
  <c r="AW143" i="1" s="1"/>
  <c r="AX132" i="1" s="1"/>
  <c r="AX133" i="1" s="1"/>
  <c r="AX134" i="1" s="1"/>
  <c r="AX135" i="1" s="1"/>
  <c r="AX136" i="1" s="1"/>
  <c r="AX137" i="1" s="1"/>
  <c r="AX138" i="1" s="1"/>
  <c r="AX139" i="1" s="1"/>
  <c r="AX140" i="1" s="1"/>
  <c r="AX141" i="1" s="1"/>
  <c r="AX142" i="1" s="1"/>
  <c r="AX143" i="1" s="1"/>
  <c r="AY132" i="1" s="1"/>
  <c r="AY133" i="1" s="1"/>
  <c r="AY134" i="1" s="1"/>
  <c r="AY135" i="1" s="1"/>
  <c r="AY136" i="1" s="1"/>
  <c r="AY137" i="1" s="1"/>
  <c r="AY138" i="1" s="1"/>
  <c r="AY139" i="1" s="1"/>
  <c r="AY140" i="1" s="1"/>
  <c r="AY141" i="1" s="1"/>
  <c r="AY142" i="1" s="1"/>
  <c r="AY143" i="1" s="1"/>
  <c r="AZ132" i="1" s="1"/>
  <c r="AZ133" i="1" s="1"/>
  <c r="AZ134" i="1" s="1"/>
  <c r="AZ135" i="1" s="1"/>
  <c r="AZ136" i="1" s="1"/>
  <c r="AZ137" i="1" s="1"/>
  <c r="AZ138" i="1" s="1"/>
  <c r="AZ139" i="1" s="1"/>
  <c r="AZ140" i="1" s="1"/>
  <c r="AZ141" i="1" s="1"/>
  <c r="AZ142" i="1" s="1"/>
  <c r="AZ143" i="1" s="1"/>
  <c r="BA132" i="1" s="1"/>
  <c r="BA133" i="1" s="1"/>
  <c r="BA134" i="1" s="1"/>
  <c r="BA135" i="1" s="1"/>
  <c r="BA136" i="1" s="1"/>
  <c r="BA137" i="1" s="1"/>
  <c r="BA138" i="1" s="1"/>
  <c r="BA139" i="1" s="1"/>
  <c r="BA140" i="1" s="1"/>
  <c r="BA141" i="1" s="1"/>
  <c r="BA142" i="1" s="1"/>
  <c r="BA143" i="1" s="1"/>
  <c r="BB132" i="1" s="1"/>
  <c r="BB133" i="1" s="1"/>
  <c r="BB134" i="1" s="1"/>
  <c r="BB135" i="1" s="1"/>
  <c r="BB136" i="1" s="1"/>
  <c r="BB137" i="1" s="1"/>
  <c r="BB138" i="1" s="1"/>
  <c r="BB139" i="1" s="1"/>
  <c r="BB140" i="1" s="1"/>
  <c r="BB141" i="1" s="1"/>
  <c r="BB142" i="1" s="1"/>
  <c r="BB143" i="1" s="1"/>
  <c r="BC132" i="1" s="1"/>
  <c r="BC133" i="1" s="1"/>
  <c r="BC134" i="1" s="1"/>
  <c r="BC135" i="1" s="1"/>
  <c r="BC136" i="1" s="1"/>
  <c r="BC137" i="1" s="1"/>
  <c r="BC138" i="1" s="1"/>
  <c r="BC139" i="1" s="1"/>
  <c r="BC140" i="1" s="1"/>
  <c r="BC141" i="1" s="1"/>
  <c r="BC142" i="1" s="1"/>
  <c r="BC143" i="1" s="1"/>
  <c r="BD132" i="1" s="1"/>
  <c r="BD133" i="1" s="1"/>
  <c r="BD134" i="1" s="1"/>
  <c r="BD135" i="1" s="1"/>
  <c r="BD136" i="1" s="1"/>
  <c r="BD137" i="1" s="1"/>
  <c r="BD138" i="1" s="1"/>
  <c r="BD139" i="1" s="1"/>
  <c r="BD140" i="1" s="1"/>
  <c r="BD141" i="1" s="1"/>
  <c r="BD142" i="1" s="1"/>
  <c r="BD143" i="1" s="1"/>
  <c r="BE132" i="1" s="1"/>
  <c r="BE133" i="1" s="1"/>
  <c r="BE134" i="1" s="1"/>
  <c r="BE135" i="1" s="1"/>
  <c r="BE136" i="1" s="1"/>
  <c r="BE137" i="1" s="1"/>
  <c r="BE138" i="1" s="1"/>
  <c r="BE139" i="1" s="1"/>
  <c r="BE140" i="1" s="1"/>
  <c r="BE141" i="1" s="1"/>
  <c r="BE142" i="1" s="1"/>
  <c r="BE143" i="1" s="1"/>
  <c r="BF132" i="1" s="1"/>
  <c r="BF133" i="1" s="1"/>
  <c r="BF134" i="1" s="1"/>
  <c r="BF135" i="1" s="1"/>
  <c r="BF136" i="1" s="1"/>
  <c r="BF137" i="1" s="1"/>
  <c r="BF138" i="1" s="1"/>
  <c r="BF139" i="1" s="1"/>
  <c r="BF140" i="1" s="1"/>
  <c r="BF141" i="1" s="1"/>
  <c r="BF142" i="1" s="1"/>
  <c r="BF143" i="1" s="1"/>
  <c r="BG132" i="1" s="1"/>
  <c r="BG133" i="1" s="1"/>
  <c r="BG134" i="1" s="1"/>
  <c r="BG135" i="1" s="1"/>
  <c r="BG136" i="1" s="1"/>
  <c r="BG137" i="1" s="1"/>
  <c r="BG138" i="1" s="1"/>
  <c r="BG139" i="1" s="1"/>
  <c r="BG140" i="1" s="1"/>
  <c r="BG141" i="1" s="1"/>
  <c r="BG142" i="1" s="1"/>
  <c r="BG143" i="1" s="1"/>
  <c r="BH132" i="1" s="1"/>
  <c r="BH133" i="1" s="1"/>
  <c r="BH134" i="1" s="1"/>
  <c r="BH135" i="1" s="1"/>
  <c r="BH136" i="1" s="1"/>
  <c r="BH137" i="1" s="1"/>
  <c r="BH138" i="1" s="1"/>
  <c r="BH139" i="1" s="1"/>
  <c r="BH140" i="1" s="1"/>
  <c r="BH141" i="1" s="1"/>
  <c r="BH142" i="1" s="1"/>
  <c r="BH143" i="1" s="1"/>
  <c r="BI132" i="1" s="1"/>
  <c r="BI133" i="1" s="1"/>
  <c r="BI134" i="1" s="1"/>
  <c r="BI135" i="1" s="1"/>
  <c r="BI136" i="1" s="1"/>
  <c r="BI137" i="1" s="1"/>
  <c r="BI138" i="1" s="1"/>
  <c r="BI139" i="1" s="1"/>
  <c r="BI140" i="1" s="1"/>
  <c r="BI141" i="1" s="1"/>
  <c r="BI142" i="1" s="1"/>
  <c r="BI143" i="1" s="1"/>
  <c r="BJ132" i="1" s="1"/>
  <c r="BJ133" i="1" s="1"/>
  <c r="BJ134" i="1" s="1"/>
  <c r="BJ135" i="1" s="1"/>
  <c r="BJ136" i="1" s="1"/>
  <c r="BJ137" i="1" s="1"/>
  <c r="BJ138" i="1" s="1"/>
  <c r="BJ139" i="1" s="1"/>
  <c r="BJ140" i="1" s="1"/>
  <c r="BJ141" i="1" s="1"/>
  <c r="BJ142" i="1" s="1"/>
  <c r="BJ143" i="1" s="1"/>
  <c r="AI113" i="1"/>
  <c r="AI114" i="1" s="1"/>
  <c r="AI115" i="1" s="1"/>
  <c r="AI116" i="1" s="1"/>
  <c r="AI117" i="1" s="1"/>
  <c r="AI118" i="1" s="1"/>
  <c r="AI119" i="1" s="1"/>
  <c r="AI120" i="1" s="1"/>
  <c r="AI121" i="1" s="1"/>
  <c r="AI122" i="1" s="1"/>
  <c r="AI123" i="1" s="1"/>
  <c r="AI124" i="1" s="1"/>
  <c r="AJ113" i="1" s="1"/>
  <c r="AJ114" i="1" s="1"/>
  <c r="AJ115" i="1" s="1"/>
  <c r="AJ116" i="1" s="1"/>
  <c r="AJ117" i="1" s="1"/>
  <c r="AJ118" i="1" s="1"/>
  <c r="AJ119" i="1" s="1"/>
  <c r="AJ120" i="1" s="1"/>
  <c r="AJ121" i="1" s="1"/>
  <c r="AJ122" i="1" s="1"/>
  <c r="AJ123" i="1" s="1"/>
  <c r="AJ124" i="1" s="1"/>
  <c r="AK113" i="1" s="1"/>
  <c r="AK114" i="1" s="1"/>
  <c r="AK115" i="1" s="1"/>
  <c r="AK116" i="1" s="1"/>
  <c r="AK117" i="1" s="1"/>
  <c r="AK118" i="1" s="1"/>
  <c r="AK119" i="1" s="1"/>
  <c r="AK120" i="1" s="1"/>
  <c r="AK121" i="1" s="1"/>
  <c r="AK122" i="1" s="1"/>
  <c r="AK123" i="1" s="1"/>
  <c r="AK124" i="1" s="1"/>
  <c r="AL113" i="1" s="1"/>
  <c r="AL114" i="1" s="1"/>
  <c r="AL115" i="1" s="1"/>
  <c r="AL116" i="1" s="1"/>
  <c r="AL117" i="1" s="1"/>
  <c r="AL118" i="1" s="1"/>
  <c r="AL119" i="1" s="1"/>
  <c r="AL120" i="1" s="1"/>
  <c r="AL121" i="1" s="1"/>
  <c r="AL122" i="1" s="1"/>
  <c r="AL123" i="1" s="1"/>
  <c r="AL124" i="1" s="1"/>
  <c r="AM113" i="1" s="1"/>
  <c r="AM114" i="1" s="1"/>
  <c r="AM115" i="1" s="1"/>
  <c r="AM116" i="1" s="1"/>
  <c r="AM117" i="1" s="1"/>
  <c r="AM118" i="1" s="1"/>
  <c r="AM119" i="1" s="1"/>
  <c r="AM120" i="1" s="1"/>
  <c r="AM121" i="1" s="1"/>
  <c r="AM122" i="1" s="1"/>
  <c r="AM123" i="1" s="1"/>
  <c r="AM124" i="1" s="1"/>
  <c r="AN113" i="1" s="1"/>
  <c r="AN114" i="1" s="1"/>
  <c r="AN115" i="1" s="1"/>
  <c r="AN116" i="1" s="1"/>
  <c r="AN117" i="1" s="1"/>
  <c r="AN118" i="1" s="1"/>
  <c r="AN119" i="1" s="1"/>
  <c r="AN120" i="1" s="1"/>
  <c r="AN121" i="1" s="1"/>
  <c r="AN122" i="1" s="1"/>
  <c r="AN123" i="1" s="1"/>
  <c r="AN124" i="1" s="1"/>
  <c r="AO113" i="1" s="1"/>
  <c r="AO114" i="1" s="1"/>
  <c r="AO115" i="1" s="1"/>
  <c r="AO116" i="1" s="1"/>
  <c r="AO117" i="1" s="1"/>
  <c r="AO118" i="1" s="1"/>
  <c r="AO119" i="1" s="1"/>
  <c r="AO120" i="1" s="1"/>
  <c r="AO121" i="1" s="1"/>
  <c r="AO122" i="1" s="1"/>
  <c r="AO123" i="1" s="1"/>
  <c r="AO124" i="1" s="1"/>
  <c r="AP113" i="1" s="1"/>
  <c r="AP114" i="1" s="1"/>
  <c r="AP115" i="1" s="1"/>
  <c r="AP116" i="1" s="1"/>
  <c r="AP117" i="1" s="1"/>
  <c r="AP118" i="1" s="1"/>
  <c r="AP119" i="1" s="1"/>
  <c r="AP120" i="1" s="1"/>
  <c r="AP121" i="1" s="1"/>
  <c r="AP122" i="1" s="1"/>
  <c r="AP123" i="1" s="1"/>
  <c r="AP124" i="1" s="1"/>
  <c r="AQ113" i="1" s="1"/>
  <c r="AQ114" i="1" s="1"/>
  <c r="AQ115" i="1" s="1"/>
  <c r="AQ116" i="1" s="1"/>
  <c r="AQ117" i="1" s="1"/>
  <c r="AQ118" i="1" s="1"/>
  <c r="AQ119" i="1" s="1"/>
  <c r="AQ120" i="1" s="1"/>
  <c r="AQ121" i="1" s="1"/>
  <c r="AQ122" i="1" s="1"/>
  <c r="AQ123" i="1" s="1"/>
  <c r="AQ124" i="1" s="1"/>
  <c r="AR113" i="1" s="1"/>
  <c r="AR114" i="1" s="1"/>
  <c r="AR115" i="1" s="1"/>
  <c r="AR116" i="1" s="1"/>
  <c r="AR117" i="1" s="1"/>
  <c r="AR118" i="1" s="1"/>
  <c r="AR119" i="1" s="1"/>
  <c r="AR120" i="1" s="1"/>
  <c r="AR121" i="1" s="1"/>
  <c r="AR122" i="1" s="1"/>
  <c r="AR123" i="1" s="1"/>
  <c r="AR124" i="1" s="1"/>
  <c r="AS113" i="1" s="1"/>
  <c r="AS114" i="1" s="1"/>
  <c r="AS115" i="1" s="1"/>
  <c r="AS116" i="1" s="1"/>
  <c r="AS117" i="1" s="1"/>
  <c r="AS118" i="1" s="1"/>
  <c r="AS119" i="1" s="1"/>
  <c r="AS120" i="1" s="1"/>
  <c r="AS121" i="1" s="1"/>
  <c r="AS122" i="1" s="1"/>
  <c r="AS123" i="1" s="1"/>
  <c r="AS124" i="1" s="1"/>
  <c r="AT113" i="1" s="1"/>
  <c r="AT114" i="1" s="1"/>
  <c r="AT115" i="1" s="1"/>
  <c r="AT116" i="1" s="1"/>
  <c r="AT117" i="1" s="1"/>
  <c r="AT118" i="1" s="1"/>
  <c r="AT119" i="1" s="1"/>
  <c r="AT120" i="1" s="1"/>
  <c r="AT121" i="1" s="1"/>
  <c r="AT122" i="1" s="1"/>
  <c r="AT123" i="1" s="1"/>
  <c r="AT124" i="1" s="1"/>
  <c r="AU113" i="1" s="1"/>
  <c r="AU114" i="1" s="1"/>
  <c r="AU115" i="1" s="1"/>
  <c r="AU116" i="1" s="1"/>
  <c r="AU117" i="1" s="1"/>
  <c r="AU118" i="1" s="1"/>
  <c r="AU119" i="1" s="1"/>
  <c r="AU120" i="1" s="1"/>
  <c r="AU121" i="1" s="1"/>
  <c r="AU122" i="1" s="1"/>
  <c r="AU123" i="1" s="1"/>
  <c r="AU124" i="1" s="1"/>
  <c r="AV113" i="1" s="1"/>
  <c r="AV114" i="1" s="1"/>
  <c r="AV115" i="1" s="1"/>
  <c r="AV116" i="1" s="1"/>
  <c r="AV117" i="1" s="1"/>
  <c r="AV118" i="1" s="1"/>
  <c r="AV119" i="1" s="1"/>
  <c r="AV120" i="1" s="1"/>
  <c r="AV121" i="1" s="1"/>
  <c r="AV122" i="1" s="1"/>
  <c r="AV123" i="1" s="1"/>
  <c r="AV124" i="1" s="1"/>
  <c r="AW113" i="1" s="1"/>
  <c r="AW114" i="1" s="1"/>
  <c r="AW115" i="1" s="1"/>
  <c r="AW116" i="1" s="1"/>
  <c r="AW117" i="1" s="1"/>
  <c r="AW118" i="1" s="1"/>
  <c r="AW119" i="1" s="1"/>
  <c r="AW120" i="1" s="1"/>
  <c r="AW121" i="1" s="1"/>
  <c r="AW122" i="1" s="1"/>
  <c r="AW123" i="1" s="1"/>
  <c r="AW124" i="1" s="1"/>
  <c r="AX113" i="1" s="1"/>
  <c r="AX114" i="1" s="1"/>
  <c r="AX115" i="1" s="1"/>
  <c r="AX116" i="1" s="1"/>
  <c r="AX117" i="1" s="1"/>
  <c r="AX118" i="1" s="1"/>
  <c r="AX119" i="1" s="1"/>
  <c r="AX120" i="1" s="1"/>
  <c r="AX121" i="1" s="1"/>
  <c r="AX122" i="1" s="1"/>
  <c r="AX123" i="1" s="1"/>
  <c r="AX124" i="1" s="1"/>
  <c r="AY113" i="1" s="1"/>
  <c r="AY114" i="1" s="1"/>
  <c r="AY115" i="1" s="1"/>
  <c r="AY116" i="1" s="1"/>
  <c r="AY117" i="1" s="1"/>
  <c r="AY118" i="1" s="1"/>
  <c r="AY119" i="1" s="1"/>
  <c r="AY120" i="1" s="1"/>
  <c r="AY121" i="1" s="1"/>
  <c r="AY122" i="1" s="1"/>
  <c r="AY123" i="1" s="1"/>
  <c r="AY124" i="1" s="1"/>
  <c r="AZ113" i="1" s="1"/>
  <c r="AZ114" i="1" s="1"/>
  <c r="AZ115" i="1" s="1"/>
  <c r="AZ116" i="1" s="1"/>
  <c r="AZ117" i="1" s="1"/>
  <c r="AZ118" i="1" s="1"/>
  <c r="AZ119" i="1" s="1"/>
  <c r="AZ120" i="1" s="1"/>
  <c r="AZ121" i="1" s="1"/>
  <c r="AZ122" i="1" s="1"/>
  <c r="AZ123" i="1" s="1"/>
  <c r="AZ124" i="1" s="1"/>
  <c r="BA113" i="1" s="1"/>
  <c r="BA114" i="1" s="1"/>
  <c r="BA115" i="1" s="1"/>
  <c r="BA116" i="1" s="1"/>
  <c r="BA117" i="1" s="1"/>
  <c r="BA118" i="1" s="1"/>
  <c r="BA119" i="1" s="1"/>
  <c r="BA120" i="1" s="1"/>
  <c r="BA121" i="1" s="1"/>
  <c r="BA122" i="1" s="1"/>
  <c r="BA123" i="1" s="1"/>
  <c r="BA124" i="1" s="1"/>
  <c r="BB113" i="1" s="1"/>
  <c r="BB114" i="1" s="1"/>
  <c r="BB115" i="1" s="1"/>
  <c r="BB116" i="1" s="1"/>
  <c r="BB117" i="1" s="1"/>
  <c r="BB118" i="1" s="1"/>
  <c r="BB119" i="1" s="1"/>
  <c r="BB120" i="1" s="1"/>
  <c r="BB121" i="1" s="1"/>
  <c r="BB122" i="1" s="1"/>
  <c r="BB123" i="1" s="1"/>
  <c r="BB124" i="1" s="1"/>
  <c r="BC113" i="1" s="1"/>
  <c r="BC114" i="1" s="1"/>
  <c r="BC115" i="1" s="1"/>
  <c r="BC116" i="1" s="1"/>
  <c r="BC117" i="1" s="1"/>
  <c r="BC118" i="1" s="1"/>
  <c r="BC119" i="1" s="1"/>
  <c r="BC120" i="1" s="1"/>
  <c r="BC121" i="1" s="1"/>
  <c r="BC122" i="1" s="1"/>
  <c r="BC123" i="1" s="1"/>
  <c r="BC124" i="1" s="1"/>
  <c r="BD113" i="1" s="1"/>
  <c r="BD114" i="1" s="1"/>
  <c r="BD115" i="1" s="1"/>
  <c r="BD116" i="1" s="1"/>
  <c r="BD117" i="1" s="1"/>
  <c r="BD118" i="1" s="1"/>
  <c r="BD119" i="1" s="1"/>
  <c r="BD120" i="1" s="1"/>
  <c r="BD121" i="1" s="1"/>
  <c r="BD122" i="1" s="1"/>
  <c r="BD123" i="1" s="1"/>
  <c r="BD124" i="1" s="1"/>
  <c r="BE113" i="1" s="1"/>
  <c r="BE114" i="1" s="1"/>
  <c r="BE115" i="1" s="1"/>
  <c r="BE116" i="1" s="1"/>
  <c r="BE117" i="1" s="1"/>
  <c r="BE118" i="1" s="1"/>
  <c r="BE119" i="1" s="1"/>
  <c r="BE120" i="1" s="1"/>
  <c r="BE121" i="1" s="1"/>
  <c r="BE122" i="1" s="1"/>
  <c r="BE123" i="1" s="1"/>
  <c r="BE124" i="1" s="1"/>
  <c r="BF113" i="1" s="1"/>
  <c r="BF114" i="1" s="1"/>
  <c r="BF115" i="1" s="1"/>
  <c r="BF116" i="1" s="1"/>
  <c r="BF117" i="1" s="1"/>
  <c r="BF118" i="1" s="1"/>
  <c r="BF119" i="1" s="1"/>
  <c r="BF120" i="1" s="1"/>
  <c r="BF121" i="1" s="1"/>
  <c r="BF122" i="1" s="1"/>
  <c r="BF123" i="1" s="1"/>
  <c r="BF124" i="1" s="1"/>
  <c r="BG113" i="1" s="1"/>
  <c r="BG114" i="1" s="1"/>
  <c r="BG115" i="1" s="1"/>
  <c r="BG116" i="1" s="1"/>
  <c r="BG117" i="1" s="1"/>
  <c r="BG118" i="1" s="1"/>
  <c r="BG119" i="1" s="1"/>
  <c r="BG120" i="1" s="1"/>
  <c r="BG121" i="1" s="1"/>
  <c r="BG122" i="1" s="1"/>
  <c r="BG123" i="1" s="1"/>
  <c r="BG124" i="1" s="1"/>
  <c r="BH113" i="1" s="1"/>
  <c r="BH114" i="1" s="1"/>
  <c r="BH115" i="1" s="1"/>
  <c r="BH116" i="1" s="1"/>
  <c r="BH117" i="1" s="1"/>
  <c r="BH118" i="1" s="1"/>
  <c r="BH119" i="1" s="1"/>
  <c r="BH120" i="1" s="1"/>
  <c r="BH121" i="1" s="1"/>
  <c r="BH122" i="1" s="1"/>
  <c r="BH123" i="1" s="1"/>
  <c r="BH124" i="1" s="1"/>
  <c r="BI113" i="1" s="1"/>
  <c r="BI114" i="1" s="1"/>
  <c r="BI115" i="1" s="1"/>
  <c r="BI116" i="1" s="1"/>
  <c r="BI117" i="1" s="1"/>
  <c r="BI118" i="1" s="1"/>
  <c r="BI119" i="1" s="1"/>
  <c r="BI120" i="1" s="1"/>
  <c r="BI121" i="1" s="1"/>
  <c r="BI122" i="1" s="1"/>
  <c r="BI123" i="1" s="1"/>
  <c r="BI124" i="1" s="1"/>
  <c r="BJ113" i="1" s="1"/>
  <c r="BJ114" i="1" s="1"/>
  <c r="BJ115" i="1" s="1"/>
  <c r="BJ116" i="1" s="1"/>
  <c r="BJ117" i="1" s="1"/>
  <c r="BJ118" i="1" s="1"/>
  <c r="BJ119" i="1" s="1"/>
  <c r="BJ120" i="1" s="1"/>
  <c r="BJ121" i="1" s="1"/>
  <c r="BJ122" i="1" s="1"/>
  <c r="BJ123" i="1" s="1"/>
  <c r="BJ124" i="1" s="1"/>
  <c r="AI94" i="1"/>
  <c r="AI95" i="1" s="1"/>
  <c r="AI96" i="1" s="1"/>
  <c r="AI97" i="1" s="1"/>
  <c r="AI98" i="1" s="1"/>
  <c r="AI99" i="1" s="1"/>
  <c r="AI100" i="1" s="1"/>
  <c r="AI101" i="1" s="1"/>
  <c r="AI102" i="1" s="1"/>
  <c r="AI103" i="1" s="1"/>
  <c r="AI104" i="1" s="1"/>
  <c r="AI105" i="1" s="1"/>
  <c r="AJ94" i="1" s="1"/>
  <c r="AJ95" i="1" s="1"/>
  <c r="AJ96" i="1" s="1"/>
  <c r="AJ97" i="1" s="1"/>
  <c r="AJ98" i="1" s="1"/>
  <c r="AJ99" i="1" s="1"/>
  <c r="AJ100" i="1" s="1"/>
  <c r="AJ101" i="1" s="1"/>
  <c r="AJ102" i="1" s="1"/>
  <c r="AJ103" i="1" s="1"/>
  <c r="AJ104" i="1" s="1"/>
  <c r="AJ105" i="1" s="1"/>
  <c r="AK94" i="1" s="1"/>
  <c r="AK95" i="1" s="1"/>
  <c r="AK96" i="1" s="1"/>
  <c r="AK97" i="1" s="1"/>
  <c r="AK98" i="1" s="1"/>
  <c r="AK99" i="1" s="1"/>
  <c r="AK100" i="1" s="1"/>
  <c r="AK101" i="1" s="1"/>
  <c r="AK102" i="1" s="1"/>
  <c r="AK103" i="1" s="1"/>
  <c r="AK104" i="1" s="1"/>
  <c r="AK105" i="1" s="1"/>
  <c r="AL94" i="1" s="1"/>
  <c r="AL95" i="1" s="1"/>
  <c r="AL96" i="1" s="1"/>
  <c r="AL97" i="1" s="1"/>
  <c r="AL98" i="1" s="1"/>
  <c r="AL99" i="1" s="1"/>
  <c r="AL100" i="1" s="1"/>
  <c r="AL101" i="1" s="1"/>
  <c r="AL102" i="1" s="1"/>
  <c r="AL103" i="1" s="1"/>
  <c r="AL104" i="1" s="1"/>
  <c r="AL105" i="1" s="1"/>
  <c r="AM94" i="1" s="1"/>
  <c r="AM95" i="1" s="1"/>
  <c r="AM96" i="1" s="1"/>
  <c r="AM97" i="1" s="1"/>
  <c r="AM98" i="1" s="1"/>
  <c r="AM99" i="1" s="1"/>
  <c r="AM100" i="1" s="1"/>
  <c r="AM101" i="1" s="1"/>
  <c r="AM102" i="1" s="1"/>
  <c r="AM103" i="1" s="1"/>
  <c r="AM104" i="1" s="1"/>
  <c r="AM105" i="1" s="1"/>
  <c r="AN94" i="1" s="1"/>
  <c r="AN95" i="1" s="1"/>
  <c r="AN96" i="1" s="1"/>
  <c r="AN97" i="1" s="1"/>
  <c r="AN98" i="1" s="1"/>
  <c r="AN99" i="1" s="1"/>
  <c r="AN100" i="1" s="1"/>
  <c r="AN101" i="1" s="1"/>
  <c r="AN102" i="1" s="1"/>
  <c r="AN103" i="1" s="1"/>
  <c r="AN104" i="1" s="1"/>
  <c r="AN105" i="1" s="1"/>
  <c r="AO94" i="1" s="1"/>
  <c r="AO95" i="1" s="1"/>
  <c r="AO96" i="1" s="1"/>
  <c r="AO97" i="1" s="1"/>
  <c r="AO98" i="1" s="1"/>
  <c r="AO99" i="1" s="1"/>
  <c r="AO100" i="1" s="1"/>
  <c r="AO101" i="1" s="1"/>
  <c r="AO102" i="1" s="1"/>
  <c r="AO103" i="1" s="1"/>
  <c r="AO104" i="1" s="1"/>
  <c r="AO105" i="1" s="1"/>
  <c r="AP94" i="1" s="1"/>
  <c r="AP95" i="1" s="1"/>
  <c r="AP96" i="1" s="1"/>
  <c r="AP97" i="1" s="1"/>
  <c r="AP98" i="1" s="1"/>
  <c r="AP99" i="1" s="1"/>
  <c r="AP100" i="1" s="1"/>
  <c r="AP101" i="1" s="1"/>
  <c r="AP102" i="1" s="1"/>
  <c r="AP103" i="1" s="1"/>
  <c r="AP104" i="1" s="1"/>
  <c r="AP105" i="1" s="1"/>
  <c r="AQ94" i="1" s="1"/>
  <c r="AQ95" i="1" s="1"/>
  <c r="AQ96" i="1" s="1"/>
  <c r="AQ97" i="1" s="1"/>
  <c r="AQ98" i="1" s="1"/>
  <c r="AQ99" i="1" s="1"/>
  <c r="AQ100" i="1" s="1"/>
  <c r="AQ101" i="1" s="1"/>
  <c r="AQ102" i="1" s="1"/>
  <c r="AQ103" i="1" s="1"/>
  <c r="AQ104" i="1" s="1"/>
  <c r="AQ105" i="1" s="1"/>
  <c r="AR94" i="1" s="1"/>
  <c r="AR95" i="1" s="1"/>
  <c r="AR96" i="1" s="1"/>
  <c r="AR97" i="1" s="1"/>
  <c r="AR98" i="1" s="1"/>
  <c r="AR99" i="1" s="1"/>
  <c r="AR100" i="1" s="1"/>
  <c r="AR101" i="1" s="1"/>
  <c r="AR102" i="1" s="1"/>
  <c r="AR103" i="1" s="1"/>
  <c r="AR104" i="1" s="1"/>
  <c r="AR105" i="1" s="1"/>
  <c r="AS94" i="1" s="1"/>
  <c r="AS95" i="1" s="1"/>
  <c r="AS96" i="1" s="1"/>
  <c r="AS97" i="1" s="1"/>
  <c r="AS98" i="1" s="1"/>
  <c r="AS99" i="1" s="1"/>
  <c r="AS100" i="1" s="1"/>
  <c r="AS101" i="1" s="1"/>
  <c r="AS102" i="1" s="1"/>
  <c r="AS103" i="1" s="1"/>
  <c r="AS104" i="1" s="1"/>
  <c r="AS105" i="1" s="1"/>
  <c r="AT94" i="1" s="1"/>
  <c r="AT95" i="1" s="1"/>
  <c r="AT96" i="1" s="1"/>
  <c r="AT97" i="1" s="1"/>
  <c r="AT98" i="1" s="1"/>
  <c r="AT99" i="1" s="1"/>
  <c r="AT100" i="1" s="1"/>
  <c r="AT101" i="1" s="1"/>
  <c r="AT102" i="1" s="1"/>
  <c r="AT103" i="1" s="1"/>
  <c r="AT104" i="1" s="1"/>
  <c r="AT105" i="1" s="1"/>
  <c r="AU94" i="1" s="1"/>
  <c r="AU95" i="1" s="1"/>
  <c r="AU96" i="1" s="1"/>
  <c r="AU97" i="1" s="1"/>
  <c r="AU98" i="1" s="1"/>
  <c r="AU99" i="1" s="1"/>
  <c r="AU100" i="1" s="1"/>
  <c r="AU101" i="1" s="1"/>
  <c r="AU102" i="1" s="1"/>
  <c r="AU103" i="1" s="1"/>
  <c r="AU104" i="1" s="1"/>
  <c r="AU105" i="1" s="1"/>
  <c r="AV94" i="1" s="1"/>
  <c r="AV95" i="1" s="1"/>
  <c r="AV96" i="1" s="1"/>
  <c r="AV97" i="1" s="1"/>
  <c r="AV98" i="1" s="1"/>
  <c r="AV99" i="1" s="1"/>
  <c r="AV100" i="1" s="1"/>
  <c r="AV101" i="1" s="1"/>
  <c r="AV102" i="1" s="1"/>
  <c r="AV103" i="1" s="1"/>
  <c r="AV104" i="1" s="1"/>
  <c r="AV105" i="1" s="1"/>
  <c r="AW94" i="1" s="1"/>
  <c r="AW95" i="1" s="1"/>
  <c r="AW96" i="1" s="1"/>
  <c r="AW97" i="1" s="1"/>
  <c r="AW98" i="1" s="1"/>
  <c r="AW99" i="1" s="1"/>
  <c r="AW100" i="1" s="1"/>
  <c r="AW101" i="1" s="1"/>
  <c r="AW102" i="1" s="1"/>
  <c r="AW103" i="1" s="1"/>
  <c r="AW104" i="1" s="1"/>
  <c r="AW105" i="1" s="1"/>
  <c r="AX94" i="1" s="1"/>
  <c r="AX95" i="1" s="1"/>
  <c r="AX96" i="1" s="1"/>
  <c r="AX97" i="1" s="1"/>
  <c r="AX98" i="1" s="1"/>
  <c r="AX99" i="1" s="1"/>
  <c r="AX100" i="1" s="1"/>
  <c r="AX101" i="1" s="1"/>
  <c r="AX102" i="1" s="1"/>
  <c r="AX103" i="1" s="1"/>
  <c r="AX104" i="1" s="1"/>
  <c r="AX105" i="1" s="1"/>
  <c r="AY94" i="1" s="1"/>
  <c r="AY95" i="1" s="1"/>
  <c r="AY96" i="1" s="1"/>
  <c r="AY97" i="1" s="1"/>
  <c r="AY98" i="1" s="1"/>
  <c r="AY99" i="1" s="1"/>
  <c r="AY100" i="1" s="1"/>
  <c r="AY101" i="1" s="1"/>
  <c r="AY102" i="1" s="1"/>
  <c r="AY103" i="1" s="1"/>
  <c r="AY104" i="1" s="1"/>
  <c r="AY105" i="1" s="1"/>
  <c r="AZ94" i="1" s="1"/>
  <c r="AZ95" i="1" s="1"/>
  <c r="AZ96" i="1" s="1"/>
  <c r="AZ97" i="1" s="1"/>
  <c r="AZ98" i="1" s="1"/>
  <c r="AZ99" i="1" s="1"/>
  <c r="AZ100" i="1" s="1"/>
  <c r="AZ101" i="1" s="1"/>
  <c r="AZ102" i="1" s="1"/>
  <c r="AZ103" i="1" s="1"/>
  <c r="AZ104" i="1" s="1"/>
  <c r="AZ105" i="1" s="1"/>
  <c r="BA94" i="1" s="1"/>
  <c r="BA95" i="1" s="1"/>
  <c r="BA96" i="1" s="1"/>
  <c r="BA97" i="1" s="1"/>
  <c r="BA98" i="1" s="1"/>
  <c r="BA99" i="1" s="1"/>
  <c r="BA100" i="1" s="1"/>
  <c r="BA101" i="1" s="1"/>
  <c r="BA102" i="1" s="1"/>
  <c r="BA103" i="1" s="1"/>
  <c r="BA104" i="1" s="1"/>
  <c r="BA105" i="1" s="1"/>
  <c r="BB94" i="1" s="1"/>
  <c r="BB95" i="1" s="1"/>
  <c r="BB96" i="1" s="1"/>
  <c r="BB97" i="1" s="1"/>
  <c r="BB98" i="1" s="1"/>
  <c r="BB99" i="1" s="1"/>
  <c r="BB100" i="1" s="1"/>
  <c r="BB101" i="1" s="1"/>
  <c r="BB102" i="1" s="1"/>
  <c r="BB103" i="1" s="1"/>
  <c r="BB104" i="1" s="1"/>
  <c r="BB105" i="1" s="1"/>
  <c r="BC94" i="1" s="1"/>
  <c r="BC95" i="1" s="1"/>
  <c r="BC96" i="1" s="1"/>
  <c r="BC97" i="1" s="1"/>
  <c r="BC98" i="1" s="1"/>
  <c r="BC99" i="1" s="1"/>
  <c r="BC100" i="1" s="1"/>
  <c r="BC101" i="1" s="1"/>
  <c r="BC102" i="1" s="1"/>
  <c r="BC103" i="1" s="1"/>
  <c r="BC104" i="1" s="1"/>
  <c r="BC105" i="1" s="1"/>
  <c r="BD94" i="1" s="1"/>
  <c r="BD95" i="1" s="1"/>
  <c r="BD96" i="1" s="1"/>
  <c r="BD97" i="1" s="1"/>
  <c r="BD98" i="1" s="1"/>
  <c r="BD99" i="1" s="1"/>
  <c r="BD100" i="1" s="1"/>
  <c r="BD101" i="1" s="1"/>
  <c r="BD102" i="1" s="1"/>
  <c r="BD103" i="1" s="1"/>
  <c r="BD104" i="1" s="1"/>
  <c r="BD105" i="1" s="1"/>
  <c r="BE94" i="1" s="1"/>
  <c r="BE95" i="1" s="1"/>
  <c r="BE96" i="1" s="1"/>
  <c r="BE97" i="1" s="1"/>
  <c r="BE98" i="1" s="1"/>
  <c r="BE99" i="1" s="1"/>
  <c r="BE100" i="1" s="1"/>
  <c r="BE101" i="1" s="1"/>
  <c r="BE102" i="1" s="1"/>
  <c r="BE103" i="1" s="1"/>
  <c r="BE104" i="1" s="1"/>
  <c r="BE105" i="1" s="1"/>
  <c r="BF94" i="1" s="1"/>
  <c r="BF95" i="1" s="1"/>
  <c r="BF96" i="1" s="1"/>
  <c r="BF97" i="1" s="1"/>
  <c r="BF98" i="1" s="1"/>
  <c r="BF99" i="1" s="1"/>
  <c r="BF100" i="1" s="1"/>
  <c r="BF101" i="1" s="1"/>
  <c r="BF102" i="1" s="1"/>
  <c r="BF103" i="1" s="1"/>
  <c r="BF104" i="1" s="1"/>
  <c r="BF105" i="1" s="1"/>
  <c r="BG94" i="1" s="1"/>
  <c r="BG95" i="1" s="1"/>
  <c r="BG96" i="1" s="1"/>
  <c r="BG97" i="1" s="1"/>
  <c r="BG98" i="1" s="1"/>
  <c r="BG99" i="1" s="1"/>
  <c r="BG100" i="1" s="1"/>
  <c r="BG101" i="1" s="1"/>
  <c r="BG102" i="1" s="1"/>
  <c r="BG103" i="1" s="1"/>
  <c r="BG104" i="1" s="1"/>
  <c r="BG105" i="1" s="1"/>
  <c r="BH94" i="1" s="1"/>
  <c r="BH95" i="1" s="1"/>
  <c r="BH96" i="1" s="1"/>
  <c r="BH97" i="1" s="1"/>
  <c r="BH98" i="1" s="1"/>
  <c r="BH99" i="1" s="1"/>
  <c r="BH100" i="1" s="1"/>
  <c r="BH101" i="1" s="1"/>
  <c r="BH102" i="1" s="1"/>
  <c r="BH103" i="1" s="1"/>
  <c r="BH104" i="1" s="1"/>
  <c r="BH105" i="1" s="1"/>
  <c r="BI94" i="1" s="1"/>
  <c r="BI95" i="1" s="1"/>
  <c r="BI96" i="1" s="1"/>
  <c r="BI97" i="1" s="1"/>
  <c r="BI98" i="1" s="1"/>
  <c r="BI99" i="1" s="1"/>
  <c r="BI100" i="1" s="1"/>
  <c r="BI101" i="1" s="1"/>
  <c r="BI102" i="1" s="1"/>
  <c r="BI103" i="1" s="1"/>
  <c r="BI104" i="1" s="1"/>
  <c r="BI105" i="1" s="1"/>
  <c r="BJ94" i="1" s="1"/>
  <c r="BJ95" i="1" s="1"/>
  <c r="BJ96" i="1" s="1"/>
  <c r="BJ97" i="1" s="1"/>
  <c r="BJ98" i="1" s="1"/>
  <c r="BJ99" i="1" s="1"/>
  <c r="BJ100" i="1" s="1"/>
  <c r="BJ101" i="1" s="1"/>
  <c r="BJ102" i="1" s="1"/>
  <c r="BJ103" i="1" s="1"/>
  <c r="BJ104" i="1" s="1"/>
  <c r="BJ105" i="1" s="1"/>
  <c r="AI56" i="1"/>
  <c r="AI57" i="1" s="1"/>
  <c r="AI58" i="1" s="1"/>
  <c r="AI59" i="1" s="1"/>
  <c r="AI60" i="1" s="1"/>
  <c r="AI61" i="1" s="1"/>
  <c r="AI62" i="1" s="1"/>
  <c r="AI63" i="1" s="1"/>
  <c r="AI64" i="1" s="1"/>
  <c r="AI65" i="1" s="1"/>
  <c r="AI66" i="1" s="1"/>
  <c r="AI67" i="1" s="1"/>
  <c r="AJ56" i="1" s="1"/>
  <c r="AJ57" i="1" s="1"/>
  <c r="AJ58" i="1" s="1"/>
  <c r="AJ59" i="1" s="1"/>
  <c r="AJ60" i="1" s="1"/>
  <c r="AJ61" i="1" s="1"/>
  <c r="AJ62" i="1" s="1"/>
  <c r="AJ63" i="1" s="1"/>
  <c r="AJ64" i="1" s="1"/>
  <c r="AJ65" i="1" s="1"/>
  <c r="AJ66" i="1" s="1"/>
  <c r="AJ67" i="1" s="1"/>
  <c r="AK56" i="1" s="1"/>
  <c r="AK57" i="1" s="1"/>
  <c r="AK58" i="1" s="1"/>
  <c r="AK59" i="1" s="1"/>
  <c r="AK60" i="1" s="1"/>
  <c r="AK61" i="1" s="1"/>
  <c r="AK62" i="1" s="1"/>
  <c r="AK63" i="1" s="1"/>
  <c r="AK64" i="1" s="1"/>
  <c r="AK65" i="1" s="1"/>
  <c r="AK66" i="1" s="1"/>
  <c r="AK67" i="1" s="1"/>
  <c r="AL56" i="1" s="1"/>
  <c r="AL57" i="1" s="1"/>
  <c r="AL58" i="1" s="1"/>
  <c r="AL59" i="1" s="1"/>
  <c r="AL60" i="1" s="1"/>
  <c r="AL61" i="1" s="1"/>
  <c r="AL62" i="1" s="1"/>
  <c r="AL63" i="1" s="1"/>
  <c r="AL64" i="1" s="1"/>
  <c r="AL65" i="1" s="1"/>
  <c r="AL66" i="1" s="1"/>
  <c r="AL67" i="1" s="1"/>
  <c r="AM56" i="1" s="1"/>
  <c r="AM57" i="1" s="1"/>
  <c r="AM58" i="1" s="1"/>
  <c r="AM59" i="1" s="1"/>
  <c r="AM60" i="1" s="1"/>
  <c r="AM61" i="1" s="1"/>
  <c r="AM62" i="1" s="1"/>
  <c r="AM63" i="1" s="1"/>
  <c r="AM64" i="1" s="1"/>
  <c r="AM65" i="1" s="1"/>
  <c r="AM66" i="1" s="1"/>
  <c r="AM67" i="1" s="1"/>
  <c r="AN56" i="1" s="1"/>
  <c r="AN57" i="1" s="1"/>
  <c r="AN58" i="1" s="1"/>
  <c r="AN59" i="1" s="1"/>
  <c r="AN60" i="1" s="1"/>
  <c r="AN61" i="1" s="1"/>
  <c r="AN62" i="1" s="1"/>
  <c r="AN63" i="1" s="1"/>
  <c r="AN64" i="1" s="1"/>
  <c r="AN65" i="1" s="1"/>
  <c r="AN66" i="1" s="1"/>
  <c r="AN67" i="1" s="1"/>
  <c r="AO56" i="1" s="1"/>
  <c r="AO57" i="1" s="1"/>
  <c r="AO58" i="1" s="1"/>
  <c r="AO59" i="1" s="1"/>
  <c r="AO60" i="1" s="1"/>
  <c r="AO61" i="1" s="1"/>
  <c r="AO62" i="1" s="1"/>
  <c r="AO63" i="1" s="1"/>
  <c r="AO64" i="1" s="1"/>
  <c r="AO65" i="1" s="1"/>
  <c r="AO66" i="1" s="1"/>
  <c r="AO67" i="1" s="1"/>
  <c r="AP56" i="1" s="1"/>
  <c r="AP57" i="1" s="1"/>
  <c r="AP58" i="1" s="1"/>
  <c r="AP59" i="1" s="1"/>
  <c r="AP60" i="1" s="1"/>
  <c r="AP61" i="1" s="1"/>
  <c r="AP62" i="1" s="1"/>
  <c r="AP63" i="1" s="1"/>
  <c r="AP64" i="1" s="1"/>
  <c r="AP65" i="1" s="1"/>
  <c r="AP66" i="1" s="1"/>
  <c r="AP67" i="1" s="1"/>
  <c r="AQ56" i="1" s="1"/>
  <c r="AQ57" i="1" s="1"/>
  <c r="AQ58" i="1" s="1"/>
  <c r="AQ59" i="1" s="1"/>
  <c r="AQ60" i="1" s="1"/>
  <c r="AQ61" i="1" s="1"/>
  <c r="AQ62" i="1" s="1"/>
  <c r="AQ63" i="1" s="1"/>
  <c r="AQ64" i="1" s="1"/>
  <c r="AQ65" i="1" s="1"/>
  <c r="AQ66" i="1" s="1"/>
  <c r="AQ67" i="1" s="1"/>
  <c r="AR56" i="1" s="1"/>
  <c r="AR57" i="1" s="1"/>
  <c r="AR58" i="1" s="1"/>
  <c r="AR59" i="1" s="1"/>
  <c r="AR60" i="1" s="1"/>
  <c r="AR61" i="1" s="1"/>
  <c r="AR62" i="1" s="1"/>
  <c r="AR63" i="1" s="1"/>
  <c r="AR64" i="1" s="1"/>
  <c r="AR65" i="1" s="1"/>
  <c r="AR66" i="1" s="1"/>
  <c r="AR67" i="1" s="1"/>
  <c r="AS56" i="1" s="1"/>
  <c r="AS57" i="1" s="1"/>
  <c r="AS58" i="1" s="1"/>
  <c r="AS59" i="1" s="1"/>
  <c r="AS60" i="1" s="1"/>
  <c r="AS61" i="1" s="1"/>
  <c r="AS62" i="1" s="1"/>
  <c r="AS63" i="1" s="1"/>
  <c r="AS64" i="1" s="1"/>
  <c r="AS65" i="1" s="1"/>
  <c r="AS66" i="1" s="1"/>
  <c r="AS67" i="1" s="1"/>
  <c r="AT56" i="1" s="1"/>
  <c r="AT57" i="1" s="1"/>
  <c r="AT58" i="1" s="1"/>
  <c r="AT59" i="1" s="1"/>
  <c r="AT60" i="1" s="1"/>
  <c r="AT61" i="1" s="1"/>
  <c r="AT62" i="1" s="1"/>
  <c r="AT63" i="1" s="1"/>
  <c r="AT64" i="1" s="1"/>
  <c r="AT65" i="1" s="1"/>
  <c r="AT66" i="1" s="1"/>
  <c r="AT67" i="1" s="1"/>
  <c r="AU56" i="1" s="1"/>
  <c r="AU57" i="1" s="1"/>
  <c r="AU58" i="1" s="1"/>
  <c r="AU59" i="1" s="1"/>
  <c r="AU60" i="1" s="1"/>
  <c r="AU61" i="1" s="1"/>
  <c r="AU62" i="1" s="1"/>
  <c r="AU63" i="1" s="1"/>
  <c r="AU64" i="1" s="1"/>
  <c r="AU65" i="1" s="1"/>
  <c r="AU66" i="1" s="1"/>
  <c r="AU67" i="1" s="1"/>
  <c r="AV56" i="1" s="1"/>
  <c r="AV57" i="1" s="1"/>
  <c r="AV58" i="1" s="1"/>
  <c r="AV59" i="1" s="1"/>
  <c r="AV60" i="1" s="1"/>
  <c r="AV61" i="1" s="1"/>
  <c r="AV62" i="1" s="1"/>
  <c r="AV63" i="1" s="1"/>
  <c r="AV64" i="1" s="1"/>
  <c r="AV65" i="1" s="1"/>
  <c r="AV66" i="1" s="1"/>
  <c r="AV67" i="1" s="1"/>
  <c r="AW56" i="1" s="1"/>
  <c r="AW57" i="1" s="1"/>
  <c r="AW58" i="1" s="1"/>
  <c r="AW59" i="1" s="1"/>
  <c r="AW60" i="1" s="1"/>
  <c r="AW61" i="1" s="1"/>
  <c r="AW62" i="1" s="1"/>
  <c r="AW63" i="1" s="1"/>
  <c r="AW64" i="1" s="1"/>
  <c r="AW65" i="1" s="1"/>
  <c r="AW66" i="1" s="1"/>
  <c r="AW67" i="1" s="1"/>
  <c r="AX56" i="1" s="1"/>
  <c r="AX57" i="1" s="1"/>
  <c r="AX58" i="1" s="1"/>
  <c r="AX59" i="1" s="1"/>
  <c r="AX60" i="1" s="1"/>
  <c r="AX61" i="1" s="1"/>
  <c r="AX62" i="1" s="1"/>
  <c r="AX63" i="1" s="1"/>
  <c r="AX64" i="1" s="1"/>
  <c r="AX65" i="1" s="1"/>
  <c r="AX66" i="1" s="1"/>
  <c r="AX67" i="1" s="1"/>
  <c r="AY56" i="1" s="1"/>
  <c r="AY57" i="1" s="1"/>
  <c r="AY58" i="1" s="1"/>
  <c r="AY59" i="1" s="1"/>
  <c r="AY60" i="1" s="1"/>
  <c r="AY61" i="1" s="1"/>
  <c r="AY62" i="1" s="1"/>
  <c r="AY63" i="1" s="1"/>
  <c r="AY64" i="1" s="1"/>
  <c r="AY65" i="1" s="1"/>
  <c r="AY66" i="1" s="1"/>
  <c r="AY67" i="1" s="1"/>
  <c r="AZ56" i="1" s="1"/>
  <c r="AZ57" i="1" s="1"/>
  <c r="AZ58" i="1" s="1"/>
  <c r="AZ59" i="1" s="1"/>
  <c r="AZ60" i="1" s="1"/>
  <c r="AZ61" i="1" s="1"/>
  <c r="AZ62" i="1" s="1"/>
  <c r="AZ63" i="1" s="1"/>
  <c r="AZ64" i="1" s="1"/>
  <c r="AZ65" i="1" s="1"/>
  <c r="AZ66" i="1" s="1"/>
  <c r="AZ67" i="1" s="1"/>
  <c r="BA56" i="1" s="1"/>
  <c r="BA57" i="1" s="1"/>
  <c r="BA58" i="1" s="1"/>
  <c r="BA59" i="1" s="1"/>
  <c r="BA60" i="1" s="1"/>
  <c r="BA61" i="1" s="1"/>
  <c r="BA62" i="1" s="1"/>
  <c r="BA63" i="1" s="1"/>
  <c r="BA64" i="1" s="1"/>
  <c r="BA65" i="1" s="1"/>
  <c r="BA66" i="1" s="1"/>
  <c r="BA67" i="1" s="1"/>
  <c r="BB56" i="1" s="1"/>
  <c r="BB57" i="1" s="1"/>
  <c r="BB58" i="1" s="1"/>
  <c r="BB59" i="1" s="1"/>
  <c r="BB60" i="1" s="1"/>
  <c r="BB61" i="1" s="1"/>
  <c r="BB62" i="1" s="1"/>
  <c r="BB63" i="1" s="1"/>
  <c r="BB64" i="1" s="1"/>
  <c r="BB65" i="1" s="1"/>
  <c r="BB66" i="1" s="1"/>
  <c r="BB67" i="1" s="1"/>
  <c r="BC56" i="1" s="1"/>
  <c r="BC57" i="1" s="1"/>
  <c r="BC58" i="1" s="1"/>
  <c r="BC59" i="1" s="1"/>
  <c r="BC60" i="1" s="1"/>
  <c r="BC61" i="1" s="1"/>
  <c r="BC62" i="1" s="1"/>
  <c r="BC63" i="1" s="1"/>
  <c r="BC64" i="1" s="1"/>
  <c r="BC65" i="1" s="1"/>
  <c r="BC66" i="1" s="1"/>
  <c r="BC67" i="1" s="1"/>
  <c r="BD56" i="1" s="1"/>
  <c r="BD57" i="1" s="1"/>
  <c r="BD58" i="1" s="1"/>
  <c r="BD59" i="1" s="1"/>
  <c r="BD60" i="1" s="1"/>
  <c r="BD61" i="1" s="1"/>
  <c r="BD62" i="1" s="1"/>
  <c r="BD63" i="1" s="1"/>
  <c r="BD64" i="1" s="1"/>
  <c r="BD65" i="1" s="1"/>
  <c r="BD66" i="1" s="1"/>
  <c r="BD67" i="1" s="1"/>
  <c r="BE56" i="1" s="1"/>
  <c r="BE57" i="1" s="1"/>
  <c r="BE58" i="1" s="1"/>
  <c r="BE59" i="1" s="1"/>
  <c r="BE60" i="1" s="1"/>
  <c r="BE61" i="1" s="1"/>
  <c r="BE62" i="1" s="1"/>
  <c r="BE63" i="1" s="1"/>
  <c r="BE64" i="1" s="1"/>
  <c r="BE65" i="1" s="1"/>
  <c r="BE66" i="1" s="1"/>
  <c r="BE67" i="1" s="1"/>
  <c r="BF56" i="1" s="1"/>
  <c r="BF57" i="1" s="1"/>
  <c r="BF58" i="1" s="1"/>
  <c r="BF59" i="1" s="1"/>
  <c r="BF60" i="1" s="1"/>
  <c r="BF61" i="1" s="1"/>
  <c r="BF62" i="1" s="1"/>
  <c r="BF63" i="1" s="1"/>
  <c r="BF64" i="1" s="1"/>
  <c r="BF65" i="1" s="1"/>
  <c r="BF66" i="1" s="1"/>
  <c r="BF67" i="1" s="1"/>
  <c r="BG56" i="1" s="1"/>
  <c r="BG57" i="1" s="1"/>
  <c r="BG58" i="1" s="1"/>
  <c r="BG59" i="1" s="1"/>
  <c r="BG60" i="1" s="1"/>
  <c r="BG61" i="1" s="1"/>
  <c r="BG62" i="1" s="1"/>
  <c r="BG63" i="1" s="1"/>
  <c r="BG64" i="1" s="1"/>
  <c r="BG65" i="1" s="1"/>
  <c r="BG66" i="1" s="1"/>
  <c r="BG67" i="1" s="1"/>
  <c r="BH56" i="1" s="1"/>
  <c r="BH57" i="1" s="1"/>
  <c r="BH58" i="1" s="1"/>
  <c r="BH59" i="1" s="1"/>
  <c r="BH60" i="1" s="1"/>
  <c r="BH61" i="1" s="1"/>
  <c r="BH62" i="1" s="1"/>
  <c r="BH63" i="1" s="1"/>
  <c r="BH64" i="1" s="1"/>
  <c r="BH65" i="1" s="1"/>
  <c r="BH66" i="1" s="1"/>
  <c r="BH67" i="1" s="1"/>
  <c r="BI56" i="1" s="1"/>
  <c r="BI57" i="1" s="1"/>
  <c r="BI58" i="1" s="1"/>
  <c r="BI59" i="1" s="1"/>
  <c r="BI60" i="1" s="1"/>
  <c r="BI61" i="1" s="1"/>
  <c r="BI62" i="1" s="1"/>
  <c r="BI63" i="1" s="1"/>
  <c r="BI64" i="1" s="1"/>
  <c r="BI65" i="1" s="1"/>
  <c r="BI66" i="1" s="1"/>
  <c r="BI67" i="1" s="1"/>
  <c r="BJ56" i="1" s="1"/>
  <c r="BJ57" i="1" s="1"/>
  <c r="BJ58" i="1" s="1"/>
  <c r="BJ59" i="1" s="1"/>
  <c r="BJ60" i="1" s="1"/>
  <c r="BJ61" i="1" s="1"/>
  <c r="BJ62" i="1" s="1"/>
  <c r="BJ63" i="1" s="1"/>
  <c r="BJ64" i="1" s="1"/>
  <c r="BJ65" i="1" s="1"/>
  <c r="BJ66" i="1" s="1"/>
  <c r="BJ67" i="1" s="1"/>
  <c r="AI37" i="1"/>
  <c r="AI38" i="1" s="1"/>
  <c r="AI39" i="1" s="1"/>
  <c r="AI40" i="1" s="1"/>
  <c r="AI41" i="1" s="1"/>
  <c r="AI42" i="1" s="1"/>
  <c r="AI43" i="1" s="1"/>
  <c r="AI44" i="1" s="1"/>
  <c r="AI45" i="1" s="1"/>
  <c r="AI46" i="1" s="1"/>
  <c r="AI47" i="1" s="1"/>
  <c r="AI48" i="1" s="1"/>
  <c r="AJ37" i="1" s="1"/>
  <c r="AJ38" i="1" s="1"/>
  <c r="AJ39" i="1" s="1"/>
  <c r="AJ40" i="1" s="1"/>
  <c r="AJ41" i="1" s="1"/>
  <c r="AJ42" i="1" s="1"/>
  <c r="AJ43" i="1" s="1"/>
  <c r="AJ44" i="1" s="1"/>
  <c r="AJ45" i="1" s="1"/>
  <c r="AJ46" i="1" s="1"/>
  <c r="AJ47" i="1" s="1"/>
  <c r="AJ48" i="1" s="1"/>
  <c r="AK37" i="1" s="1"/>
  <c r="AK38" i="1" s="1"/>
  <c r="AK39" i="1" s="1"/>
  <c r="AK40" i="1" s="1"/>
  <c r="AK41" i="1" s="1"/>
  <c r="AK42" i="1" s="1"/>
  <c r="AK43" i="1" s="1"/>
  <c r="AK44" i="1" s="1"/>
  <c r="AK45" i="1" s="1"/>
  <c r="AK46" i="1" s="1"/>
  <c r="AK47" i="1" s="1"/>
  <c r="AK48" i="1" s="1"/>
  <c r="AL37" i="1" s="1"/>
  <c r="AL38" i="1" s="1"/>
  <c r="AL39" i="1" s="1"/>
  <c r="AL40" i="1" s="1"/>
  <c r="AL41" i="1" s="1"/>
  <c r="AL42" i="1" s="1"/>
  <c r="AL43" i="1" s="1"/>
  <c r="AL44" i="1" s="1"/>
  <c r="AL45" i="1" s="1"/>
  <c r="AL46" i="1" s="1"/>
  <c r="AL47" i="1" s="1"/>
  <c r="AL48" i="1" s="1"/>
  <c r="AM37" i="1" s="1"/>
  <c r="AM38" i="1" s="1"/>
  <c r="AM39" i="1" s="1"/>
  <c r="AM40" i="1" s="1"/>
  <c r="AM41" i="1" s="1"/>
  <c r="AM42" i="1" s="1"/>
  <c r="AM43" i="1" s="1"/>
  <c r="AM44" i="1" s="1"/>
  <c r="AM45" i="1" s="1"/>
  <c r="AM46" i="1" s="1"/>
  <c r="AM47" i="1" s="1"/>
  <c r="AM48" i="1" s="1"/>
  <c r="AN37" i="1" s="1"/>
  <c r="AN38" i="1" s="1"/>
  <c r="AN39" i="1" s="1"/>
  <c r="AN40" i="1" s="1"/>
  <c r="AN41" i="1" s="1"/>
  <c r="AN42" i="1" s="1"/>
  <c r="AN43" i="1" s="1"/>
  <c r="AN44" i="1" s="1"/>
  <c r="AN45" i="1" s="1"/>
  <c r="AN46" i="1" s="1"/>
  <c r="AN47" i="1" s="1"/>
  <c r="AN48" i="1" s="1"/>
  <c r="AO37" i="1" s="1"/>
  <c r="AO38" i="1" s="1"/>
  <c r="AO39" i="1" s="1"/>
  <c r="AO40" i="1" s="1"/>
  <c r="AO41" i="1" s="1"/>
  <c r="AO42" i="1" s="1"/>
  <c r="AO43" i="1" s="1"/>
  <c r="AO44" i="1" s="1"/>
  <c r="AO45" i="1" s="1"/>
  <c r="AO46" i="1" s="1"/>
  <c r="AO47" i="1" s="1"/>
  <c r="AO48" i="1" s="1"/>
  <c r="AP37" i="1" s="1"/>
  <c r="AP38" i="1" s="1"/>
  <c r="AP39" i="1" s="1"/>
  <c r="AP40" i="1" s="1"/>
  <c r="AP41" i="1" s="1"/>
  <c r="AP42" i="1" s="1"/>
  <c r="AP43" i="1" s="1"/>
  <c r="AP44" i="1" s="1"/>
  <c r="AP45" i="1" s="1"/>
  <c r="AP46" i="1" s="1"/>
  <c r="AP47" i="1" s="1"/>
  <c r="AP48" i="1" s="1"/>
  <c r="AQ37" i="1" s="1"/>
  <c r="AQ38" i="1" s="1"/>
  <c r="AQ39" i="1" s="1"/>
  <c r="AQ40" i="1" s="1"/>
  <c r="AQ41" i="1" s="1"/>
  <c r="AQ42" i="1" s="1"/>
  <c r="AQ43" i="1" s="1"/>
  <c r="AQ44" i="1" s="1"/>
  <c r="AQ45" i="1" s="1"/>
  <c r="AQ46" i="1" s="1"/>
  <c r="AQ47" i="1" s="1"/>
  <c r="AQ48" i="1" s="1"/>
  <c r="AR37" i="1" s="1"/>
  <c r="AR38" i="1" s="1"/>
  <c r="AR39" i="1" s="1"/>
  <c r="AR40" i="1" s="1"/>
  <c r="AR41" i="1" s="1"/>
  <c r="AR42" i="1" s="1"/>
  <c r="AR43" i="1" s="1"/>
  <c r="AR44" i="1" s="1"/>
  <c r="AR45" i="1" s="1"/>
  <c r="AR46" i="1" s="1"/>
  <c r="AR47" i="1" s="1"/>
  <c r="AR48" i="1" s="1"/>
  <c r="AS37" i="1" s="1"/>
  <c r="AS38" i="1" s="1"/>
  <c r="AS39" i="1" s="1"/>
  <c r="AS40" i="1" s="1"/>
  <c r="AS41" i="1" s="1"/>
  <c r="AS42" i="1" s="1"/>
  <c r="AS43" i="1" s="1"/>
  <c r="AS44" i="1" s="1"/>
  <c r="AS45" i="1" s="1"/>
  <c r="AS46" i="1" s="1"/>
  <c r="AS47" i="1" s="1"/>
  <c r="AS48" i="1" s="1"/>
  <c r="AT37" i="1" s="1"/>
  <c r="AT38" i="1" s="1"/>
  <c r="AT39" i="1" s="1"/>
  <c r="AT40" i="1" s="1"/>
  <c r="AT41" i="1" s="1"/>
  <c r="AT42" i="1" s="1"/>
  <c r="AT43" i="1" s="1"/>
  <c r="AT44" i="1" s="1"/>
  <c r="AT45" i="1" s="1"/>
  <c r="AT46" i="1" s="1"/>
  <c r="AT47" i="1" s="1"/>
  <c r="AT48" i="1" s="1"/>
  <c r="AU37" i="1" s="1"/>
  <c r="AU38" i="1" s="1"/>
  <c r="AU39" i="1" s="1"/>
  <c r="AU40" i="1" s="1"/>
  <c r="AU41" i="1" s="1"/>
  <c r="AU42" i="1" s="1"/>
  <c r="AU43" i="1" s="1"/>
  <c r="AU44" i="1" s="1"/>
  <c r="AU45" i="1" s="1"/>
  <c r="AU46" i="1" s="1"/>
  <c r="AU47" i="1" s="1"/>
  <c r="AU48" i="1" s="1"/>
  <c r="AV37" i="1" s="1"/>
  <c r="AV38" i="1" s="1"/>
  <c r="AV39" i="1" s="1"/>
  <c r="AV40" i="1" s="1"/>
  <c r="AV41" i="1" s="1"/>
  <c r="AV42" i="1" s="1"/>
  <c r="AV43" i="1" s="1"/>
  <c r="AV44" i="1" s="1"/>
  <c r="AV45" i="1" s="1"/>
  <c r="AV46" i="1" s="1"/>
  <c r="AV47" i="1" s="1"/>
  <c r="AV48" i="1" s="1"/>
  <c r="AW37" i="1" s="1"/>
  <c r="AW38" i="1" s="1"/>
  <c r="AW39" i="1" s="1"/>
  <c r="AW40" i="1" s="1"/>
  <c r="AW41" i="1" s="1"/>
  <c r="AW42" i="1" s="1"/>
  <c r="AW43" i="1" s="1"/>
  <c r="AW44" i="1" s="1"/>
  <c r="AW45" i="1" s="1"/>
  <c r="AW46" i="1" s="1"/>
  <c r="AW47" i="1" s="1"/>
  <c r="AW48" i="1" s="1"/>
  <c r="AX37" i="1" s="1"/>
  <c r="AX38" i="1" s="1"/>
  <c r="AX39" i="1" s="1"/>
  <c r="AX40" i="1" s="1"/>
  <c r="AX41" i="1" s="1"/>
  <c r="AX42" i="1" s="1"/>
  <c r="AX43" i="1" s="1"/>
  <c r="AX44" i="1" s="1"/>
  <c r="AX45" i="1" s="1"/>
  <c r="AX46" i="1" s="1"/>
  <c r="AX47" i="1" s="1"/>
  <c r="AX48" i="1" s="1"/>
  <c r="AY37" i="1" s="1"/>
  <c r="AY38" i="1" s="1"/>
  <c r="AY39" i="1" s="1"/>
  <c r="AY40" i="1" s="1"/>
  <c r="AY41" i="1" s="1"/>
  <c r="AY42" i="1" s="1"/>
  <c r="AY43" i="1" s="1"/>
  <c r="AY44" i="1" s="1"/>
  <c r="AY45" i="1" s="1"/>
  <c r="AY46" i="1" s="1"/>
  <c r="AY47" i="1" s="1"/>
  <c r="AY48" i="1" s="1"/>
  <c r="AZ37" i="1" s="1"/>
  <c r="AZ38" i="1" s="1"/>
  <c r="AZ39" i="1" s="1"/>
  <c r="AZ40" i="1" s="1"/>
  <c r="AZ41" i="1" s="1"/>
  <c r="AZ42" i="1" s="1"/>
  <c r="AZ43" i="1" s="1"/>
  <c r="AZ44" i="1" s="1"/>
  <c r="AZ45" i="1" s="1"/>
  <c r="AZ46" i="1" s="1"/>
  <c r="AZ47" i="1" s="1"/>
  <c r="AZ48" i="1" s="1"/>
  <c r="BA37" i="1" s="1"/>
  <c r="BA38" i="1" s="1"/>
  <c r="BA39" i="1" s="1"/>
  <c r="BA40" i="1" s="1"/>
  <c r="BA41" i="1" s="1"/>
  <c r="BA42" i="1" s="1"/>
  <c r="BA43" i="1" s="1"/>
  <c r="BA44" i="1" s="1"/>
  <c r="BA45" i="1" s="1"/>
  <c r="BA46" i="1" s="1"/>
  <c r="BA47" i="1" s="1"/>
  <c r="BA48" i="1" s="1"/>
  <c r="BB37" i="1" s="1"/>
  <c r="BB38" i="1" s="1"/>
  <c r="BB39" i="1" s="1"/>
  <c r="BB40" i="1" s="1"/>
  <c r="BB41" i="1" s="1"/>
  <c r="BB42" i="1" s="1"/>
  <c r="BB43" i="1" s="1"/>
  <c r="BB44" i="1" s="1"/>
  <c r="BB45" i="1" s="1"/>
  <c r="BB46" i="1" s="1"/>
  <c r="BB47" i="1" s="1"/>
  <c r="BB48" i="1" s="1"/>
  <c r="BC37" i="1" s="1"/>
  <c r="BC38" i="1" s="1"/>
  <c r="BC39" i="1" s="1"/>
  <c r="BC40" i="1" s="1"/>
  <c r="BC41" i="1" s="1"/>
  <c r="BC42" i="1" s="1"/>
  <c r="BC43" i="1" s="1"/>
  <c r="BC44" i="1" s="1"/>
  <c r="BC45" i="1" s="1"/>
  <c r="BC46" i="1" s="1"/>
  <c r="BC47" i="1" s="1"/>
  <c r="BC48" i="1" s="1"/>
  <c r="BD37" i="1" s="1"/>
  <c r="BD38" i="1" s="1"/>
  <c r="BD39" i="1" s="1"/>
  <c r="BD40" i="1" s="1"/>
  <c r="BD41" i="1" s="1"/>
  <c r="BD42" i="1" s="1"/>
  <c r="BD43" i="1" s="1"/>
  <c r="BD44" i="1" s="1"/>
  <c r="BD45" i="1" s="1"/>
  <c r="BD46" i="1" s="1"/>
  <c r="BD47" i="1" s="1"/>
  <c r="BD48" i="1" s="1"/>
  <c r="BE37" i="1" s="1"/>
  <c r="BE38" i="1" s="1"/>
  <c r="BE39" i="1" s="1"/>
  <c r="BE40" i="1" s="1"/>
  <c r="BE41" i="1" s="1"/>
  <c r="BE42" i="1" s="1"/>
  <c r="BE43" i="1" s="1"/>
  <c r="BE44" i="1" s="1"/>
  <c r="BE45" i="1" s="1"/>
  <c r="BE46" i="1" s="1"/>
  <c r="BE47" i="1" s="1"/>
  <c r="BE48" i="1" s="1"/>
  <c r="BF37" i="1" s="1"/>
  <c r="BF38" i="1" s="1"/>
  <c r="BF39" i="1" s="1"/>
  <c r="BF40" i="1" s="1"/>
  <c r="BF41" i="1" s="1"/>
  <c r="BF42" i="1" s="1"/>
  <c r="BF43" i="1" s="1"/>
  <c r="BF44" i="1" s="1"/>
  <c r="BF45" i="1" s="1"/>
  <c r="BF46" i="1" s="1"/>
  <c r="BF47" i="1" s="1"/>
  <c r="BF48" i="1" s="1"/>
  <c r="BG37" i="1" s="1"/>
  <c r="BG38" i="1" s="1"/>
  <c r="BG39" i="1" s="1"/>
  <c r="BG40" i="1" s="1"/>
  <c r="BG41" i="1" s="1"/>
  <c r="BG42" i="1" s="1"/>
  <c r="BG43" i="1" s="1"/>
  <c r="BG44" i="1" s="1"/>
  <c r="BG45" i="1" s="1"/>
  <c r="BG46" i="1" s="1"/>
  <c r="BG47" i="1" s="1"/>
  <c r="BG48" i="1" s="1"/>
  <c r="BH37" i="1" s="1"/>
  <c r="BH38" i="1" s="1"/>
  <c r="BH39" i="1" s="1"/>
  <c r="BH40" i="1" s="1"/>
  <c r="BH41" i="1" s="1"/>
  <c r="BH42" i="1" s="1"/>
  <c r="BH43" i="1" s="1"/>
  <c r="BH44" i="1" s="1"/>
  <c r="BH45" i="1" s="1"/>
  <c r="BH46" i="1" s="1"/>
  <c r="BH47" i="1" s="1"/>
  <c r="BH48" i="1" s="1"/>
  <c r="BI37" i="1" s="1"/>
  <c r="BI38" i="1" s="1"/>
  <c r="BI39" i="1" s="1"/>
  <c r="BI40" i="1" s="1"/>
  <c r="BI41" i="1" s="1"/>
  <c r="BI42" i="1" s="1"/>
  <c r="BI43" i="1" s="1"/>
  <c r="BI44" i="1" s="1"/>
  <c r="BI45" i="1" s="1"/>
  <c r="BI46" i="1" s="1"/>
  <c r="BI47" i="1" s="1"/>
  <c r="BI48" i="1" s="1"/>
  <c r="BJ37" i="1" s="1"/>
  <c r="BJ38" i="1" s="1"/>
  <c r="BJ39" i="1" s="1"/>
  <c r="BJ40" i="1" s="1"/>
  <c r="BJ41" i="1" s="1"/>
  <c r="BJ42" i="1" s="1"/>
  <c r="BJ43" i="1" s="1"/>
  <c r="BJ44" i="1" s="1"/>
  <c r="BJ45" i="1" s="1"/>
  <c r="BJ46" i="1" s="1"/>
  <c r="BJ47" i="1" s="1"/>
  <c r="BJ48" i="1" s="1"/>
  <c r="AI15" i="1"/>
  <c r="AI16" i="1" s="1"/>
  <c r="AI17" i="1" s="1"/>
  <c r="AI18" i="1" s="1"/>
  <c r="AI19" i="1" s="1"/>
  <c r="AI20" i="1" s="1"/>
  <c r="AI21" i="1" s="1"/>
  <c r="AI22" i="1" s="1"/>
  <c r="AI23" i="1" s="1"/>
  <c r="AI24" i="1" s="1"/>
  <c r="AI25" i="1" s="1"/>
  <c r="AI26" i="1" s="1"/>
  <c r="AJ15" i="1" s="1"/>
  <c r="AJ16" i="1" s="1"/>
  <c r="AJ17" i="1" s="1"/>
  <c r="AJ18" i="1" s="1"/>
  <c r="AJ19" i="1" s="1"/>
  <c r="AJ20" i="1" s="1"/>
  <c r="AJ21" i="1" s="1"/>
  <c r="AJ22" i="1" s="1"/>
  <c r="AJ23" i="1" s="1"/>
  <c r="AJ24" i="1" s="1"/>
  <c r="AJ25" i="1" s="1"/>
  <c r="AJ26" i="1" s="1"/>
  <c r="AK15" i="1" s="1"/>
  <c r="AK16" i="1" s="1"/>
  <c r="AK17" i="1" s="1"/>
  <c r="AK18" i="1" s="1"/>
  <c r="AK19" i="1" s="1"/>
  <c r="AK20" i="1" s="1"/>
  <c r="AK21" i="1" s="1"/>
  <c r="AK22" i="1" s="1"/>
  <c r="AK23" i="1" s="1"/>
  <c r="AK24" i="1" s="1"/>
  <c r="AK25" i="1" s="1"/>
  <c r="AK26" i="1" s="1"/>
  <c r="AL15" i="1" s="1"/>
  <c r="AL16" i="1" s="1"/>
  <c r="AL17" i="1" s="1"/>
  <c r="AL18" i="1" s="1"/>
  <c r="AL19" i="1" s="1"/>
  <c r="AL20" i="1" s="1"/>
  <c r="AL21" i="1" s="1"/>
  <c r="AL22" i="1" s="1"/>
  <c r="AL23" i="1" s="1"/>
  <c r="AL24" i="1" s="1"/>
  <c r="AL25" i="1" s="1"/>
  <c r="AL26" i="1" s="1"/>
  <c r="AM15" i="1" s="1"/>
  <c r="AM16" i="1" s="1"/>
  <c r="AM17" i="1" s="1"/>
  <c r="AM18" i="1" s="1"/>
  <c r="AM19" i="1" s="1"/>
  <c r="AM20" i="1" s="1"/>
  <c r="AM21" i="1" s="1"/>
  <c r="AM22" i="1" s="1"/>
  <c r="AM23" i="1" s="1"/>
  <c r="AM24" i="1" s="1"/>
  <c r="AM25" i="1" s="1"/>
  <c r="AM26" i="1" s="1"/>
  <c r="AN15" i="1" s="1"/>
  <c r="AN16" i="1" s="1"/>
  <c r="AN17" i="1" s="1"/>
  <c r="AN18" i="1" s="1"/>
  <c r="AN19" i="1" s="1"/>
  <c r="AN20" i="1" s="1"/>
  <c r="AN21" i="1" s="1"/>
  <c r="AN22" i="1" s="1"/>
  <c r="AN23" i="1" s="1"/>
  <c r="AN24" i="1" s="1"/>
  <c r="AN25" i="1" s="1"/>
  <c r="AN26" i="1" s="1"/>
  <c r="AO15" i="1" s="1"/>
  <c r="AO16" i="1" s="1"/>
  <c r="AO17" i="1" s="1"/>
  <c r="AO18" i="1" s="1"/>
  <c r="AO19" i="1" s="1"/>
  <c r="AO20" i="1" s="1"/>
  <c r="AO21" i="1" s="1"/>
  <c r="AO22" i="1" s="1"/>
  <c r="AO23" i="1" s="1"/>
  <c r="AO24" i="1" s="1"/>
  <c r="AO25" i="1" s="1"/>
  <c r="AO26" i="1" s="1"/>
  <c r="AP15" i="1" s="1"/>
  <c r="AP16" i="1" s="1"/>
  <c r="AP17" i="1" s="1"/>
  <c r="AP18" i="1" s="1"/>
  <c r="AP19" i="1" s="1"/>
  <c r="AP20" i="1" s="1"/>
  <c r="AP21" i="1" s="1"/>
  <c r="AP22" i="1" s="1"/>
  <c r="AP23" i="1" s="1"/>
  <c r="AP24" i="1" s="1"/>
  <c r="AP25" i="1" s="1"/>
  <c r="AP26" i="1" s="1"/>
  <c r="AQ15" i="1" s="1"/>
  <c r="AQ16" i="1" s="1"/>
  <c r="AQ17" i="1" s="1"/>
  <c r="AQ18" i="1" s="1"/>
  <c r="AQ19" i="1" s="1"/>
  <c r="AQ20" i="1" s="1"/>
  <c r="AQ21" i="1" s="1"/>
  <c r="AQ22" i="1" s="1"/>
  <c r="AQ23" i="1" s="1"/>
  <c r="AQ24" i="1" s="1"/>
  <c r="AQ25" i="1" s="1"/>
  <c r="AQ26" i="1" s="1"/>
  <c r="AR15" i="1" s="1"/>
  <c r="AR16" i="1" s="1"/>
  <c r="AR17" i="1" s="1"/>
  <c r="AR18" i="1" s="1"/>
  <c r="AR19" i="1" s="1"/>
  <c r="AR20" i="1" s="1"/>
  <c r="AR21" i="1" s="1"/>
  <c r="AR22" i="1" s="1"/>
  <c r="AR23" i="1" s="1"/>
  <c r="AR24" i="1" s="1"/>
  <c r="AR25" i="1" s="1"/>
  <c r="AR26" i="1" s="1"/>
  <c r="AS15" i="1" s="1"/>
  <c r="AS16" i="1" s="1"/>
  <c r="AS17" i="1" s="1"/>
  <c r="AS18" i="1" s="1"/>
  <c r="AS19" i="1" s="1"/>
  <c r="AS20" i="1" s="1"/>
  <c r="AS21" i="1" s="1"/>
  <c r="AS22" i="1" s="1"/>
  <c r="AS23" i="1" s="1"/>
  <c r="AS24" i="1" s="1"/>
  <c r="AS25" i="1" s="1"/>
  <c r="AS26" i="1" s="1"/>
  <c r="AT15" i="1" s="1"/>
  <c r="AT16" i="1" s="1"/>
  <c r="AT17" i="1" s="1"/>
  <c r="AT18" i="1" s="1"/>
  <c r="AT19" i="1" s="1"/>
  <c r="AT20" i="1" s="1"/>
  <c r="AT21" i="1" s="1"/>
  <c r="AT22" i="1" s="1"/>
  <c r="AT23" i="1" s="1"/>
  <c r="AT24" i="1" s="1"/>
  <c r="AT25" i="1" s="1"/>
  <c r="AT26" i="1" s="1"/>
  <c r="AU15" i="1" s="1"/>
  <c r="AU16" i="1" s="1"/>
  <c r="AU17" i="1" s="1"/>
  <c r="AU18" i="1" s="1"/>
  <c r="AU19" i="1" s="1"/>
  <c r="AU20" i="1" s="1"/>
  <c r="AU21" i="1" s="1"/>
  <c r="AU22" i="1" s="1"/>
  <c r="AU23" i="1" s="1"/>
  <c r="AU24" i="1" s="1"/>
  <c r="AU25" i="1" s="1"/>
  <c r="AU26" i="1" s="1"/>
  <c r="AV15" i="1" s="1"/>
  <c r="AV16" i="1" s="1"/>
  <c r="AV17" i="1" s="1"/>
  <c r="AV18" i="1" s="1"/>
  <c r="AV19" i="1" s="1"/>
  <c r="AV20" i="1" s="1"/>
  <c r="AV21" i="1" s="1"/>
  <c r="AV22" i="1" s="1"/>
  <c r="AV23" i="1" s="1"/>
  <c r="AV24" i="1" s="1"/>
  <c r="AV25" i="1" s="1"/>
  <c r="AV26" i="1" s="1"/>
  <c r="AW15" i="1" s="1"/>
  <c r="AW16" i="1" s="1"/>
  <c r="AW17" i="1" s="1"/>
  <c r="AW18" i="1" s="1"/>
  <c r="AW19" i="1" s="1"/>
  <c r="AW20" i="1" s="1"/>
  <c r="AW21" i="1" s="1"/>
  <c r="AW22" i="1" s="1"/>
  <c r="AW23" i="1" s="1"/>
  <c r="AW24" i="1" s="1"/>
  <c r="AW25" i="1" s="1"/>
  <c r="AW26" i="1" s="1"/>
  <c r="AX15" i="1" s="1"/>
  <c r="AX16" i="1" s="1"/>
  <c r="AX17" i="1" s="1"/>
  <c r="AX18" i="1" s="1"/>
  <c r="AX19" i="1" s="1"/>
  <c r="AX20" i="1" s="1"/>
  <c r="AX21" i="1" s="1"/>
  <c r="AX22" i="1" s="1"/>
  <c r="AX23" i="1" s="1"/>
  <c r="AX24" i="1" s="1"/>
  <c r="AX25" i="1" s="1"/>
  <c r="AX26" i="1" s="1"/>
  <c r="AY15" i="1" s="1"/>
  <c r="AY16" i="1" s="1"/>
  <c r="AY17" i="1" s="1"/>
  <c r="AY18" i="1" s="1"/>
  <c r="AY19" i="1" s="1"/>
  <c r="AY20" i="1" s="1"/>
  <c r="AY21" i="1" s="1"/>
  <c r="AY22" i="1" s="1"/>
  <c r="AY23" i="1" s="1"/>
  <c r="AY24" i="1" s="1"/>
  <c r="AY25" i="1" s="1"/>
  <c r="AY26" i="1" s="1"/>
  <c r="AZ15" i="1" s="1"/>
  <c r="AZ16" i="1" s="1"/>
  <c r="AZ17" i="1" s="1"/>
  <c r="AZ18" i="1" s="1"/>
  <c r="AZ19" i="1" s="1"/>
  <c r="AZ20" i="1" s="1"/>
  <c r="AZ21" i="1" s="1"/>
  <c r="AZ22" i="1" s="1"/>
  <c r="AZ23" i="1" s="1"/>
  <c r="AZ24" i="1" s="1"/>
  <c r="AZ25" i="1" s="1"/>
  <c r="AZ26" i="1" s="1"/>
  <c r="BA15" i="1" s="1"/>
  <c r="BA16" i="1" s="1"/>
  <c r="BA17" i="1" s="1"/>
  <c r="BA18" i="1" s="1"/>
  <c r="BA19" i="1" s="1"/>
  <c r="BA20" i="1" s="1"/>
  <c r="BA21" i="1" s="1"/>
  <c r="BA22" i="1" s="1"/>
  <c r="BA23" i="1" s="1"/>
  <c r="BA24" i="1" s="1"/>
  <c r="BA25" i="1" s="1"/>
  <c r="BA26" i="1" s="1"/>
  <c r="BB15" i="1" s="1"/>
  <c r="BB16" i="1" s="1"/>
  <c r="BB17" i="1" s="1"/>
  <c r="BB18" i="1" s="1"/>
  <c r="BB19" i="1" s="1"/>
  <c r="BB20" i="1" s="1"/>
  <c r="BB21" i="1" s="1"/>
  <c r="BB22" i="1" s="1"/>
  <c r="BB23" i="1" s="1"/>
  <c r="BB24" i="1" s="1"/>
  <c r="BB25" i="1" s="1"/>
  <c r="BB26" i="1" s="1"/>
  <c r="BC15" i="1" s="1"/>
  <c r="BC16" i="1" s="1"/>
  <c r="BC17" i="1" s="1"/>
  <c r="BC18" i="1" s="1"/>
  <c r="BC19" i="1" s="1"/>
  <c r="BC20" i="1" s="1"/>
  <c r="BC21" i="1" s="1"/>
  <c r="BC22" i="1" s="1"/>
  <c r="BC23" i="1" s="1"/>
  <c r="BC24" i="1" s="1"/>
  <c r="BC25" i="1" s="1"/>
  <c r="BC26" i="1" s="1"/>
  <c r="BD15" i="1" s="1"/>
  <c r="BD16" i="1" s="1"/>
  <c r="BD17" i="1" s="1"/>
  <c r="BD18" i="1" s="1"/>
  <c r="BD19" i="1" s="1"/>
  <c r="BD20" i="1" s="1"/>
  <c r="BD21" i="1" s="1"/>
  <c r="BD22" i="1" s="1"/>
  <c r="BD23" i="1" s="1"/>
  <c r="BD24" i="1" s="1"/>
  <c r="BD25" i="1" s="1"/>
  <c r="BD26" i="1" s="1"/>
  <c r="BE15" i="1" s="1"/>
  <c r="BE16" i="1" s="1"/>
  <c r="BE17" i="1" s="1"/>
  <c r="BE18" i="1" s="1"/>
  <c r="BE19" i="1" s="1"/>
  <c r="BE20" i="1" s="1"/>
  <c r="BE21" i="1" s="1"/>
  <c r="BE22" i="1" s="1"/>
  <c r="BE23" i="1" s="1"/>
  <c r="BE24" i="1" s="1"/>
  <c r="BE25" i="1" s="1"/>
  <c r="BE26" i="1" s="1"/>
  <c r="BF15" i="1" s="1"/>
  <c r="BF16" i="1" s="1"/>
  <c r="BF17" i="1" s="1"/>
  <c r="BF18" i="1" s="1"/>
  <c r="BF19" i="1" s="1"/>
  <c r="BF20" i="1" s="1"/>
  <c r="BF21" i="1" s="1"/>
  <c r="BF22" i="1" s="1"/>
  <c r="BF23" i="1" s="1"/>
  <c r="BF24" i="1" s="1"/>
  <c r="BF25" i="1" s="1"/>
  <c r="BF26" i="1" s="1"/>
  <c r="BG15" i="1" s="1"/>
  <c r="BG16" i="1" s="1"/>
  <c r="BG17" i="1" s="1"/>
  <c r="BG18" i="1" s="1"/>
  <c r="BG19" i="1" s="1"/>
  <c r="BG20" i="1" s="1"/>
  <c r="BG21" i="1" s="1"/>
  <c r="BG22" i="1" s="1"/>
  <c r="BG23" i="1" s="1"/>
  <c r="BG24" i="1" s="1"/>
  <c r="BG25" i="1" s="1"/>
  <c r="BG26" i="1" s="1"/>
  <c r="BH15" i="1" s="1"/>
  <c r="BH16" i="1" s="1"/>
  <c r="BH17" i="1" s="1"/>
  <c r="BH18" i="1" s="1"/>
  <c r="BH19" i="1" s="1"/>
  <c r="BH20" i="1" s="1"/>
  <c r="BH21" i="1" s="1"/>
  <c r="BH22" i="1" s="1"/>
  <c r="BH23" i="1" s="1"/>
  <c r="BH24" i="1" s="1"/>
  <c r="BH25" i="1" s="1"/>
  <c r="BH26" i="1" s="1"/>
  <c r="BI15" i="1" s="1"/>
  <c r="BI16" i="1" s="1"/>
  <c r="BI17" i="1" s="1"/>
  <c r="BI18" i="1" s="1"/>
  <c r="BI19" i="1" s="1"/>
  <c r="BI20" i="1" s="1"/>
  <c r="BI21" i="1" s="1"/>
  <c r="BI22" i="1" s="1"/>
  <c r="BI23" i="1" s="1"/>
  <c r="BI24" i="1" s="1"/>
  <c r="BI25" i="1" s="1"/>
  <c r="BI26" i="1" s="1"/>
  <c r="BJ15" i="1" s="1"/>
  <c r="BJ16" i="1" s="1"/>
  <c r="BJ17" i="1" s="1"/>
  <c r="BJ18" i="1" s="1"/>
  <c r="BJ19" i="1" s="1"/>
  <c r="BJ20" i="1" s="1"/>
  <c r="BJ21" i="1" s="1"/>
  <c r="BJ22" i="1" s="1"/>
  <c r="BJ23" i="1" s="1"/>
  <c r="BJ24" i="1" s="1"/>
  <c r="BJ25" i="1" s="1"/>
  <c r="BJ26" i="1" s="1"/>
  <c r="AI151" i="1"/>
  <c r="AI152" i="1" s="1"/>
  <c r="AI153" i="1" s="1"/>
  <c r="AI154" i="1" s="1"/>
  <c r="AI155" i="1" s="1"/>
  <c r="AI156" i="1" s="1"/>
  <c r="AI157" i="1" s="1"/>
  <c r="AI158" i="1" s="1"/>
  <c r="AI159" i="1" s="1"/>
  <c r="AI160" i="1" s="1"/>
  <c r="AI161" i="1" s="1"/>
  <c r="AI162" i="1" s="1"/>
  <c r="AJ151" i="1" s="1"/>
  <c r="AJ152" i="1" s="1"/>
  <c r="AJ153" i="1" s="1"/>
  <c r="AJ154" i="1" s="1"/>
  <c r="AJ155" i="1" s="1"/>
  <c r="AJ156" i="1" s="1"/>
  <c r="AJ157" i="1" s="1"/>
  <c r="AJ158" i="1" s="1"/>
  <c r="AJ159" i="1" s="1"/>
  <c r="AJ160" i="1" s="1"/>
  <c r="AJ161" i="1" s="1"/>
  <c r="AJ162" i="1" s="1"/>
  <c r="AK151" i="1" s="1"/>
  <c r="AK152" i="1" s="1"/>
  <c r="AK153" i="1" s="1"/>
  <c r="AK154" i="1" s="1"/>
  <c r="AK155" i="1" s="1"/>
  <c r="AK156" i="1" s="1"/>
  <c r="AK157" i="1" s="1"/>
  <c r="AK158" i="1" s="1"/>
  <c r="AK159" i="1" s="1"/>
  <c r="AK160" i="1" s="1"/>
  <c r="AK161" i="1" s="1"/>
  <c r="AK162" i="1" s="1"/>
  <c r="AL151" i="1" s="1"/>
  <c r="AL152" i="1" s="1"/>
  <c r="AL153" i="1" s="1"/>
  <c r="AL154" i="1" s="1"/>
  <c r="AL155" i="1" s="1"/>
  <c r="AL156" i="1" s="1"/>
  <c r="AL157" i="1" s="1"/>
  <c r="AL158" i="1" s="1"/>
  <c r="AL159" i="1" s="1"/>
  <c r="AL160" i="1" s="1"/>
  <c r="AL161" i="1" s="1"/>
  <c r="AL162" i="1" s="1"/>
  <c r="AM151" i="1" s="1"/>
  <c r="AM152" i="1" s="1"/>
  <c r="AM153" i="1" s="1"/>
  <c r="AM154" i="1" s="1"/>
  <c r="AM155" i="1" s="1"/>
  <c r="AM156" i="1" s="1"/>
  <c r="AM157" i="1" s="1"/>
  <c r="AM158" i="1" s="1"/>
  <c r="AM159" i="1" s="1"/>
  <c r="AM160" i="1" s="1"/>
  <c r="AM161" i="1" s="1"/>
  <c r="AM162" i="1" s="1"/>
  <c r="AN151" i="1" s="1"/>
  <c r="AN152" i="1" s="1"/>
  <c r="AN153" i="1" s="1"/>
  <c r="AN154" i="1" s="1"/>
  <c r="AN155" i="1" s="1"/>
  <c r="AN156" i="1" s="1"/>
  <c r="AN157" i="1" s="1"/>
  <c r="AN158" i="1" s="1"/>
  <c r="AN159" i="1" s="1"/>
  <c r="AN160" i="1" s="1"/>
  <c r="AN161" i="1" s="1"/>
  <c r="AN162" i="1" s="1"/>
  <c r="AO151" i="1" s="1"/>
  <c r="AO152" i="1" s="1"/>
  <c r="AO153" i="1" s="1"/>
  <c r="AO154" i="1" s="1"/>
  <c r="AO155" i="1" s="1"/>
  <c r="AO156" i="1" s="1"/>
  <c r="AO157" i="1" s="1"/>
  <c r="AO158" i="1" s="1"/>
  <c r="AO159" i="1" s="1"/>
  <c r="AO160" i="1" s="1"/>
  <c r="AO161" i="1" s="1"/>
  <c r="AO162" i="1" s="1"/>
  <c r="AP151" i="1" s="1"/>
  <c r="AP152" i="1" s="1"/>
  <c r="AP153" i="1" s="1"/>
  <c r="AP154" i="1" s="1"/>
  <c r="AP155" i="1" s="1"/>
  <c r="AP156" i="1" s="1"/>
  <c r="AP157" i="1" s="1"/>
  <c r="AP158" i="1" s="1"/>
  <c r="AP159" i="1" s="1"/>
  <c r="AP160" i="1" s="1"/>
  <c r="AP161" i="1" s="1"/>
  <c r="AP162" i="1" s="1"/>
  <c r="AQ151" i="1" s="1"/>
  <c r="AQ152" i="1" s="1"/>
  <c r="AQ153" i="1" s="1"/>
  <c r="AQ154" i="1" s="1"/>
  <c r="AQ155" i="1" s="1"/>
  <c r="AQ156" i="1" s="1"/>
  <c r="AQ157" i="1" s="1"/>
  <c r="AQ158" i="1" s="1"/>
  <c r="AQ159" i="1" s="1"/>
  <c r="AQ160" i="1" s="1"/>
  <c r="AQ161" i="1" s="1"/>
  <c r="AQ162" i="1" s="1"/>
  <c r="AR151" i="1" s="1"/>
  <c r="AR152" i="1" s="1"/>
  <c r="AR153" i="1" s="1"/>
  <c r="AR154" i="1" s="1"/>
  <c r="AR155" i="1" s="1"/>
  <c r="AR156" i="1" s="1"/>
  <c r="AR157" i="1" s="1"/>
  <c r="AR158" i="1" s="1"/>
  <c r="AR159" i="1" s="1"/>
  <c r="AR160" i="1" s="1"/>
  <c r="AR161" i="1" s="1"/>
  <c r="AR162" i="1" s="1"/>
  <c r="AS151" i="1" s="1"/>
  <c r="AS152" i="1" s="1"/>
  <c r="AS153" i="1" s="1"/>
  <c r="AS154" i="1" s="1"/>
  <c r="AS155" i="1" s="1"/>
  <c r="AS156" i="1" s="1"/>
  <c r="AS157" i="1" s="1"/>
  <c r="AS158" i="1" s="1"/>
  <c r="AS159" i="1" s="1"/>
  <c r="AS160" i="1" s="1"/>
  <c r="AS161" i="1" s="1"/>
  <c r="AS162" i="1" s="1"/>
  <c r="AT151" i="1" s="1"/>
  <c r="AT152" i="1" s="1"/>
  <c r="AT153" i="1" s="1"/>
  <c r="AT154" i="1" s="1"/>
  <c r="AT155" i="1" s="1"/>
  <c r="AT156" i="1" s="1"/>
  <c r="AT157" i="1" s="1"/>
  <c r="AT158" i="1" s="1"/>
  <c r="AT159" i="1" s="1"/>
  <c r="AT160" i="1" s="1"/>
  <c r="AT161" i="1" s="1"/>
  <c r="AT162" i="1" s="1"/>
  <c r="AU151" i="1" s="1"/>
  <c r="AU152" i="1" s="1"/>
  <c r="AU153" i="1" s="1"/>
  <c r="AU154" i="1" s="1"/>
  <c r="AU155" i="1" s="1"/>
  <c r="AU156" i="1" s="1"/>
  <c r="AU157" i="1" s="1"/>
  <c r="AU158" i="1" s="1"/>
  <c r="AU159" i="1" s="1"/>
  <c r="AU160" i="1" s="1"/>
  <c r="AU161" i="1" s="1"/>
  <c r="AU162" i="1" s="1"/>
  <c r="AV151" i="1" s="1"/>
  <c r="AV152" i="1" s="1"/>
  <c r="AV153" i="1" s="1"/>
  <c r="AV154" i="1" s="1"/>
  <c r="AV155" i="1" s="1"/>
  <c r="AV156" i="1" s="1"/>
  <c r="AV157" i="1" s="1"/>
  <c r="AV158" i="1" s="1"/>
  <c r="AV159" i="1" s="1"/>
  <c r="AV160" i="1" s="1"/>
  <c r="AV161" i="1" s="1"/>
  <c r="AV162" i="1" s="1"/>
  <c r="AW151" i="1" s="1"/>
  <c r="AW152" i="1" s="1"/>
  <c r="AW153" i="1" s="1"/>
  <c r="AW154" i="1" s="1"/>
  <c r="AW155" i="1" s="1"/>
  <c r="AW156" i="1" s="1"/>
  <c r="AW157" i="1" s="1"/>
  <c r="AW158" i="1" s="1"/>
  <c r="AW159" i="1" s="1"/>
  <c r="AW160" i="1" s="1"/>
  <c r="AW161" i="1" s="1"/>
  <c r="AW162" i="1" s="1"/>
  <c r="AX151" i="1" s="1"/>
  <c r="AX152" i="1" s="1"/>
  <c r="AX153" i="1" s="1"/>
  <c r="AX154" i="1" s="1"/>
  <c r="AX155" i="1" s="1"/>
  <c r="AX156" i="1" s="1"/>
  <c r="AX157" i="1" s="1"/>
  <c r="AX158" i="1" s="1"/>
  <c r="AX159" i="1" s="1"/>
  <c r="AX160" i="1" s="1"/>
  <c r="AX161" i="1" s="1"/>
  <c r="AX162" i="1" s="1"/>
  <c r="AY151" i="1" s="1"/>
  <c r="AY152" i="1" s="1"/>
  <c r="AY153" i="1" s="1"/>
  <c r="AY154" i="1" s="1"/>
  <c r="AY155" i="1" s="1"/>
  <c r="AY156" i="1" s="1"/>
  <c r="AY157" i="1" s="1"/>
  <c r="AY158" i="1" s="1"/>
  <c r="AY159" i="1" s="1"/>
  <c r="AY160" i="1" s="1"/>
  <c r="AY161" i="1" s="1"/>
  <c r="AY162" i="1" s="1"/>
  <c r="AZ151" i="1" s="1"/>
  <c r="AZ152" i="1" s="1"/>
  <c r="AZ153" i="1" s="1"/>
  <c r="AZ154" i="1" s="1"/>
  <c r="AZ155" i="1" s="1"/>
  <c r="AZ156" i="1" s="1"/>
  <c r="AZ157" i="1" s="1"/>
  <c r="AZ158" i="1" s="1"/>
  <c r="AZ159" i="1" s="1"/>
  <c r="AZ160" i="1" s="1"/>
  <c r="AZ161" i="1" s="1"/>
  <c r="AZ162" i="1" s="1"/>
  <c r="BA151" i="1" s="1"/>
  <c r="BA152" i="1" s="1"/>
  <c r="BA153" i="1" s="1"/>
  <c r="BA154" i="1" s="1"/>
  <c r="BA155" i="1" s="1"/>
  <c r="BA156" i="1" s="1"/>
  <c r="BA157" i="1" s="1"/>
  <c r="BA158" i="1" s="1"/>
  <c r="BA159" i="1" s="1"/>
  <c r="BA160" i="1" s="1"/>
  <c r="BA161" i="1" s="1"/>
  <c r="BA162" i="1" s="1"/>
  <c r="BB151" i="1" s="1"/>
  <c r="BB152" i="1" s="1"/>
  <c r="BB153" i="1" s="1"/>
  <c r="BB154" i="1" s="1"/>
  <c r="BB155" i="1" s="1"/>
  <c r="BB156" i="1" s="1"/>
  <c r="BB157" i="1" s="1"/>
  <c r="BB158" i="1" s="1"/>
  <c r="BB159" i="1" s="1"/>
  <c r="BB160" i="1" s="1"/>
  <c r="BB161" i="1" s="1"/>
  <c r="BB162" i="1" s="1"/>
  <c r="BC151" i="1" s="1"/>
  <c r="BC152" i="1" s="1"/>
  <c r="BC153" i="1" s="1"/>
  <c r="BC154" i="1" s="1"/>
  <c r="BC155" i="1" s="1"/>
  <c r="BC156" i="1" s="1"/>
  <c r="BC157" i="1" s="1"/>
  <c r="BC158" i="1" s="1"/>
  <c r="BC159" i="1" s="1"/>
  <c r="BC160" i="1" s="1"/>
  <c r="BC161" i="1" s="1"/>
  <c r="BC162" i="1" s="1"/>
  <c r="BD151" i="1" s="1"/>
  <c r="BD152" i="1" s="1"/>
  <c r="BD153" i="1" s="1"/>
  <c r="BD154" i="1" s="1"/>
  <c r="BD155" i="1" s="1"/>
  <c r="BD156" i="1" s="1"/>
  <c r="BD157" i="1" s="1"/>
  <c r="BD158" i="1" s="1"/>
  <c r="BD159" i="1" s="1"/>
  <c r="BD160" i="1" s="1"/>
  <c r="BD161" i="1" s="1"/>
  <c r="BD162" i="1" s="1"/>
  <c r="BE151" i="1" s="1"/>
  <c r="BE152" i="1" s="1"/>
  <c r="BE153" i="1" s="1"/>
  <c r="BE154" i="1" s="1"/>
  <c r="BE155" i="1" s="1"/>
  <c r="BE156" i="1" s="1"/>
  <c r="BE157" i="1" s="1"/>
  <c r="BE158" i="1" s="1"/>
  <c r="BE159" i="1" s="1"/>
  <c r="BE160" i="1" s="1"/>
  <c r="BE161" i="1" s="1"/>
  <c r="BE162" i="1" s="1"/>
  <c r="BF151" i="1" s="1"/>
  <c r="BF152" i="1" s="1"/>
  <c r="BF153" i="1" s="1"/>
  <c r="BF154" i="1" s="1"/>
  <c r="BF155" i="1" s="1"/>
  <c r="BF156" i="1" s="1"/>
  <c r="BF157" i="1" s="1"/>
  <c r="BF158" i="1" s="1"/>
  <c r="BF159" i="1" s="1"/>
  <c r="BF160" i="1" s="1"/>
  <c r="BF161" i="1" s="1"/>
  <c r="BF162" i="1" s="1"/>
  <c r="BG151" i="1" s="1"/>
  <c r="BG152" i="1" s="1"/>
  <c r="BG153" i="1" s="1"/>
  <c r="BG154" i="1" s="1"/>
  <c r="BG155" i="1" s="1"/>
  <c r="BG156" i="1" s="1"/>
  <c r="BG157" i="1" s="1"/>
  <c r="BG158" i="1" s="1"/>
  <c r="BG159" i="1" s="1"/>
  <c r="BG160" i="1" s="1"/>
  <c r="BG161" i="1" s="1"/>
  <c r="BG162" i="1" s="1"/>
  <c r="BH151" i="1" s="1"/>
  <c r="BH152" i="1" s="1"/>
  <c r="BH153" i="1" s="1"/>
  <c r="BH154" i="1" s="1"/>
  <c r="BH155" i="1" s="1"/>
  <c r="BH156" i="1" s="1"/>
  <c r="BH157" i="1" s="1"/>
  <c r="BH158" i="1" s="1"/>
  <c r="BH159" i="1" s="1"/>
  <c r="BH160" i="1" s="1"/>
  <c r="BH161" i="1" s="1"/>
  <c r="BH162" i="1" s="1"/>
  <c r="BI151" i="1" s="1"/>
  <c r="BI152" i="1" s="1"/>
  <c r="BI153" i="1" s="1"/>
  <c r="BI154" i="1" s="1"/>
  <c r="BI155" i="1" s="1"/>
  <c r="BI156" i="1" s="1"/>
  <c r="BI157" i="1" s="1"/>
  <c r="BI158" i="1" s="1"/>
  <c r="BI159" i="1" s="1"/>
  <c r="BI160" i="1" s="1"/>
  <c r="BI161" i="1" s="1"/>
  <c r="BI162" i="1" s="1"/>
  <c r="BJ151" i="1" s="1"/>
  <c r="BJ152" i="1" s="1"/>
  <c r="BJ153" i="1" s="1"/>
  <c r="BJ154" i="1" s="1"/>
  <c r="BJ155" i="1" s="1"/>
  <c r="BJ156" i="1" s="1"/>
  <c r="BJ157" i="1" s="1"/>
  <c r="BJ158" i="1" s="1"/>
  <c r="BJ159" i="1" s="1"/>
  <c r="BJ160" i="1" s="1"/>
  <c r="BJ161" i="1" s="1"/>
  <c r="BJ162" i="1" s="1"/>
  <c r="D151" i="1"/>
  <c r="D152" i="1" s="1"/>
  <c r="D153" i="1" s="1"/>
  <c r="D154" i="1" s="1"/>
  <c r="D155" i="1" s="1"/>
  <c r="D156" i="1" s="1"/>
  <c r="D157" i="1" s="1"/>
  <c r="D158" i="1" s="1"/>
  <c r="D159" i="1" s="1"/>
  <c r="D160" i="1" s="1"/>
  <c r="D161" i="1" s="1"/>
  <c r="D162" i="1" s="1"/>
  <c r="E151" i="1" s="1"/>
  <c r="E152" i="1" s="1"/>
  <c r="E153" i="1" s="1"/>
  <c r="E154" i="1" s="1"/>
  <c r="E155" i="1" s="1"/>
  <c r="E156" i="1" s="1"/>
  <c r="E157" i="1" s="1"/>
  <c r="E158" i="1" s="1"/>
  <c r="E159" i="1" s="1"/>
  <c r="E160" i="1" s="1"/>
  <c r="E161" i="1" s="1"/>
  <c r="E162" i="1" s="1"/>
  <c r="F151" i="1" s="1"/>
  <c r="F152" i="1" s="1"/>
  <c r="F153" i="1" s="1"/>
  <c r="F154" i="1" s="1"/>
  <c r="F155" i="1" s="1"/>
  <c r="F156" i="1" s="1"/>
  <c r="F157" i="1" s="1"/>
  <c r="F158" i="1" s="1"/>
  <c r="F159" i="1" s="1"/>
  <c r="F160" i="1" s="1"/>
  <c r="F161" i="1" s="1"/>
  <c r="F162" i="1" s="1"/>
  <c r="G151" i="1" s="1"/>
  <c r="G152" i="1" s="1"/>
  <c r="G153" i="1" s="1"/>
  <c r="G154" i="1" s="1"/>
  <c r="G155" i="1" s="1"/>
  <c r="G156" i="1" s="1"/>
  <c r="G157" i="1" s="1"/>
  <c r="G158" i="1" s="1"/>
  <c r="G159" i="1" s="1"/>
  <c r="G160" i="1" s="1"/>
  <c r="G161" i="1" s="1"/>
  <c r="G162" i="1" s="1"/>
  <c r="H151" i="1" s="1"/>
  <c r="H152" i="1" s="1"/>
  <c r="H153" i="1" s="1"/>
  <c r="H154" i="1" s="1"/>
  <c r="H155" i="1" s="1"/>
  <c r="H156" i="1" s="1"/>
  <c r="H157" i="1" s="1"/>
  <c r="H158" i="1" s="1"/>
  <c r="H159" i="1" s="1"/>
  <c r="H160" i="1" s="1"/>
  <c r="H161" i="1" s="1"/>
  <c r="H162" i="1" s="1"/>
  <c r="I151" i="1" s="1"/>
  <c r="I152" i="1" s="1"/>
  <c r="I153" i="1" s="1"/>
  <c r="I154" i="1" s="1"/>
  <c r="I155" i="1" s="1"/>
  <c r="I156" i="1" s="1"/>
  <c r="I157" i="1" s="1"/>
  <c r="I158" i="1" s="1"/>
  <c r="I159" i="1" s="1"/>
  <c r="I160" i="1" s="1"/>
  <c r="I161" i="1" s="1"/>
  <c r="I162" i="1" s="1"/>
  <c r="J151" i="1" s="1"/>
  <c r="J152" i="1" s="1"/>
  <c r="J153" i="1" s="1"/>
  <c r="J154" i="1" s="1"/>
  <c r="J155" i="1" s="1"/>
  <c r="J156" i="1" s="1"/>
  <c r="J157" i="1" s="1"/>
  <c r="J158" i="1" s="1"/>
  <c r="J159" i="1" s="1"/>
  <c r="J160" i="1" s="1"/>
  <c r="J161" i="1" s="1"/>
  <c r="J162" i="1" s="1"/>
  <c r="K151" i="1" s="1"/>
  <c r="K152" i="1" s="1"/>
  <c r="K153" i="1" s="1"/>
  <c r="K154" i="1" s="1"/>
  <c r="K155" i="1" s="1"/>
  <c r="K156" i="1" s="1"/>
  <c r="K157" i="1" s="1"/>
  <c r="K158" i="1" s="1"/>
  <c r="K159" i="1" s="1"/>
  <c r="K160" i="1" s="1"/>
  <c r="K161" i="1" s="1"/>
  <c r="K162" i="1" s="1"/>
  <c r="L151" i="1" s="1"/>
  <c r="L152" i="1" s="1"/>
  <c r="L153" i="1" s="1"/>
  <c r="L154" i="1" s="1"/>
  <c r="L155" i="1" s="1"/>
  <c r="L156" i="1" s="1"/>
  <c r="L157" i="1" s="1"/>
  <c r="L158" i="1" s="1"/>
  <c r="L159" i="1" s="1"/>
  <c r="L160" i="1" s="1"/>
  <c r="L161" i="1" s="1"/>
  <c r="L162" i="1" s="1"/>
  <c r="M151" i="1" s="1"/>
  <c r="M152" i="1" s="1"/>
  <c r="M153" i="1" s="1"/>
  <c r="D132" i="1"/>
  <c r="D133" i="1" s="1"/>
  <c r="D134" i="1" s="1"/>
  <c r="D135" i="1" s="1"/>
  <c r="D136" i="1" s="1"/>
  <c r="D137" i="1" s="1"/>
  <c r="D138" i="1" s="1"/>
  <c r="D139" i="1" s="1"/>
  <c r="D140" i="1" s="1"/>
  <c r="D141" i="1" s="1"/>
  <c r="D142" i="1" s="1"/>
  <c r="D143" i="1" s="1"/>
  <c r="E132" i="1" s="1"/>
  <c r="E133" i="1" s="1"/>
  <c r="E134" i="1" s="1"/>
  <c r="E135" i="1" s="1"/>
  <c r="E136" i="1" s="1"/>
  <c r="E137" i="1" s="1"/>
  <c r="E138" i="1" s="1"/>
  <c r="E139" i="1" s="1"/>
  <c r="E140" i="1" s="1"/>
  <c r="E141" i="1" s="1"/>
  <c r="E142" i="1" s="1"/>
  <c r="E143" i="1" s="1"/>
  <c r="F132" i="1" s="1"/>
  <c r="F133" i="1" s="1"/>
  <c r="F134" i="1" s="1"/>
  <c r="F135" i="1" s="1"/>
  <c r="F136" i="1" s="1"/>
  <c r="F137" i="1" s="1"/>
  <c r="F138" i="1" s="1"/>
  <c r="F139" i="1" s="1"/>
  <c r="F140" i="1" s="1"/>
  <c r="F141" i="1" s="1"/>
  <c r="F142" i="1" s="1"/>
  <c r="F143" i="1" s="1"/>
  <c r="G132" i="1" s="1"/>
  <c r="G133" i="1" s="1"/>
  <c r="G134" i="1" s="1"/>
  <c r="G135" i="1" s="1"/>
  <c r="G136" i="1" s="1"/>
  <c r="G137" i="1" s="1"/>
  <c r="G138" i="1" s="1"/>
  <c r="G139" i="1" s="1"/>
  <c r="G140" i="1" s="1"/>
  <c r="G141" i="1" s="1"/>
  <c r="G142" i="1" s="1"/>
  <c r="G143" i="1" s="1"/>
  <c r="H132" i="1" s="1"/>
  <c r="H133" i="1" s="1"/>
  <c r="H134" i="1" s="1"/>
  <c r="H135" i="1" s="1"/>
  <c r="H136" i="1" s="1"/>
  <c r="H137" i="1" s="1"/>
  <c r="H138" i="1" s="1"/>
  <c r="H139" i="1" s="1"/>
  <c r="H140" i="1" s="1"/>
  <c r="H141" i="1" s="1"/>
  <c r="H142" i="1" s="1"/>
  <c r="H143" i="1" s="1"/>
  <c r="I132" i="1" s="1"/>
  <c r="I133" i="1" s="1"/>
  <c r="I134" i="1" s="1"/>
  <c r="I135" i="1" s="1"/>
  <c r="I136" i="1" s="1"/>
  <c r="I137" i="1" s="1"/>
  <c r="I138" i="1" s="1"/>
  <c r="I139" i="1" s="1"/>
  <c r="I140" i="1" s="1"/>
  <c r="I141" i="1" s="1"/>
  <c r="I142" i="1" s="1"/>
  <c r="I143" i="1" s="1"/>
  <c r="J132" i="1" s="1"/>
  <c r="J133" i="1" s="1"/>
  <c r="J134" i="1" s="1"/>
  <c r="J135" i="1" s="1"/>
  <c r="J136" i="1" s="1"/>
  <c r="J137" i="1" s="1"/>
  <c r="J138" i="1" s="1"/>
  <c r="J139" i="1" s="1"/>
  <c r="J140" i="1" s="1"/>
  <c r="J141" i="1" s="1"/>
  <c r="J142" i="1" s="1"/>
  <c r="J143" i="1" s="1"/>
  <c r="K132" i="1" s="1"/>
  <c r="K133" i="1" s="1"/>
  <c r="K134" i="1" s="1"/>
  <c r="K135" i="1" s="1"/>
  <c r="K136" i="1" s="1"/>
  <c r="K137" i="1" s="1"/>
  <c r="K138" i="1" s="1"/>
  <c r="K139" i="1" s="1"/>
  <c r="K140" i="1" s="1"/>
  <c r="K141" i="1" s="1"/>
  <c r="K142" i="1" s="1"/>
  <c r="K143" i="1" s="1"/>
  <c r="L132" i="1" s="1"/>
  <c r="L133" i="1" s="1"/>
  <c r="L134" i="1" s="1"/>
  <c r="L135" i="1" s="1"/>
  <c r="L136" i="1" s="1"/>
  <c r="L137" i="1" s="1"/>
  <c r="L138" i="1" s="1"/>
  <c r="L139" i="1" s="1"/>
  <c r="L140" i="1" s="1"/>
  <c r="L141" i="1" s="1"/>
  <c r="L142" i="1" s="1"/>
  <c r="L143" i="1" s="1"/>
  <c r="M132" i="1" s="1"/>
  <c r="M133" i="1" s="1"/>
  <c r="M134" i="1" s="1"/>
  <c r="D113" i="1"/>
  <c r="D114" i="1" s="1"/>
  <c r="D115" i="1" s="1"/>
  <c r="D116" i="1" s="1"/>
  <c r="D117" i="1" s="1"/>
  <c r="D118" i="1" s="1"/>
  <c r="D119" i="1" s="1"/>
  <c r="D120" i="1" s="1"/>
  <c r="D121" i="1" s="1"/>
  <c r="D122" i="1" s="1"/>
  <c r="D123" i="1" s="1"/>
  <c r="D124" i="1" s="1"/>
  <c r="E113" i="1" s="1"/>
  <c r="E114" i="1" s="1"/>
  <c r="E115" i="1" s="1"/>
  <c r="E116" i="1" s="1"/>
  <c r="E117" i="1" s="1"/>
  <c r="E118" i="1" s="1"/>
  <c r="E119" i="1" s="1"/>
  <c r="E120" i="1" s="1"/>
  <c r="E121" i="1" s="1"/>
  <c r="E122" i="1" s="1"/>
  <c r="E123" i="1" s="1"/>
  <c r="E124" i="1" s="1"/>
  <c r="F113" i="1" s="1"/>
  <c r="F114" i="1" s="1"/>
  <c r="F115" i="1" s="1"/>
  <c r="F116" i="1" s="1"/>
  <c r="F117" i="1" s="1"/>
  <c r="F118" i="1" s="1"/>
  <c r="F119" i="1" s="1"/>
  <c r="F120" i="1" s="1"/>
  <c r="F121" i="1" s="1"/>
  <c r="F122" i="1" s="1"/>
  <c r="F123" i="1" s="1"/>
  <c r="F124" i="1" s="1"/>
  <c r="G113" i="1" s="1"/>
  <c r="G114" i="1" s="1"/>
  <c r="G115" i="1" s="1"/>
  <c r="G116" i="1" s="1"/>
  <c r="G117" i="1" s="1"/>
  <c r="G118" i="1" s="1"/>
  <c r="G119" i="1" s="1"/>
  <c r="G120" i="1" s="1"/>
  <c r="G121" i="1" s="1"/>
  <c r="G122" i="1" s="1"/>
  <c r="G123" i="1" s="1"/>
  <c r="G124" i="1" s="1"/>
  <c r="H113" i="1" s="1"/>
  <c r="H114" i="1" s="1"/>
  <c r="H115" i="1" s="1"/>
  <c r="H116" i="1" s="1"/>
  <c r="H117" i="1" s="1"/>
  <c r="H118" i="1" s="1"/>
  <c r="H119" i="1" s="1"/>
  <c r="H120" i="1" s="1"/>
  <c r="H121" i="1" s="1"/>
  <c r="H122" i="1" s="1"/>
  <c r="H123" i="1" s="1"/>
  <c r="H124" i="1" s="1"/>
  <c r="I113" i="1" s="1"/>
  <c r="I114" i="1" s="1"/>
  <c r="I115" i="1" s="1"/>
  <c r="I116" i="1" s="1"/>
  <c r="I117" i="1" s="1"/>
  <c r="I118" i="1" s="1"/>
  <c r="I119" i="1" s="1"/>
  <c r="I120" i="1" s="1"/>
  <c r="I121" i="1" s="1"/>
  <c r="I122" i="1" s="1"/>
  <c r="I123" i="1" s="1"/>
  <c r="I124" i="1" s="1"/>
  <c r="J113" i="1" s="1"/>
  <c r="J114" i="1" s="1"/>
  <c r="J115" i="1" s="1"/>
  <c r="J116" i="1" s="1"/>
  <c r="J117" i="1" s="1"/>
  <c r="J118" i="1" s="1"/>
  <c r="J119" i="1" s="1"/>
  <c r="J120" i="1" s="1"/>
  <c r="J121" i="1" s="1"/>
  <c r="J122" i="1" s="1"/>
  <c r="J123" i="1" s="1"/>
  <c r="J124" i="1" s="1"/>
  <c r="K113" i="1" s="1"/>
  <c r="K114" i="1" s="1"/>
  <c r="K115" i="1" s="1"/>
  <c r="K116" i="1" s="1"/>
  <c r="K117" i="1" s="1"/>
  <c r="K118" i="1" s="1"/>
  <c r="K119" i="1" s="1"/>
  <c r="K120" i="1" s="1"/>
  <c r="K121" i="1" s="1"/>
  <c r="K122" i="1" s="1"/>
  <c r="K123" i="1" s="1"/>
  <c r="K124" i="1" s="1"/>
  <c r="L113" i="1" s="1"/>
  <c r="L114" i="1" s="1"/>
  <c r="L115" i="1" s="1"/>
  <c r="L116" i="1" s="1"/>
  <c r="L117" i="1" s="1"/>
  <c r="L118" i="1" s="1"/>
  <c r="L119" i="1" s="1"/>
  <c r="L120" i="1" s="1"/>
  <c r="L121" i="1" s="1"/>
  <c r="L122" i="1" s="1"/>
  <c r="L123" i="1" s="1"/>
  <c r="L124" i="1" s="1"/>
  <c r="M113" i="1" s="1"/>
  <c r="M114" i="1" s="1"/>
  <c r="M115" i="1" s="1"/>
  <c r="D94" i="1"/>
  <c r="D95" i="1" s="1"/>
  <c r="D96" i="1" s="1"/>
  <c r="D97" i="1" s="1"/>
  <c r="D98" i="1" s="1"/>
  <c r="D99" i="1" s="1"/>
  <c r="D100" i="1" s="1"/>
  <c r="D101" i="1" s="1"/>
  <c r="D102" i="1" s="1"/>
  <c r="D103" i="1" s="1"/>
  <c r="D104" i="1" s="1"/>
  <c r="D105" i="1" s="1"/>
  <c r="E94" i="1" s="1"/>
  <c r="E95" i="1" s="1"/>
  <c r="E96" i="1" s="1"/>
  <c r="E97" i="1" s="1"/>
  <c r="E98" i="1" s="1"/>
  <c r="E99" i="1" s="1"/>
  <c r="E100" i="1" s="1"/>
  <c r="E101" i="1" s="1"/>
  <c r="E102" i="1" s="1"/>
  <c r="E103" i="1" s="1"/>
  <c r="E104" i="1" s="1"/>
  <c r="E105" i="1" s="1"/>
  <c r="F94" i="1" s="1"/>
  <c r="F95" i="1" s="1"/>
  <c r="F96" i="1" s="1"/>
  <c r="F97" i="1" s="1"/>
  <c r="F98" i="1" s="1"/>
  <c r="F99" i="1" s="1"/>
  <c r="F100" i="1" s="1"/>
  <c r="F101" i="1" s="1"/>
  <c r="F102" i="1" s="1"/>
  <c r="F103" i="1" s="1"/>
  <c r="F104" i="1" s="1"/>
  <c r="F105" i="1" s="1"/>
  <c r="G94" i="1" s="1"/>
  <c r="G95" i="1" s="1"/>
  <c r="G96" i="1" s="1"/>
  <c r="G97" i="1" s="1"/>
  <c r="G98" i="1" s="1"/>
  <c r="G99" i="1" s="1"/>
  <c r="G100" i="1" s="1"/>
  <c r="G101" i="1" s="1"/>
  <c r="G102" i="1" s="1"/>
  <c r="G103" i="1" s="1"/>
  <c r="G104" i="1" s="1"/>
  <c r="G105" i="1" s="1"/>
  <c r="H94" i="1" s="1"/>
  <c r="H95" i="1" s="1"/>
  <c r="H96" i="1" s="1"/>
  <c r="H97" i="1" s="1"/>
  <c r="H98" i="1" s="1"/>
  <c r="H99" i="1" s="1"/>
  <c r="H100" i="1" s="1"/>
  <c r="H101" i="1" s="1"/>
  <c r="H102" i="1" s="1"/>
  <c r="H103" i="1" s="1"/>
  <c r="H104" i="1" s="1"/>
  <c r="H105" i="1" s="1"/>
  <c r="I94" i="1" s="1"/>
  <c r="I95" i="1" s="1"/>
  <c r="I96" i="1" s="1"/>
  <c r="I97" i="1" s="1"/>
  <c r="I98" i="1" s="1"/>
  <c r="I99" i="1" s="1"/>
  <c r="I100" i="1" s="1"/>
  <c r="I101" i="1" s="1"/>
  <c r="I102" i="1" s="1"/>
  <c r="I103" i="1" s="1"/>
  <c r="I104" i="1" s="1"/>
  <c r="I105" i="1" s="1"/>
  <c r="J94" i="1" s="1"/>
  <c r="J95" i="1" s="1"/>
  <c r="J96" i="1" s="1"/>
  <c r="J97" i="1" s="1"/>
  <c r="J98" i="1" s="1"/>
  <c r="J99" i="1" s="1"/>
  <c r="J100" i="1" s="1"/>
  <c r="J101" i="1" s="1"/>
  <c r="J102" i="1" s="1"/>
  <c r="J103" i="1" s="1"/>
  <c r="J104" i="1" s="1"/>
  <c r="J105" i="1" s="1"/>
  <c r="K94" i="1" s="1"/>
  <c r="K95" i="1" s="1"/>
  <c r="K96" i="1" s="1"/>
  <c r="K97" i="1" s="1"/>
  <c r="K98" i="1" s="1"/>
  <c r="K99" i="1" s="1"/>
  <c r="K100" i="1" s="1"/>
  <c r="K101" i="1" s="1"/>
  <c r="K102" i="1" s="1"/>
  <c r="K103" i="1" s="1"/>
  <c r="K104" i="1" s="1"/>
  <c r="K105" i="1" s="1"/>
  <c r="L94" i="1" s="1"/>
  <c r="L95" i="1" s="1"/>
  <c r="L96" i="1" s="1"/>
  <c r="L97" i="1" s="1"/>
  <c r="L98" i="1" s="1"/>
  <c r="L99" i="1" s="1"/>
  <c r="L100" i="1" s="1"/>
  <c r="L101" i="1" s="1"/>
  <c r="L102" i="1" s="1"/>
  <c r="L103" i="1" s="1"/>
  <c r="L104" i="1" s="1"/>
  <c r="L105" i="1" s="1"/>
  <c r="M94" i="1" s="1"/>
  <c r="M95" i="1" s="1"/>
  <c r="M96" i="1" s="1"/>
  <c r="D56" i="1"/>
  <c r="D57" i="1" s="1"/>
  <c r="D58" i="1" s="1"/>
  <c r="D59" i="1" s="1"/>
  <c r="D60" i="1" s="1"/>
  <c r="D61" i="1" s="1"/>
  <c r="D62" i="1" s="1"/>
  <c r="D63" i="1" s="1"/>
  <c r="D64" i="1" s="1"/>
  <c r="D65" i="1" s="1"/>
  <c r="D66" i="1" s="1"/>
  <c r="D67" i="1" s="1"/>
  <c r="E56" i="1" s="1"/>
  <c r="E57" i="1" s="1"/>
  <c r="E58" i="1" s="1"/>
  <c r="E59" i="1" s="1"/>
  <c r="E60" i="1" s="1"/>
  <c r="E61" i="1" s="1"/>
  <c r="E62" i="1" s="1"/>
  <c r="E63" i="1" s="1"/>
  <c r="E64" i="1" s="1"/>
  <c r="E65" i="1" s="1"/>
  <c r="E66" i="1" s="1"/>
  <c r="E67" i="1" s="1"/>
  <c r="F56" i="1" s="1"/>
  <c r="F57" i="1" s="1"/>
  <c r="F58" i="1" s="1"/>
  <c r="F59" i="1" s="1"/>
  <c r="F60" i="1" s="1"/>
  <c r="F61" i="1" s="1"/>
  <c r="F62" i="1" s="1"/>
  <c r="F63" i="1" s="1"/>
  <c r="F64" i="1" s="1"/>
  <c r="F65" i="1" s="1"/>
  <c r="F66" i="1" s="1"/>
  <c r="F67" i="1" s="1"/>
  <c r="G56" i="1" s="1"/>
  <c r="G57" i="1" s="1"/>
  <c r="G58" i="1" s="1"/>
  <c r="G59" i="1" s="1"/>
  <c r="G60" i="1" s="1"/>
  <c r="G61" i="1" s="1"/>
  <c r="G62" i="1" s="1"/>
  <c r="G63" i="1" s="1"/>
  <c r="G64" i="1" s="1"/>
  <c r="G65" i="1" s="1"/>
  <c r="G66" i="1" s="1"/>
  <c r="G67" i="1" s="1"/>
  <c r="H56" i="1" s="1"/>
  <c r="H57" i="1" s="1"/>
  <c r="H58" i="1" s="1"/>
  <c r="H59" i="1" s="1"/>
  <c r="H60" i="1" s="1"/>
  <c r="H61" i="1" s="1"/>
  <c r="H62" i="1" s="1"/>
  <c r="H63" i="1" s="1"/>
  <c r="H64" i="1" s="1"/>
  <c r="H65" i="1" s="1"/>
  <c r="H66" i="1" s="1"/>
  <c r="H67" i="1" s="1"/>
  <c r="I56" i="1" s="1"/>
  <c r="I57" i="1" s="1"/>
  <c r="I58" i="1" s="1"/>
  <c r="I59" i="1" s="1"/>
  <c r="I60" i="1" s="1"/>
  <c r="I61" i="1" s="1"/>
  <c r="I62" i="1" s="1"/>
  <c r="I63" i="1" s="1"/>
  <c r="I64" i="1" s="1"/>
  <c r="I65" i="1" s="1"/>
  <c r="I66" i="1" s="1"/>
  <c r="I67" i="1" s="1"/>
  <c r="J56" i="1" s="1"/>
  <c r="J57" i="1" s="1"/>
  <c r="J58" i="1" s="1"/>
  <c r="J59" i="1" s="1"/>
  <c r="J60" i="1" s="1"/>
  <c r="J61" i="1" s="1"/>
  <c r="J62" i="1" s="1"/>
  <c r="J63" i="1" s="1"/>
  <c r="J64" i="1" s="1"/>
  <c r="J65" i="1" s="1"/>
  <c r="J66" i="1" s="1"/>
  <c r="J67" i="1" s="1"/>
  <c r="K56" i="1" s="1"/>
  <c r="K57" i="1" s="1"/>
  <c r="K58" i="1" s="1"/>
  <c r="K59" i="1" s="1"/>
  <c r="K60" i="1" s="1"/>
  <c r="K61" i="1" s="1"/>
  <c r="K62" i="1" s="1"/>
  <c r="K63" i="1" s="1"/>
  <c r="K64" i="1" s="1"/>
  <c r="K65" i="1" s="1"/>
  <c r="K66" i="1" s="1"/>
  <c r="K67" i="1" s="1"/>
  <c r="L56" i="1" s="1"/>
  <c r="L57" i="1" s="1"/>
  <c r="L58" i="1" s="1"/>
  <c r="L59" i="1" s="1"/>
  <c r="L60" i="1" s="1"/>
  <c r="L61" i="1" s="1"/>
  <c r="L62" i="1" s="1"/>
  <c r="L63" i="1" s="1"/>
  <c r="L64" i="1" s="1"/>
  <c r="L65" i="1" s="1"/>
  <c r="L66" i="1" s="1"/>
  <c r="L67" i="1" s="1"/>
  <c r="M56" i="1" s="1"/>
  <c r="M57" i="1" s="1"/>
  <c r="M58" i="1" s="1"/>
  <c r="D37" i="1"/>
  <c r="D38" i="1" s="1"/>
  <c r="D39" i="1" s="1"/>
  <c r="D40" i="1" s="1"/>
  <c r="D41" i="1" s="1"/>
  <c r="D42" i="1" s="1"/>
  <c r="D43" i="1" s="1"/>
  <c r="D44" i="1" s="1"/>
  <c r="D45" i="1" s="1"/>
  <c r="D46" i="1" s="1"/>
  <c r="D47" i="1" s="1"/>
  <c r="D48" i="1" s="1"/>
  <c r="E37" i="1" s="1"/>
  <c r="E38" i="1" s="1"/>
  <c r="E39" i="1" s="1"/>
  <c r="E40" i="1" s="1"/>
  <c r="E41" i="1" s="1"/>
  <c r="E42" i="1" s="1"/>
  <c r="E43" i="1" s="1"/>
  <c r="E44" i="1" s="1"/>
  <c r="E45" i="1" s="1"/>
  <c r="E46" i="1" s="1"/>
  <c r="E47" i="1" s="1"/>
  <c r="E48" i="1" s="1"/>
  <c r="F37" i="1" s="1"/>
  <c r="F38" i="1" s="1"/>
  <c r="F39" i="1" s="1"/>
  <c r="F40" i="1" s="1"/>
  <c r="F41" i="1" s="1"/>
  <c r="F42" i="1" s="1"/>
  <c r="F43" i="1" s="1"/>
  <c r="F44" i="1" s="1"/>
  <c r="F45" i="1" s="1"/>
  <c r="F46" i="1" s="1"/>
  <c r="F47" i="1" s="1"/>
  <c r="F48" i="1" s="1"/>
  <c r="G37" i="1" s="1"/>
  <c r="G38" i="1" s="1"/>
  <c r="G39" i="1" s="1"/>
  <c r="G40" i="1" s="1"/>
  <c r="G41" i="1" s="1"/>
  <c r="G42" i="1" s="1"/>
  <c r="G43" i="1" s="1"/>
  <c r="G44" i="1" s="1"/>
  <c r="G45" i="1" s="1"/>
  <c r="G46" i="1" s="1"/>
  <c r="G47" i="1" s="1"/>
  <c r="G48" i="1" s="1"/>
  <c r="H37" i="1" s="1"/>
  <c r="H38" i="1" s="1"/>
  <c r="H39" i="1" s="1"/>
  <c r="H40" i="1" s="1"/>
  <c r="H41" i="1" s="1"/>
  <c r="H42" i="1" s="1"/>
  <c r="H43" i="1" s="1"/>
  <c r="H44" i="1" s="1"/>
  <c r="H45" i="1" s="1"/>
  <c r="H46" i="1" s="1"/>
  <c r="H47" i="1" s="1"/>
  <c r="H48" i="1" s="1"/>
  <c r="I37" i="1" s="1"/>
  <c r="I38" i="1" s="1"/>
  <c r="I39" i="1" s="1"/>
  <c r="I40" i="1" s="1"/>
  <c r="I41" i="1" s="1"/>
  <c r="I42" i="1" s="1"/>
  <c r="I43" i="1" s="1"/>
  <c r="I44" i="1" s="1"/>
  <c r="I45" i="1" s="1"/>
  <c r="I46" i="1" s="1"/>
  <c r="I47" i="1" s="1"/>
  <c r="I48" i="1" s="1"/>
  <c r="J37" i="1" s="1"/>
  <c r="J38" i="1" s="1"/>
  <c r="J39" i="1" s="1"/>
  <c r="J40" i="1" s="1"/>
  <c r="J41" i="1" s="1"/>
  <c r="J42" i="1" s="1"/>
  <c r="J43" i="1" s="1"/>
  <c r="J44" i="1" s="1"/>
  <c r="J45" i="1" s="1"/>
  <c r="J46" i="1" s="1"/>
  <c r="J47" i="1" s="1"/>
  <c r="J48" i="1" s="1"/>
  <c r="K37" i="1" s="1"/>
  <c r="K38" i="1" s="1"/>
  <c r="K39" i="1" s="1"/>
  <c r="K40" i="1" s="1"/>
  <c r="K41" i="1" s="1"/>
  <c r="K42" i="1" s="1"/>
  <c r="K43" i="1" s="1"/>
  <c r="K44" i="1" s="1"/>
  <c r="K45" i="1" s="1"/>
  <c r="K46" i="1" s="1"/>
  <c r="K47" i="1" s="1"/>
  <c r="K48" i="1" s="1"/>
  <c r="L37" i="1" s="1"/>
  <c r="L38" i="1" s="1"/>
  <c r="L39" i="1" s="1"/>
  <c r="L40" i="1" s="1"/>
  <c r="L41" i="1" s="1"/>
  <c r="L42" i="1" s="1"/>
  <c r="L43" i="1" s="1"/>
  <c r="L44" i="1" s="1"/>
  <c r="L45" i="1" s="1"/>
  <c r="L46" i="1" s="1"/>
  <c r="L47" i="1" s="1"/>
  <c r="L48" i="1" s="1"/>
  <c r="M37" i="1" s="1"/>
  <c r="M38" i="1" s="1"/>
  <c r="M39" i="1" s="1"/>
  <c r="A156" i="1"/>
  <c r="A155" i="1"/>
  <c r="A154" i="1"/>
  <c r="A153" i="1"/>
  <c r="A137" i="1"/>
  <c r="A136" i="1"/>
  <c r="A135" i="1"/>
  <c r="A134" i="1"/>
  <c r="A118" i="1"/>
  <c r="A117" i="1"/>
  <c r="A116" i="1"/>
  <c r="A115" i="1"/>
  <c r="A99" i="1"/>
  <c r="A98" i="1"/>
  <c r="A97" i="1"/>
  <c r="A96" i="1"/>
  <c r="A80" i="1"/>
  <c r="A79" i="1"/>
  <c r="A78" i="1"/>
  <c r="A77" i="1"/>
  <c r="A61" i="1"/>
  <c r="A60" i="1"/>
  <c r="A59" i="1"/>
  <c r="A58" i="1"/>
  <c r="A42" i="1"/>
  <c r="A41" i="1"/>
  <c r="A40" i="1"/>
  <c r="A39" i="1"/>
  <c r="A19" i="1"/>
  <c r="A18" i="1"/>
  <c r="A17" i="1"/>
  <c r="A16" i="1"/>
  <c r="D15" i="1"/>
  <c r="D16" i="1" s="1"/>
  <c r="D17" i="1" s="1"/>
  <c r="D18" i="1" s="1"/>
  <c r="D19" i="1" s="1"/>
  <c r="D20" i="1" s="1"/>
  <c r="D21" i="1" s="1"/>
  <c r="D22" i="1" s="1"/>
  <c r="D23" i="1" s="1"/>
  <c r="D24" i="1" s="1"/>
  <c r="D25" i="1" s="1"/>
  <c r="D26" i="1" s="1"/>
  <c r="AN176" i="3" l="1"/>
  <c r="AD176" i="3"/>
  <c r="AO176" i="3"/>
  <c r="AE176" i="3"/>
  <c r="AP176" i="3"/>
  <c r="AF176" i="3"/>
  <c r="AQ176" i="3"/>
  <c r="AG176" i="3"/>
  <c r="AR176" i="3"/>
  <c r="AH176" i="3"/>
  <c r="AS176" i="3"/>
  <c r="AL176" i="3"/>
  <c r="AM176" i="3"/>
  <c r="AD174" i="2"/>
  <c r="AO174" i="2"/>
  <c r="AN174" i="2"/>
  <c r="AE174" i="2"/>
  <c r="AP174" i="2"/>
  <c r="AF174" i="2"/>
  <c r="AQ174" i="2"/>
  <c r="AO173" i="2"/>
  <c r="AG174" i="2"/>
  <c r="AR174" i="2"/>
  <c r="AH174" i="2"/>
  <c r="AS174" i="2"/>
  <c r="AL174" i="2"/>
  <c r="AG173" i="2"/>
  <c r="AM174" i="2"/>
  <c r="D6" i="6"/>
  <c r="D22" i="6" s="1"/>
  <c r="D31" i="6" s="1"/>
  <c r="Q6" i="6"/>
  <c r="E6" i="6"/>
  <c r="R6" i="6"/>
  <c r="F6" i="6"/>
  <c r="F22" i="6" s="1"/>
  <c r="F31" i="6" s="1"/>
  <c r="S6" i="6"/>
  <c r="G6" i="6"/>
  <c r="T6" i="6"/>
  <c r="H6" i="6"/>
  <c r="U6" i="6"/>
  <c r="I6" i="6"/>
  <c r="V6" i="6"/>
  <c r="J6" i="6"/>
  <c r="W6" i="6"/>
  <c r="N156" i="4"/>
  <c r="N157" i="4" s="1"/>
  <c r="N158" i="4" s="1"/>
  <c r="N159" i="4" s="1"/>
  <c r="N160" i="4" s="1"/>
  <c r="N161" i="4" s="1"/>
  <c r="N162" i="4" s="1"/>
  <c r="O151" i="4" s="1"/>
  <c r="O152" i="4" s="1"/>
  <c r="O153" i="4" s="1"/>
  <c r="O154" i="4" s="1"/>
  <c r="O155" i="4" s="1"/>
  <c r="O156" i="4" s="1"/>
  <c r="O157" i="4" s="1"/>
  <c r="O158" i="4" s="1"/>
  <c r="O159" i="4" s="1"/>
  <c r="O160" i="4" s="1"/>
  <c r="O161" i="4" s="1"/>
  <c r="O162" i="4" s="1"/>
  <c r="P151" i="4" s="1"/>
  <c r="P152" i="4" s="1"/>
  <c r="P153" i="4" s="1"/>
  <c r="P154" i="4" s="1"/>
  <c r="P155" i="4" s="1"/>
  <c r="P156" i="4" s="1"/>
  <c r="P157" i="4" s="1"/>
  <c r="P158" i="4" s="1"/>
  <c r="P159" i="4" s="1"/>
  <c r="P160" i="4" s="1"/>
  <c r="P161" i="4" s="1"/>
  <c r="P162" i="4" s="1"/>
  <c r="Q151" i="4" s="1"/>
  <c r="Q152" i="4" s="1"/>
  <c r="Q153" i="4" s="1"/>
  <c r="Q154" i="4" s="1"/>
  <c r="Q155" i="4" s="1"/>
  <c r="Q156" i="4" s="1"/>
  <c r="Q157" i="4" s="1"/>
  <c r="Q158" i="4" s="1"/>
  <c r="Q159" i="4" s="1"/>
  <c r="Q160" i="4" s="1"/>
  <c r="Q161" i="4" s="1"/>
  <c r="Q162" i="4" s="1"/>
  <c r="R151" i="4" s="1"/>
  <c r="R152" i="4" s="1"/>
  <c r="R153" i="4" s="1"/>
  <c r="R154" i="4" s="1"/>
  <c r="R155" i="4" s="1"/>
  <c r="R156" i="4" s="1"/>
  <c r="R157" i="4" s="1"/>
  <c r="R158" i="4" s="1"/>
  <c r="R159" i="4" s="1"/>
  <c r="R160" i="4" s="1"/>
  <c r="R161" i="4" s="1"/>
  <c r="R162" i="4" s="1"/>
  <c r="S151" i="4" s="1"/>
  <c r="S152" i="4" s="1"/>
  <c r="S153" i="4" s="1"/>
  <c r="S154" i="4" s="1"/>
  <c r="S155" i="4" s="1"/>
  <c r="S156" i="4" s="1"/>
  <c r="S157" i="4" s="1"/>
  <c r="S158" i="4" s="1"/>
  <c r="S159" i="4" s="1"/>
  <c r="S160" i="4" s="1"/>
  <c r="S161" i="4" s="1"/>
  <c r="S162" i="4" s="1"/>
  <c r="T151" i="4" s="1"/>
  <c r="T152" i="4" s="1"/>
  <c r="T153" i="4" s="1"/>
  <c r="T154" i="4" s="1"/>
  <c r="T155" i="4" s="1"/>
  <c r="T156" i="4" s="1"/>
  <c r="T157" i="4" s="1"/>
  <c r="T158" i="4" s="1"/>
  <c r="T159" i="4" s="1"/>
  <c r="T160" i="4" s="1"/>
  <c r="T161" i="4" s="1"/>
  <c r="T162" i="4" s="1"/>
  <c r="U151" i="4" s="1"/>
  <c r="U152" i="4" s="1"/>
  <c r="U153" i="4" s="1"/>
  <c r="U154" i="4" s="1"/>
  <c r="U155" i="4" s="1"/>
  <c r="U156" i="4" s="1"/>
  <c r="U157" i="4" s="1"/>
  <c r="U158" i="4" s="1"/>
  <c r="U159" i="4" s="1"/>
  <c r="U160" i="4" s="1"/>
  <c r="U161" i="4" s="1"/>
  <c r="U162" i="4" s="1"/>
  <c r="V151" i="4" s="1"/>
  <c r="V152" i="4" s="1"/>
  <c r="V153" i="4" s="1"/>
  <c r="V154" i="4" s="1"/>
  <c r="V155" i="4" s="1"/>
  <c r="V156" i="4" s="1"/>
  <c r="V157" i="4" s="1"/>
  <c r="V158" i="4" s="1"/>
  <c r="V159" i="4" s="1"/>
  <c r="V160" i="4" s="1"/>
  <c r="V161" i="4" s="1"/>
  <c r="V162" i="4" s="1"/>
  <c r="W151" i="4" s="1"/>
  <c r="W152" i="4" s="1"/>
  <c r="W153" i="4" s="1"/>
  <c r="W154" i="4" s="1"/>
  <c r="W155" i="4" s="1"/>
  <c r="W156" i="4" s="1"/>
  <c r="W157" i="4" s="1"/>
  <c r="W158" i="4" s="1"/>
  <c r="W159" i="4" s="1"/>
  <c r="W160" i="4" s="1"/>
  <c r="W161" i="4" s="1"/>
  <c r="W162" i="4" s="1"/>
  <c r="N142" i="4"/>
  <c r="N143" i="4" s="1"/>
  <c r="O132" i="4" s="1"/>
  <c r="O133" i="4" s="1"/>
  <c r="O134" i="4" s="1"/>
  <c r="O135" i="4" s="1"/>
  <c r="O136" i="4" s="1"/>
  <c r="O137" i="4" s="1"/>
  <c r="O138" i="4" s="1"/>
  <c r="O139" i="4" s="1"/>
  <c r="O140" i="4" s="1"/>
  <c r="O141" i="4" s="1"/>
  <c r="O142" i="4" s="1"/>
  <c r="O143" i="4" s="1"/>
  <c r="P132" i="4" s="1"/>
  <c r="P133" i="4" s="1"/>
  <c r="P134" i="4" s="1"/>
  <c r="P135" i="4" s="1"/>
  <c r="P136" i="4" s="1"/>
  <c r="P137" i="4" s="1"/>
  <c r="P138" i="4" s="1"/>
  <c r="P139" i="4" s="1"/>
  <c r="P140" i="4" s="1"/>
  <c r="P141" i="4" s="1"/>
  <c r="P142" i="4" s="1"/>
  <c r="P143" i="4" s="1"/>
  <c r="Q132" i="4" s="1"/>
  <c r="Q133" i="4" s="1"/>
  <c r="Q134" i="4" s="1"/>
  <c r="Q135" i="4" s="1"/>
  <c r="Q136" i="4" s="1"/>
  <c r="Q137" i="4" s="1"/>
  <c r="Q138" i="4" s="1"/>
  <c r="Q139" i="4" s="1"/>
  <c r="Q140" i="4" s="1"/>
  <c r="Q141" i="4" s="1"/>
  <c r="Q142" i="4" s="1"/>
  <c r="Q143" i="4" s="1"/>
  <c r="R132" i="4" s="1"/>
  <c r="R133" i="4" s="1"/>
  <c r="R134" i="4" s="1"/>
  <c r="R135" i="4" s="1"/>
  <c r="R136" i="4" s="1"/>
  <c r="R137" i="4" s="1"/>
  <c r="R138" i="4" s="1"/>
  <c r="R139" i="4" s="1"/>
  <c r="R140" i="4" s="1"/>
  <c r="R141" i="4" s="1"/>
  <c r="R142" i="4" s="1"/>
  <c r="R143" i="4" s="1"/>
  <c r="S132" i="4" s="1"/>
  <c r="S133" i="4" s="1"/>
  <c r="S134" i="4" s="1"/>
  <c r="S135" i="4" s="1"/>
  <c r="S136" i="4" s="1"/>
  <c r="S137" i="4" s="1"/>
  <c r="S138" i="4" s="1"/>
  <c r="S139" i="4" s="1"/>
  <c r="S140" i="4" s="1"/>
  <c r="S141" i="4" s="1"/>
  <c r="S142" i="4" s="1"/>
  <c r="S143" i="4" s="1"/>
  <c r="T132" i="4" s="1"/>
  <c r="T133" i="4" s="1"/>
  <c r="T134" i="4" s="1"/>
  <c r="T135" i="4" s="1"/>
  <c r="T136" i="4" s="1"/>
  <c r="T137" i="4" s="1"/>
  <c r="T138" i="4" s="1"/>
  <c r="T139" i="4" s="1"/>
  <c r="T140" i="4" s="1"/>
  <c r="T141" i="4" s="1"/>
  <c r="T142" i="4" s="1"/>
  <c r="T143" i="4" s="1"/>
  <c r="U132" i="4" s="1"/>
  <c r="U133" i="4" s="1"/>
  <c r="U134" i="4" s="1"/>
  <c r="U135" i="4" s="1"/>
  <c r="U136" i="4" s="1"/>
  <c r="U137" i="4" s="1"/>
  <c r="U138" i="4" s="1"/>
  <c r="U139" i="4" s="1"/>
  <c r="U140" i="4" s="1"/>
  <c r="U141" i="4" s="1"/>
  <c r="U142" i="4" s="1"/>
  <c r="U143" i="4" s="1"/>
  <c r="V132" i="4" s="1"/>
  <c r="V133" i="4" s="1"/>
  <c r="V134" i="4" s="1"/>
  <c r="V135" i="4" s="1"/>
  <c r="V136" i="4" s="1"/>
  <c r="V137" i="4" s="1"/>
  <c r="V138" i="4" s="1"/>
  <c r="V139" i="4" s="1"/>
  <c r="V140" i="4" s="1"/>
  <c r="V141" i="4" s="1"/>
  <c r="V142" i="4" s="1"/>
  <c r="V143" i="4" s="1"/>
  <c r="W132" i="4" s="1"/>
  <c r="W133" i="4" s="1"/>
  <c r="W134" i="4" s="1"/>
  <c r="W135" i="4" s="1"/>
  <c r="W136" i="4" s="1"/>
  <c r="W137" i="4" s="1"/>
  <c r="W138" i="4" s="1"/>
  <c r="W139" i="4" s="1"/>
  <c r="W140" i="4" s="1"/>
  <c r="W141" i="4" s="1"/>
  <c r="W142" i="4" s="1"/>
  <c r="W143" i="4" s="1"/>
  <c r="X132" i="4" s="1"/>
  <c r="X133" i="4" s="1"/>
  <c r="X134" i="4" s="1"/>
  <c r="X135" i="4" s="1"/>
  <c r="X136" i="4" s="1"/>
  <c r="X137" i="4" s="1"/>
  <c r="X138" i="4" s="1"/>
  <c r="X139" i="4" s="1"/>
  <c r="X140" i="4" s="1"/>
  <c r="X141" i="4" s="1"/>
  <c r="X142" i="4" s="1"/>
  <c r="X143" i="4" s="1"/>
  <c r="Y132" i="4" s="1"/>
  <c r="Y133" i="4" s="1"/>
  <c r="Y134" i="4" s="1"/>
  <c r="Y135" i="4" s="1"/>
  <c r="Y136" i="4" s="1"/>
  <c r="Y137" i="4" s="1"/>
  <c r="Y138" i="4" s="1"/>
  <c r="Y139" i="4" s="1"/>
  <c r="Y140" i="4" s="1"/>
  <c r="Y141" i="4" s="1"/>
  <c r="Y142" i="4" s="1"/>
  <c r="Y143" i="4" s="1"/>
  <c r="Z132" i="4" s="1"/>
  <c r="Z133" i="4" s="1"/>
  <c r="Z134" i="4" s="1"/>
  <c r="Z135" i="4" s="1"/>
  <c r="Z136" i="4" s="1"/>
  <c r="Z137" i="4" s="1"/>
  <c r="Z138" i="4" s="1"/>
  <c r="Z139" i="4" s="1"/>
  <c r="Z140" i="4" s="1"/>
  <c r="Z141" i="4" s="1"/>
  <c r="Z142" i="4" s="1"/>
  <c r="Z143" i="4" s="1"/>
  <c r="AA132" i="4" s="1"/>
  <c r="AA133" i="4" s="1"/>
  <c r="AA134" i="4" s="1"/>
  <c r="AA135" i="4" s="1"/>
  <c r="AA136" i="4" s="1"/>
  <c r="AA137" i="4" s="1"/>
  <c r="AA138" i="4" s="1"/>
  <c r="AA139" i="4" s="1"/>
  <c r="AA140" i="4" s="1"/>
  <c r="AA141" i="4" s="1"/>
  <c r="AA142" i="4" s="1"/>
  <c r="AA143" i="4" s="1"/>
  <c r="AB132" i="4" s="1"/>
  <c r="AB133" i="4" s="1"/>
  <c r="AB134" i="4" s="1"/>
  <c r="AB135" i="4" s="1"/>
  <c r="AB136" i="4" s="1"/>
  <c r="AB137" i="4" s="1"/>
  <c r="AB138" i="4" s="1"/>
  <c r="AB139" i="4" s="1"/>
  <c r="AB140" i="4" s="1"/>
  <c r="AB141" i="4" s="1"/>
  <c r="AB142" i="4" s="1"/>
  <c r="AB143" i="4" s="1"/>
  <c r="Q57" i="4"/>
  <c r="Q58" i="4" s="1"/>
  <c r="Q59" i="4" s="1"/>
  <c r="Q60" i="4" s="1"/>
  <c r="Q61" i="4" s="1"/>
  <c r="Q62" i="4" s="1"/>
  <c r="Q63" i="4" s="1"/>
  <c r="Q64" i="4" s="1"/>
  <c r="Q65" i="4" s="1"/>
  <c r="Q66" i="4" s="1"/>
  <c r="Q67" i="4" s="1"/>
  <c r="R56" i="4" s="1"/>
  <c r="R57" i="4" s="1"/>
  <c r="R58" i="4" s="1"/>
  <c r="R59" i="4" s="1"/>
  <c r="R60" i="4" s="1"/>
  <c r="R61" i="4" s="1"/>
  <c r="R62" i="4" s="1"/>
  <c r="R63" i="4" s="1"/>
  <c r="R64" i="4" s="1"/>
  <c r="R65" i="4" s="1"/>
  <c r="R66" i="4" s="1"/>
  <c r="R67" i="4" s="1"/>
  <c r="S56" i="4" s="1"/>
  <c r="S57" i="4" s="1"/>
  <c r="S58" i="4" s="1"/>
  <c r="S59" i="4" s="1"/>
  <c r="S60" i="4" s="1"/>
  <c r="S61" i="4" s="1"/>
  <c r="S62" i="4" s="1"/>
  <c r="S63" i="4" s="1"/>
  <c r="S64" i="4" s="1"/>
  <c r="S65" i="4" s="1"/>
  <c r="S66" i="4" s="1"/>
  <c r="S67" i="4" s="1"/>
  <c r="T56" i="4" s="1"/>
  <c r="T57" i="4" s="1"/>
  <c r="T58" i="4" s="1"/>
  <c r="T59" i="4" s="1"/>
  <c r="T60" i="4" s="1"/>
  <c r="T61" i="4" s="1"/>
  <c r="T62" i="4" s="1"/>
  <c r="T63" i="4" s="1"/>
  <c r="T64" i="4" s="1"/>
  <c r="T65" i="4" s="1"/>
  <c r="T66" i="4" s="1"/>
  <c r="T67" i="4" s="1"/>
  <c r="U56" i="4" s="1"/>
  <c r="U57" i="4" s="1"/>
  <c r="U58" i="4" s="1"/>
  <c r="U59" i="4" s="1"/>
  <c r="U60" i="4" s="1"/>
  <c r="U61" i="4" s="1"/>
  <c r="U62" i="4" s="1"/>
  <c r="U63" i="4" s="1"/>
  <c r="U64" i="4" s="1"/>
  <c r="U65" i="4" s="1"/>
  <c r="U66" i="4" s="1"/>
  <c r="U67" i="4" s="1"/>
  <c r="V56" i="4" s="1"/>
  <c r="V57" i="4" s="1"/>
  <c r="V58" i="4" s="1"/>
  <c r="V59" i="4" s="1"/>
  <c r="V60" i="4" s="1"/>
  <c r="V61" i="4" s="1"/>
  <c r="V62" i="4" s="1"/>
  <c r="V63" i="4" s="1"/>
  <c r="V64" i="4" s="1"/>
  <c r="V65" i="4" s="1"/>
  <c r="V66" i="4" s="1"/>
  <c r="V67" i="4" s="1"/>
  <c r="W56" i="4" s="1"/>
  <c r="W57" i="4" s="1"/>
  <c r="W58" i="4" s="1"/>
  <c r="W59" i="4" s="1"/>
  <c r="W60" i="4" s="1"/>
  <c r="W61" i="4" s="1"/>
  <c r="W62" i="4" s="1"/>
  <c r="W63" i="4" s="1"/>
  <c r="W64" i="4" s="1"/>
  <c r="W65" i="4" s="1"/>
  <c r="W66" i="4" s="1"/>
  <c r="W67" i="4" s="1"/>
  <c r="Q76" i="4"/>
  <c r="Q77" i="4" s="1"/>
  <c r="Q78" i="4" s="1"/>
  <c r="Q79" i="4" s="1"/>
  <c r="Q80" i="4" s="1"/>
  <c r="Q81" i="4" s="1"/>
  <c r="Q82" i="4" s="1"/>
  <c r="Q83" i="4" s="1"/>
  <c r="Q84" i="4" s="1"/>
  <c r="Q85" i="4" s="1"/>
  <c r="Q86" i="4" s="1"/>
  <c r="R75" i="4" s="1"/>
  <c r="R76" i="4" s="1"/>
  <c r="R77" i="4" s="1"/>
  <c r="R78" i="4" s="1"/>
  <c r="R79" i="4" s="1"/>
  <c r="R80" i="4" s="1"/>
  <c r="R81" i="4" s="1"/>
  <c r="R82" i="4" s="1"/>
  <c r="R83" i="4" s="1"/>
  <c r="R84" i="4" s="1"/>
  <c r="R85" i="4" s="1"/>
  <c r="R86" i="4" s="1"/>
  <c r="S75" i="4" s="1"/>
  <c r="S76" i="4" s="1"/>
  <c r="S77" i="4" s="1"/>
  <c r="S78" i="4" s="1"/>
  <c r="S79" i="4" s="1"/>
  <c r="S80" i="4" s="1"/>
  <c r="S81" i="4" s="1"/>
  <c r="S82" i="4" s="1"/>
  <c r="S83" i="4" s="1"/>
  <c r="S84" i="4" s="1"/>
  <c r="S85" i="4" s="1"/>
  <c r="S86" i="4" s="1"/>
  <c r="T75" i="4" s="1"/>
  <c r="T76" i="4" s="1"/>
  <c r="T77" i="4" s="1"/>
  <c r="T78" i="4" s="1"/>
  <c r="T79" i="4" s="1"/>
  <c r="T80" i="4" s="1"/>
  <c r="T81" i="4" s="1"/>
  <c r="T82" i="4" s="1"/>
  <c r="T83" i="4" s="1"/>
  <c r="T84" i="4" s="1"/>
  <c r="T85" i="4" s="1"/>
  <c r="T86" i="4" s="1"/>
  <c r="U75" i="4" s="1"/>
  <c r="U76" i="4" s="1"/>
  <c r="U77" i="4" s="1"/>
  <c r="U78" i="4" s="1"/>
  <c r="U79" i="4" s="1"/>
  <c r="U80" i="4" s="1"/>
  <c r="U81" i="4" s="1"/>
  <c r="U82" i="4" s="1"/>
  <c r="U83" i="4" s="1"/>
  <c r="U84" i="4" s="1"/>
  <c r="U85" i="4" s="1"/>
  <c r="U86" i="4" s="1"/>
  <c r="V75" i="4" s="1"/>
  <c r="V76" i="4" s="1"/>
  <c r="V77" i="4" s="1"/>
  <c r="V78" i="4" s="1"/>
  <c r="V79" i="4" s="1"/>
  <c r="V80" i="4" s="1"/>
  <c r="V81" i="4" s="1"/>
  <c r="V82" i="4" s="1"/>
  <c r="V83" i="4" s="1"/>
  <c r="V84" i="4" s="1"/>
  <c r="V85" i="4" s="1"/>
  <c r="V86" i="4" s="1"/>
  <c r="W75" i="4" s="1"/>
  <c r="W76" i="4" s="1"/>
  <c r="W77" i="4" s="1"/>
  <c r="W78" i="4" s="1"/>
  <c r="W79" i="4" s="1"/>
  <c r="W80" i="4" s="1"/>
  <c r="W81" i="4" s="1"/>
  <c r="W82" i="4" s="1"/>
  <c r="W83" i="4" s="1"/>
  <c r="W84" i="4" s="1"/>
  <c r="W85" i="4" s="1"/>
  <c r="W86" i="4" s="1"/>
  <c r="O104" i="4"/>
  <c r="O105" i="4" s="1"/>
  <c r="P94" i="4" s="1"/>
  <c r="P95" i="4" s="1"/>
  <c r="P96" i="4" s="1"/>
  <c r="P97" i="4" s="1"/>
  <c r="P98" i="4" s="1"/>
  <c r="P99" i="4" s="1"/>
  <c r="P100" i="4" s="1"/>
  <c r="P101" i="4" s="1"/>
  <c r="P102" i="4" s="1"/>
  <c r="P103" i="4" s="1"/>
  <c r="P104" i="4" s="1"/>
  <c r="P105" i="4" s="1"/>
  <c r="Q94" i="4" s="1"/>
  <c r="Q95" i="4" s="1"/>
  <c r="Q96" i="4" s="1"/>
  <c r="Q97" i="4" s="1"/>
  <c r="Q98" i="4" s="1"/>
  <c r="Q99" i="4" s="1"/>
  <c r="Q100" i="4" s="1"/>
  <c r="Q101" i="4" s="1"/>
  <c r="Q102" i="4" s="1"/>
  <c r="Q103" i="4" s="1"/>
  <c r="Q104" i="4" s="1"/>
  <c r="Q105" i="4" s="1"/>
  <c r="R94" i="4" s="1"/>
  <c r="R95" i="4" s="1"/>
  <c r="R96" i="4" s="1"/>
  <c r="R97" i="4" s="1"/>
  <c r="R98" i="4" s="1"/>
  <c r="R99" i="4" s="1"/>
  <c r="R100" i="4" s="1"/>
  <c r="R101" i="4" s="1"/>
  <c r="R102" i="4" s="1"/>
  <c r="R103" i="4" s="1"/>
  <c r="R104" i="4" s="1"/>
  <c r="R105" i="4" s="1"/>
  <c r="S94" i="4" s="1"/>
  <c r="S95" i="4" s="1"/>
  <c r="S96" i="4" s="1"/>
  <c r="S97" i="4" s="1"/>
  <c r="S98" i="4" s="1"/>
  <c r="S99" i="4" s="1"/>
  <c r="S100" i="4" s="1"/>
  <c r="S101" i="4" s="1"/>
  <c r="S102" i="4" s="1"/>
  <c r="S103" i="4" s="1"/>
  <c r="S104" i="4" s="1"/>
  <c r="S105" i="4" s="1"/>
  <c r="T94" i="4" s="1"/>
  <c r="T95" i="4" s="1"/>
  <c r="T96" i="4" s="1"/>
  <c r="T97" i="4" s="1"/>
  <c r="T98" i="4" s="1"/>
  <c r="T99" i="4" s="1"/>
  <c r="T100" i="4" s="1"/>
  <c r="T101" i="4" s="1"/>
  <c r="T102" i="4" s="1"/>
  <c r="T103" i="4" s="1"/>
  <c r="T104" i="4" s="1"/>
  <c r="T105" i="4" s="1"/>
  <c r="U94" i="4" s="1"/>
  <c r="U95" i="4" s="1"/>
  <c r="U96" i="4" s="1"/>
  <c r="U97" i="4" s="1"/>
  <c r="U98" i="4" s="1"/>
  <c r="U99" i="4" s="1"/>
  <c r="U100" i="4" s="1"/>
  <c r="U101" i="4" s="1"/>
  <c r="U102" i="4" s="1"/>
  <c r="U103" i="4" s="1"/>
  <c r="U104" i="4" s="1"/>
  <c r="U105" i="4" s="1"/>
  <c r="V94" i="4" s="1"/>
  <c r="V95" i="4" s="1"/>
  <c r="V96" i="4" s="1"/>
  <c r="V97" i="4" s="1"/>
  <c r="V98" i="4" s="1"/>
  <c r="V99" i="4" s="1"/>
  <c r="V100" i="4" s="1"/>
  <c r="V101" i="4" s="1"/>
  <c r="V102" i="4" s="1"/>
  <c r="V103" i="4" s="1"/>
  <c r="V104" i="4" s="1"/>
  <c r="V105" i="4" s="1"/>
  <c r="W94" i="4" s="1"/>
  <c r="W95" i="4" s="1"/>
  <c r="W96" i="4" s="1"/>
  <c r="W97" i="4" s="1"/>
  <c r="W98" i="4" s="1"/>
  <c r="W99" i="4" s="1"/>
  <c r="W100" i="4" s="1"/>
  <c r="W101" i="4" s="1"/>
  <c r="W102" i="4" s="1"/>
  <c r="W103" i="4" s="1"/>
  <c r="W104" i="4" s="1"/>
  <c r="W105" i="4" s="1"/>
  <c r="X94" i="4" s="1"/>
  <c r="X95" i="4" s="1"/>
  <c r="X96" i="4" s="1"/>
  <c r="X97" i="4" s="1"/>
  <c r="X98" i="4" s="1"/>
  <c r="X99" i="4" s="1"/>
  <c r="X100" i="4" s="1"/>
  <c r="X101" i="4" s="1"/>
  <c r="X102" i="4" s="1"/>
  <c r="X103" i="4" s="1"/>
  <c r="X104" i="4" s="1"/>
  <c r="X105" i="4" s="1"/>
  <c r="Y94" i="4" s="1"/>
  <c r="Y95" i="4" s="1"/>
  <c r="Y96" i="4" s="1"/>
  <c r="Y97" i="4" s="1"/>
  <c r="Y98" i="4" s="1"/>
  <c r="Y99" i="4" s="1"/>
  <c r="Y100" i="4" s="1"/>
  <c r="Y101" i="4" s="1"/>
  <c r="Y102" i="4" s="1"/>
  <c r="Y103" i="4" s="1"/>
  <c r="Y104" i="4" s="1"/>
  <c r="Y105" i="4" s="1"/>
  <c r="Z94" i="4" s="1"/>
  <c r="Z95" i="4" s="1"/>
  <c r="Z96" i="4" s="1"/>
  <c r="Z97" i="4" s="1"/>
  <c r="Z98" i="4" s="1"/>
  <c r="Z99" i="4" s="1"/>
  <c r="Z100" i="4" s="1"/>
  <c r="Z101" i="4" s="1"/>
  <c r="Z102" i="4" s="1"/>
  <c r="Z103" i="4" s="1"/>
  <c r="Z104" i="4" s="1"/>
  <c r="Z105" i="4" s="1"/>
  <c r="AA94" i="4" s="1"/>
  <c r="AA95" i="4" s="1"/>
  <c r="AA96" i="4" s="1"/>
  <c r="AA97" i="4" s="1"/>
  <c r="AA98" i="4" s="1"/>
  <c r="AA99" i="4" s="1"/>
  <c r="AA100" i="4" s="1"/>
  <c r="AA101" i="4" s="1"/>
  <c r="AA102" i="4" s="1"/>
  <c r="AA103" i="4" s="1"/>
  <c r="AA104" i="4" s="1"/>
  <c r="AA105" i="4" s="1"/>
  <c r="AB94" i="4" s="1"/>
  <c r="AB95" i="4" s="1"/>
  <c r="AB96" i="4" s="1"/>
  <c r="AB97" i="4" s="1"/>
  <c r="AB98" i="4" s="1"/>
  <c r="AB99" i="4" s="1"/>
  <c r="AB100" i="4" s="1"/>
  <c r="AB101" i="4" s="1"/>
  <c r="AB102" i="4" s="1"/>
  <c r="AB103" i="4" s="1"/>
  <c r="AB104" i="4" s="1"/>
  <c r="AB105" i="4" s="1"/>
  <c r="Q47" i="4"/>
  <c r="Q48" i="4" s="1"/>
  <c r="R37" i="4" s="1"/>
  <c r="R38" i="4" s="1"/>
  <c r="R39" i="4" s="1"/>
  <c r="R40" i="4" s="1"/>
  <c r="R41" i="4" s="1"/>
  <c r="R42" i="4" s="1"/>
  <c r="R43" i="4" s="1"/>
  <c r="R44" i="4" s="1"/>
  <c r="R45" i="4" s="1"/>
  <c r="R46" i="4" s="1"/>
  <c r="R47" i="4" s="1"/>
  <c r="R48" i="4" s="1"/>
  <c r="S37" i="4" s="1"/>
  <c r="S38" i="4" s="1"/>
  <c r="S39" i="4" s="1"/>
  <c r="S40" i="4" s="1"/>
  <c r="S41" i="4" s="1"/>
  <c r="S42" i="4" s="1"/>
  <c r="S43" i="4" s="1"/>
  <c r="S44" i="4" s="1"/>
  <c r="S45" i="4" s="1"/>
  <c r="S46" i="4" s="1"/>
  <c r="S47" i="4" s="1"/>
  <c r="S48" i="4" s="1"/>
  <c r="T37" i="4" s="1"/>
  <c r="T38" i="4" s="1"/>
  <c r="T39" i="4" s="1"/>
  <c r="T40" i="4" s="1"/>
  <c r="T41" i="4" s="1"/>
  <c r="T42" i="4" s="1"/>
  <c r="T43" i="4" s="1"/>
  <c r="T44" i="4" s="1"/>
  <c r="T45" i="4" s="1"/>
  <c r="T46" i="4" s="1"/>
  <c r="T47" i="4" s="1"/>
  <c r="T48" i="4" s="1"/>
  <c r="U37" i="4" s="1"/>
  <c r="U38" i="4" s="1"/>
  <c r="U39" i="4" s="1"/>
  <c r="U40" i="4" s="1"/>
  <c r="U41" i="4" s="1"/>
  <c r="U42" i="4" s="1"/>
  <c r="U43" i="4" s="1"/>
  <c r="U44" i="4" s="1"/>
  <c r="U45" i="4" s="1"/>
  <c r="U46" i="4" s="1"/>
  <c r="U47" i="4" s="1"/>
  <c r="U48" i="4" s="1"/>
  <c r="V37" i="4" s="1"/>
  <c r="V38" i="4" s="1"/>
  <c r="V39" i="4" s="1"/>
  <c r="V40" i="4" s="1"/>
  <c r="V41" i="4" s="1"/>
  <c r="V42" i="4" s="1"/>
  <c r="V43" i="4" s="1"/>
  <c r="V44" i="4" s="1"/>
  <c r="V45" i="4" s="1"/>
  <c r="V46" i="4" s="1"/>
  <c r="V47" i="4" s="1"/>
  <c r="V48" i="4" s="1"/>
  <c r="W37" i="4" s="1"/>
  <c r="W38" i="4" s="1"/>
  <c r="W39" i="4" s="1"/>
  <c r="W40" i="4" s="1"/>
  <c r="W41" i="4" s="1"/>
  <c r="W42" i="4" s="1"/>
  <c r="W43" i="4" s="1"/>
  <c r="W44" i="4" s="1"/>
  <c r="W45" i="4" s="1"/>
  <c r="W46" i="4" s="1"/>
  <c r="W47" i="4" s="1"/>
  <c r="W48" i="4" s="1"/>
  <c r="O117" i="4"/>
  <c r="O118" i="4" s="1"/>
  <c r="O119" i="4" s="1"/>
  <c r="O120" i="4" s="1"/>
  <c r="O121" i="4" s="1"/>
  <c r="O122" i="4" s="1"/>
  <c r="O123" i="4" s="1"/>
  <c r="O124" i="4" s="1"/>
  <c r="P113" i="4" s="1"/>
  <c r="P114" i="4" s="1"/>
  <c r="P115" i="4" s="1"/>
  <c r="P116" i="4" s="1"/>
  <c r="P117" i="4" s="1"/>
  <c r="P118" i="4" s="1"/>
  <c r="P119" i="4" s="1"/>
  <c r="P120" i="4" s="1"/>
  <c r="P121" i="4" s="1"/>
  <c r="P122" i="4" s="1"/>
  <c r="P123" i="4" s="1"/>
  <c r="P124" i="4" s="1"/>
  <c r="Q113" i="4" s="1"/>
  <c r="Q114" i="4" s="1"/>
  <c r="Q115" i="4" s="1"/>
  <c r="Q116" i="4" s="1"/>
  <c r="Q117" i="4" s="1"/>
  <c r="Q118" i="4" s="1"/>
  <c r="Q119" i="4" s="1"/>
  <c r="Q120" i="4" s="1"/>
  <c r="Q121" i="4" s="1"/>
  <c r="Q122" i="4" s="1"/>
  <c r="Q123" i="4" s="1"/>
  <c r="Q124" i="4" s="1"/>
  <c r="R113" i="4" s="1"/>
  <c r="R114" i="4" s="1"/>
  <c r="R115" i="4" s="1"/>
  <c r="R116" i="4" s="1"/>
  <c r="R117" i="4" s="1"/>
  <c r="R118" i="4" s="1"/>
  <c r="R119" i="4" s="1"/>
  <c r="R120" i="4" s="1"/>
  <c r="R121" i="4" s="1"/>
  <c r="R122" i="4" s="1"/>
  <c r="R123" i="4" s="1"/>
  <c r="R124" i="4" s="1"/>
  <c r="S113" i="4" s="1"/>
  <c r="S114" i="4" s="1"/>
  <c r="S115" i="4" s="1"/>
  <c r="S116" i="4" s="1"/>
  <c r="S117" i="4" s="1"/>
  <c r="S118" i="4" s="1"/>
  <c r="S119" i="4" s="1"/>
  <c r="S120" i="4" s="1"/>
  <c r="S121" i="4" s="1"/>
  <c r="S122" i="4" s="1"/>
  <c r="S123" i="4" s="1"/>
  <c r="S124" i="4" s="1"/>
  <c r="T113" i="4" s="1"/>
  <c r="T114" i="4" s="1"/>
  <c r="T115" i="4" s="1"/>
  <c r="T116" i="4" s="1"/>
  <c r="T117" i="4" s="1"/>
  <c r="T118" i="4" s="1"/>
  <c r="T119" i="4" s="1"/>
  <c r="T120" i="4" s="1"/>
  <c r="T121" i="4" s="1"/>
  <c r="T122" i="4" s="1"/>
  <c r="T123" i="4" s="1"/>
  <c r="T124" i="4" s="1"/>
  <c r="U113" i="4" s="1"/>
  <c r="U114" i="4" s="1"/>
  <c r="U115" i="4" s="1"/>
  <c r="U116" i="4" s="1"/>
  <c r="U117" i="4" s="1"/>
  <c r="U118" i="4" s="1"/>
  <c r="U119" i="4" s="1"/>
  <c r="U120" i="4" s="1"/>
  <c r="U121" i="4" s="1"/>
  <c r="U122" i="4" s="1"/>
  <c r="U123" i="4" s="1"/>
  <c r="U124" i="4" s="1"/>
  <c r="V113" i="4" s="1"/>
  <c r="V114" i="4" s="1"/>
  <c r="V115" i="4" s="1"/>
  <c r="V116" i="4" s="1"/>
  <c r="V117" i="4" s="1"/>
  <c r="V118" i="4" s="1"/>
  <c r="V119" i="4" s="1"/>
  <c r="V120" i="4" s="1"/>
  <c r="V121" i="4" s="1"/>
  <c r="V122" i="4" s="1"/>
  <c r="V123" i="4" s="1"/>
  <c r="V124" i="4" s="1"/>
  <c r="W113" i="4" s="1"/>
  <c r="W114" i="4" s="1"/>
  <c r="W115" i="4" s="1"/>
  <c r="W116" i="4" s="1"/>
  <c r="W117" i="4" s="1"/>
  <c r="W118" i="4" s="1"/>
  <c r="W119" i="4" s="1"/>
  <c r="W120" i="4" s="1"/>
  <c r="W121" i="4" s="1"/>
  <c r="W122" i="4" s="1"/>
  <c r="W123" i="4" s="1"/>
  <c r="W124" i="4" s="1"/>
  <c r="X113" i="4" s="1"/>
  <c r="X114" i="4" s="1"/>
  <c r="X115" i="4" s="1"/>
  <c r="X116" i="4" s="1"/>
  <c r="X117" i="4" s="1"/>
  <c r="X118" i="4" s="1"/>
  <c r="X119" i="4" s="1"/>
  <c r="X120" i="4" s="1"/>
  <c r="X121" i="4" s="1"/>
  <c r="X122" i="4" s="1"/>
  <c r="X123" i="4" s="1"/>
  <c r="X124" i="4" s="1"/>
  <c r="Y113" i="4" s="1"/>
  <c r="Y114" i="4" s="1"/>
  <c r="Y115" i="4" s="1"/>
  <c r="Y116" i="4" s="1"/>
  <c r="Y117" i="4" s="1"/>
  <c r="Y118" i="4" s="1"/>
  <c r="Y119" i="4" s="1"/>
  <c r="Y120" i="4" s="1"/>
  <c r="Y121" i="4" s="1"/>
  <c r="Y122" i="4" s="1"/>
  <c r="Y123" i="4" s="1"/>
  <c r="Y124" i="4" s="1"/>
  <c r="Z113" i="4" s="1"/>
  <c r="Z114" i="4" s="1"/>
  <c r="Z115" i="4" s="1"/>
  <c r="Z116" i="4" s="1"/>
  <c r="Z117" i="4" s="1"/>
  <c r="Z118" i="4" s="1"/>
  <c r="Z119" i="4" s="1"/>
  <c r="Z120" i="4" s="1"/>
  <c r="Z121" i="4" s="1"/>
  <c r="Z122" i="4" s="1"/>
  <c r="Z123" i="4" s="1"/>
  <c r="Z124" i="4" s="1"/>
  <c r="AA113" i="4" s="1"/>
  <c r="AA114" i="4" s="1"/>
  <c r="AA115" i="4" s="1"/>
  <c r="AA116" i="4" s="1"/>
  <c r="AA117" i="4" s="1"/>
  <c r="AA118" i="4" s="1"/>
  <c r="AA119" i="4" s="1"/>
  <c r="AA120" i="4" s="1"/>
  <c r="AA121" i="4" s="1"/>
  <c r="AA122" i="4" s="1"/>
  <c r="AA123" i="4" s="1"/>
  <c r="AA124" i="4" s="1"/>
  <c r="AB113" i="4" s="1"/>
  <c r="AB114" i="4" s="1"/>
  <c r="AB115" i="4" s="1"/>
  <c r="AB116" i="4" s="1"/>
  <c r="AB117" i="4" s="1"/>
  <c r="AB118" i="4" s="1"/>
  <c r="AB119" i="4" s="1"/>
  <c r="AB120" i="4" s="1"/>
  <c r="AB121" i="4" s="1"/>
  <c r="AB122" i="4" s="1"/>
  <c r="AB123" i="4" s="1"/>
  <c r="AB124" i="4" s="1"/>
  <c r="BG30" i="2"/>
  <c r="BG31" i="2" s="1"/>
  <c r="AB30" i="2"/>
  <c r="AB31" i="2" s="1"/>
  <c r="BG29" i="3"/>
  <c r="BG30" i="3" s="1"/>
  <c r="BG31" i="3" s="1"/>
  <c r="AB29" i="4"/>
  <c r="AB30" i="4" s="1"/>
  <c r="AB31" i="4" s="1"/>
  <c r="BG29" i="4"/>
  <c r="BG30" i="4" s="1"/>
  <c r="BG31" i="4" s="1"/>
  <c r="AB29" i="5"/>
  <c r="AB30" i="5" s="1"/>
  <c r="AB31" i="5" s="1"/>
  <c r="BG29" i="5"/>
  <c r="BG30" i="5" s="1"/>
  <c r="BG31" i="5" s="1"/>
  <c r="G48" i="3"/>
  <c r="H37" i="3" s="1"/>
  <c r="H38" i="3" s="1"/>
  <c r="H39" i="3" s="1"/>
  <c r="H40" i="3" s="1"/>
  <c r="H41" i="3" s="1"/>
  <c r="H42" i="3" s="1"/>
  <c r="H43" i="3" s="1"/>
  <c r="H44" i="3" s="1"/>
  <c r="H45" i="3" s="1"/>
  <c r="H46" i="3" s="1"/>
  <c r="H47" i="3" s="1"/>
  <c r="H48" i="3" s="1"/>
  <c r="I37" i="3" s="1"/>
  <c r="I38" i="3" s="1"/>
  <c r="I39" i="3" s="1"/>
  <c r="I40" i="3" s="1"/>
  <c r="I41" i="3" s="1"/>
  <c r="I42" i="3" s="1"/>
  <c r="I43" i="3" s="1"/>
  <c r="I44" i="3" s="1"/>
  <c r="I45" i="3" s="1"/>
  <c r="I46" i="3" s="1"/>
  <c r="I47" i="3" s="1"/>
  <c r="I48" i="3" s="1"/>
  <c r="J37" i="3" s="1"/>
  <c r="J38" i="3" s="1"/>
  <c r="J39" i="3" s="1"/>
  <c r="J40" i="3" s="1"/>
  <c r="J41" i="3" s="1"/>
  <c r="G66" i="3"/>
  <c r="G67" i="3" s="1"/>
  <c r="H56" i="3" s="1"/>
  <c r="H57" i="3" s="1"/>
  <c r="H58" i="3" s="1"/>
  <c r="H59" i="3" s="1"/>
  <c r="H60" i="3" s="1"/>
  <c r="H61" i="3" s="1"/>
  <c r="H62" i="3" s="1"/>
  <c r="H63" i="3" s="1"/>
  <c r="H64" i="3" s="1"/>
  <c r="H65" i="3" s="1"/>
  <c r="H66" i="3" s="1"/>
  <c r="H67" i="3" s="1"/>
  <c r="I56" i="3" s="1"/>
  <c r="I57" i="3" s="1"/>
  <c r="I58" i="3" s="1"/>
  <c r="I59" i="3" s="1"/>
  <c r="I60" i="3" s="1"/>
  <c r="I61" i="3" s="1"/>
  <c r="I62" i="3" s="1"/>
  <c r="I63" i="3" s="1"/>
  <c r="I64" i="3" s="1"/>
  <c r="I65" i="3" s="1"/>
  <c r="I66" i="3" s="1"/>
  <c r="I67" i="3" s="1"/>
  <c r="J56" i="3" s="1"/>
  <c r="J57" i="3" s="1"/>
  <c r="G85" i="3"/>
  <c r="G86" i="3" s="1"/>
  <c r="H75" i="3" s="1"/>
  <c r="H76" i="3" s="1"/>
  <c r="H77" i="3" s="1"/>
  <c r="H78" i="3" s="1"/>
  <c r="H79" i="3" s="1"/>
  <c r="H80" i="3" s="1"/>
  <c r="H81" i="3" s="1"/>
  <c r="H82" i="3" s="1"/>
  <c r="H83" i="3" s="1"/>
  <c r="H84" i="3" s="1"/>
  <c r="H85" i="3" s="1"/>
  <c r="H86" i="3" s="1"/>
  <c r="I75" i="3" s="1"/>
  <c r="I76" i="3" s="1"/>
  <c r="I77" i="3" s="1"/>
  <c r="I78" i="3" s="1"/>
  <c r="I79" i="3" s="1"/>
  <c r="I80" i="3" s="1"/>
  <c r="I81" i="3" s="1"/>
  <c r="I82" i="3" s="1"/>
  <c r="I83" i="3" s="1"/>
  <c r="I84" i="3" s="1"/>
  <c r="I85" i="3" s="1"/>
  <c r="I86" i="3" s="1"/>
  <c r="G103" i="3"/>
  <c r="G104" i="3" s="1"/>
  <c r="G105" i="3" s="1"/>
  <c r="H94" i="3" s="1"/>
  <c r="H95" i="3" s="1"/>
  <c r="H96" i="3" s="1"/>
  <c r="H97" i="3" s="1"/>
  <c r="H98" i="3" s="1"/>
  <c r="H99" i="3" s="1"/>
  <c r="H100" i="3" s="1"/>
  <c r="H101" i="3" s="1"/>
  <c r="H102" i="3" s="1"/>
  <c r="H103" i="3" s="1"/>
  <c r="H104" i="3" s="1"/>
  <c r="H105" i="3" s="1"/>
  <c r="I94" i="3" s="1"/>
  <c r="I95" i="3" s="1"/>
  <c r="I96" i="3" s="1"/>
  <c r="I97" i="3" s="1"/>
  <c r="I98" i="3" s="1"/>
  <c r="I99" i="3" s="1"/>
  <c r="I100" i="3" s="1"/>
  <c r="I101" i="3" s="1"/>
  <c r="I102" i="3" s="1"/>
  <c r="I103" i="3" s="1"/>
  <c r="I104" i="3" s="1"/>
  <c r="G121" i="3"/>
  <c r="G122" i="3" s="1"/>
  <c r="G123" i="3" s="1"/>
  <c r="G124" i="3" s="1"/>
  <c r="H113" i="3" s="1"/>
  <c r="H114" i="3" s="1"/>
  <c r="H115" i="3" s="1"/>
  <c r="H116" i="3" s="1"/>
  <c r="H117" i="3" s="1"/>
  <c r="H118" i="3" s="1"/>
  <c r="H119" i="3" s="1"/>
  <c r="H120" i="3" s="1"/>
  <c r="H121" i="3" s="1"/>
  <c r="H122" i="3" s="1"/>
  <c r="H123" i="3" s="1"/>
  <c r="H124" i="3" s="1"/>
  <c r="I113" i="3" s="1"/>
  <c r="I114" i="3" s="1"/>
  <c r="I115" i="3" s="1"/>
  <c r="I116" i="3" s="1"/>
  <c r="I117" i="3" s="1"/>
  <c r="I118" i="3" s="1"/>
  <c r="I119" i="3" s="1"/>
  <c r="I120" i="3" s="1"/>
  <c r="I121" i="3" s="1"/>
  <c r="G158" i="3"/>
  <c r="G159" i="3" s="1"/>
  <c r="G160" i="3" s="1"/>
  <c r="G161" i="3" s="1"/>
  <c r="G162" i="3" s="1"/>
  <c r="H151" i="3" s="1"/>
  <c r="H152" i="3" s="1"/>
  <c r="H153" i="3" s="1"/>
  <c r="H154" i="3" s="1"/>
  <c r="H155" i="3" s="1"/>
  <c r="H156" i="3" s="1"/>
  <c r="H157" i="3" s="1"/>
  <c r="H158" i="3" s="1"/>
  <c r="H159" i="3" s="1"/>
  <c r="H160" i="3" s="1"/>
  <c r="H161" i="3" s="1"/>
  <c r="H162" i="3" s="1"/>
  <c r="I151" i="3" s="1"/>
  <c r="I152" i="3" s="1"/>
  <c r="I153" i="3" s="1"/>
  <c r="I154" i="3" s="1"/>
  <c r="I155" i="3" s="1"/>
  <c r="I156" i="3" s="1"/>
  <c r="G139" i="3"/>
  <c r="G140" i="3" s="1"/>
  <c r="G141" i="3" s="1"/>
  <c r="G142" i="3" s="1"/>
  <c r="G143" i="3" s="1"/>
  <c r="H132" i="3" s="1"/>
  <c r="H133" i="3" s="1"/>
  <c r="H134" i="3" s="1"/>
  <c r="H135" i="3" s="1"/>
  <c r="H136" i="3" s="1"/>
  <c r="H137" i="3" s="1"/>
  <c r="H138" i="3" s="1"/>
  <c r="H139" i="3" s="1"/>
  <c r="H140" i="3" s="1"/>
  <c r="H141" i="3" s="1"/>
  <c r="H142" i="3" s="1"/>
  <c r="H143" i="3" s="1"/>
  <c r="I132" i="3" s="1"/>
  <c r="I133" i="3" s="1"/>
  <c r="I134" i="3" s="1"/>
  <c r="I135" i="3" s="1"/>
  <c r="I136" i="3" s="1"/>
  <c r="I137" i="3" s="1"/>
  <c r="I138" i="3" s="1"/>
  <c r="H18" i="3"/>
  <c r="H19" i="3" s="1"/>
  <c r="H20" i="3" s="1"/>
  <c r="H21" i="3" s="1"/>
  <c r="H22" i="3" s="1"/>
  <c r="H23" i="3" s="1"/>
  <c r="H24" i="3" s="1"/>
  <c r="H25" i="3" s="1"/>
  <c r="H26" i="3" s="1"/>
  <c r="I15" i="3" s="1"/>
  <c r="I16" i="3" s="1"/>
  <c r="I17" i="3" s="1"/>
  <c r="I18" i="3" s="1"/>
  <c r="I19" i="3" s="1"/>
  <c r="I20" i="3" s="1"/>
  <c r="I21" i="3" s="1"/>
  <c r="I22" i="3" s="1"/>
  <c r="I23" i="3" s="1"/>
  <c r="I24" i="3" s="1"/>
  <c r="I25" i="3" s="1"/>
  <c r="I26" i="3" s="1"/>
  <c r="J15" i="3" s="1"/>
  <c r="J16" i="3" s="1"/>
  <c r="J17" i="3" s="1"/>
  <c r="J18" i="3" s="1"/>
  <c r="J19" i="3" s="1"/>
  <c r="J20" i="3" s="1"/>
  <c r="J21" i="3" s="1"/>
  <c r="J22" i="3" s="1"/>
  <c r="J23" i="3" s="1"/>
  <c r="J24" i="3" s="1"/>
  <c r="J25" i="3" s="1"/>
  <c r="J26" i="3" s="1"/>
  <c r="K15" i="3" s="1"/>
  <c r="K16" i="3" s="1"/>
  <c r="K17" i="3" s="1"/>
  <c r="K18" i="3" s="1"/>
  <c r="M75" i="1"/>
  <c r="M76" i="1" s="1"/>
  <c r="M77" i="1" s="1"/>
  <c r="M78" i="1" s="1"/>
  <c r="M79" i="1" s="1"/>
  <c r="M80" i="1" s="1"/>
  <c r="M81" i="1" s="1"/>
  <c r="M82" i="1" s="1"/>
  <c r="M83" i="1" s="1"/>
  <c r="M84" i="1" s="1"/>
  <c r="M85" i="1" s="1"/>
  <c r="M86" i="1" s="1"/>
  <c r="N75" i="1" s="1"/>
  <c r="N76" i="1" s="1"/>
  <c r="N77" i="1" s="1"/>
  <c r="N78" i="1" s="1"/>
  <c r="N79" i="1" s="1"/>
  <c r="N80" i="1" s="1"/>
  <c r="N81" i="1" s="1"/>
  <c r="N82" i="1" s="1"/>
  <c r="N83" i="1" s="1"/>
  <c r="N84" i="1" s="1"/>
  <c r="N85" i="1" s="1"/>
  <c r="N86" i="1" s="1"/>
  <c r="O75" i="1" s="1"/>
  <c r="O76" i="1" s="1"/>
  <c r="O77" i="1" s="1"/>
  <c r="O78" i="1" s="1"/>
  <c r="O79" i="1" s="1"/>
  <c r="O80" i="1" s="1"/>
  <c r="O81" i="1" s="1"/>
  <c r="O82" i="1" s="1"/>
  <c r="O83" i="1" s="1"/>
  <c r="O84" i="1" s="1"/>
  <c r="O85" i="1" s="1"/>
  <c r="O86" i="1" s="1"/>
  <c r="P75" i="1" s="1"/>
  <c r="P76" i="1" s="1"/>
  <c r="P77" i="1" s="1"/>
  <c r="P78" i="1" s="1"/>
  <c r="P79" i="1" s="1"/>
  <c r="P80" i="1" s="1"/>
  <c r="P81" i="1" s="1"/>
  <c r="P82" i="1" s="1"/>
  <c r="P83" i="1" s="1"/>
  <c r="P84" i="1" s="1"/>
  <c r="P85" i="1" s="1"/>
  <c r="P86" i="1" s="1"/>
  <c r="Q75" i="1" s="1"/>
  <c r="Q76" i="1" s="1"/>
  <c r="Q77" i="1" s="1"/>
  <c r="Q78" i="1" s="1"/>
  <c r="Q79" i="1" s="1"/>
  <c r="Q80" i="1" s="1"/>
  <c r="Q81" i="1" s="1"/>
  <c r="Q82" i="1" s="1"/>
  <c r="Q83" i="1" s="1"/>
  <c r="Q84" i="1" s="1"/>
  <c r="Q85" i="1" s="1"/>
  <c r="Q86" i="1" s="1"/>
  <c r="R75" i="1" s="1"/>
  <c r="R76" i="1" s="1"/>
  <c r="R77" i="1" s="1"/>
  <c r="R78" i="1" s="1"/>
  <c r="R79" i="1" s="1"/>
  <c r="R80" i="1" s="1"/>
  <c r="R81" i="1" s="1"/>
  <c r="R82" i="1" s="1"/>
  <c r="R83" i="1" s="1"/>
  <c r="R84" i="1" s="1"/>
  <c r="R85" i="1" s="1"/>
  <c r="R86" i="1" s="1"/>
  <c r="S75" i="1" s="1"/>
  <c r="S76" i="1" s="1"/>
  <c r="S77" i="1" s="1"/>
  <c r="S78" i="1" s="1"/>
  <c r="S79" i="1" s="1"/>
  <c r="S80" i="1" s="1"/>
  <c r="S81" i="1" s="1"/>
  <c r="S82" i="1" s="1"/>
  <c r="S83" i="1" s="1"/>
  <c r="S84" i="1" s="1"/>
  <c r="S85" i="1" s="1"/>
  <c r="S86" i="1" s="1"/>
  <c r="T75" i="1" s="1"/>
  <c r="T76" i="1" s="1"/>
  <c r="T77" i="1" s="1"/>
  <c r="T78" i="1" s="1"/>
  <c r="T79" i="1" s="1"/>
  <c r="T80" i="1" s="1"/>
  <c r="T81" i="1" s="1"/>
  <c r="T82" i="1" s="1"/>
  <c r="T83" i="1" s="1"/>
  <c r="T84" i="1" s="1"/>
  <c r="T85" i="1" s="1"/>
  <c r="T86" i="1" s="1"/>
  <c r="U75" i="1" s="1"/>
  <c r="U76" i="1" s="1"/>
  <c r="U77" i="1" s="1"/>
  <c r="U78" i="1" s="1"/>
  <c r="U79" i="1" s="1"/>
  <c r="U80" i="1" s="1"/>
  <c r="U81" i="1" s="1"/>
  <c r="U82" i="1" s="1"/>
  <c r="U83" i="1" s="1"/>
  <c r="U84" i="1" s="1"/>
  <c r="U85" i="1" s="1"/>
  <c r="U86" i="1" s="1"/>
  <c r="V75" i="1" s="1"/>
  <c r="V76" i="1" s="1"/>
  <c r="V77" i="1" s="1"/>
  <c r="V78" i="1" s="1"/>
  <c r="V79" i="1" s="1"/>
  <c r="V80" i="1" s="1"/>
  <c r="V81" i="1" s="1"/>
  <c r="V82" i="1" s="1"/>
  <c r="V83" i="1" s="1"/>
  <c r="V84" i="1" s="1"/>
  <c r="V85" i="1" s="1"/>
  <c r="V86" i="1" s="1"/>
  <c r="W75" i="1" s="1"/>
  <c r="W76" i="1" s="1"/>
  <c r="W77" i="1" s="1"/>
  <c r="W78" i="1" s="1"/>
  <c r="W79" i="1" s="1"/>
  <c r="W80" i="1" s="1"/>
  <c r="W81" i="1" s="1"/>
  <c r="W82" i="1" s="1"/>
  <c r="W83" i="1" s="1"/>
  <c r="W84" i="1" s="1"/>
  <c r="W85" i="1" s="1"/>
  <c r="W86" i="1" s="1"/>
  <c r="F5" i="6" s="1"/>
  <c r="I20" i="2"/>
  <c r="I21" i="2" s="1"/>
  <c r="I22" i="2" s="1"/>
  <c r="I23" i="2" s="1"/>
  <c r="I24" i="2" s="1"/>
  <c r="I25" i="2" s="1"/>
  <c r="I26" i="2" s="1"/>
  <c r="J15" i="2" s="1"/>
  <c r="J16" i="2" s="1"/>
  <c r="J17" i="2" s="1"/>
  <c r="J18" i="2" s="1"/>
  <c r="J19" i="2" s="1"/>
  <c r="J20" i="2" s="1"/>
  <c r="J21" i="2" s="1"/>
  <c r="J22" i="2" s="1"/>
  <c r="J23" i="2" s="1"/>
  <c r="J24" i="2" s="1"/>
  <c r="J25" i="2" s="1"/>
  <c r="J26" i="2" s="1"/>
  <c r="K15" i="2" s="1"/>
  <c r="K16" i="2" s="1"/>
  <c r="K17" i="2" s="1"/>
  <c r="K18" i="2" s="1"/>
  <c r="K19" i="2" s="1"/>
  <c r="K20" i="2" s="1"/>
  <c r="K21" i="2" s="1"/>
  <c r="K22" i="2" s="1"/>
  <c r="K23" i="2" s="1"/>
  <c r="K24" i="2" s="1"/>
  <c r="K25" i="2" s="1"/>
  <c r="K26" i="2" s="1"/>
  <c r="L15" i="2" s="1"/>
  <c r="L16" i="2" s="1"/>
  <c r="L17" i="2" s="1"/>
  <c r="L18" i="2" s="1"/>
  <c r="L19" i="2" s="1"/>
  <c r="L20" i="2" s="1"/>
  <c r="L21" i="2" s="1"/>
  <c r="L22" i="2" s="1"/>
  <c r="L23" i="2" s="1"/>
  <c r="L24" i="2" s="1"/>
  <c r="L25" i="2" s="1"/>
  <c r="L26" i="2" s="1"/>
  <c r="M15" i="2" s="1"/>
  <c r="M16" i="2" s="1"/>
  <c r="M17" i="2" s="1"/>
  <c r="M18" i="2" s="1"/>
  <c r="M19" i="2" s="1"/>
  <c r="M20" i="2" s="1"/>
  <c r="M21" i="2" s="1"/>
  <c r="M22" i="2" s="1"/>
  <c r="M23" i="2" s="1"/>
  <c r="M24" i="2" s="1"/>
  <c r="M25" i="2" s="1"/>
  <c r="M26" i="2" s="1"/>
  <c r="N15" i="2" s="1"/>
  <c r="N16" i="2" s="1"/>
  <c r="N17" i="2" s="1"/>
  <c r="N18" i="2" s="1"/>
  <c r="N19" i="2" s="1"/>
  <c r="N20" i="2" s="1"/>
  <c r="N21" i="2" s="1"/>
  <c r="N22" i="2" s="1"/>
  <c r="N23" i="2" s="1"/>
  <c r="N24" i="2" s="1"/>
  <c r="N25" i="2" s="1"/>
  <c r="N26" i="2" s="1"/>
  <c r="O15" i="2" s="1"/>
  <c r="O16" i="2" s="1"/>
  <c r="O17" i="2" s="1"/>
  <c r="O18" i="2" s="1"/>
  <c r="O19" i="2" s="1"/>
  <c r="O20" i="2" s="1"/>
  <c r="O21" i="2" s="1"/>
  <c r="O22" i="2" s="1"/>
  <c r="O23" i="2" s="1"/>
  <c r="O24" i="2" s="1"/>
  <c r="O25" i="2" s="1"/>
  <c r="O26" i="2" s="1"/>
  <c r="P15" i="2" s="1"/>
  <c r="P16" i="2" s="1"/>
  <c r="P17" i="2" s="1"/>
  <c r="P18" i="2" s="1"/>
  <c r="P19" i="2" s="1"/>
  <c r="P20" i="2" s="1"/>
  <c r="P21" i="2" s="1"/>
  <c r="P22" i="2" s="1"/>
  <c r="P23" i="2" s="1"/>
  <c r="P24" i="2" s="1"/>
  <c r="P25" i="2" s="1"/>
  <c r="P26" i="2" s="1"/>
  <c r="Q15" i="2" s="1"/>
  <c r="Q16" i="2" s="1"/>
  <c r="Q17" i="2" s="1"/>
  <c r="Q18" i="2" s="1"/>
  <c r="Q19" i="2" s="1"/>
  <c r="Q20" i="2" s="1"/>
  <c r="Q21" i="2" s="1"/>
  <c r="Q22" i="2" s="1"/>
  <c r="Q23" i="2" s="1"/>
  <c r="Q24" i="2" s="1"/>
  <c r="Q25" i="2" s="1"/>
  <c r="Q26" i="2" s="1"/>
  <c r="R15" i="2" s="1"/>
  <c r="R16" i="2" s="1"/>
  <c r="R17" i="2" s="1"/>
  <c r="R18" i="2" s="1"/>
  <c r="R19" i="2" s="1"/>
  <c r="R20" i="2" s="1"/>
  <c r="R21" i="2" s="1"/>
  <c r="R22" i="2" s="1"/>
  <c r="R23" i="2" s="1"/>
  <c r="R24" i="2" s="1"/>
  <c r="R25" i="2" s="1"/>
  <c r="R26" i="2" s="1"/>
  <c r="S15" i="2" s="1"/>
  <c r="S16" i="2" s="1"/>
  <c r="S17" i="2" s="1"/>
  <c r="S18" i="2" s="1"/>
  <c r="S19" i="2" s="1"/>
  <c r="S20" i="2" s="1"/>
  <c r="S21" i="2" s="1"/>
  <c r="S22" i="2" s="1"/>
  <c r="S23" i="2" s="1"/>
  <c r="S24" i="2" s="1"/>
  <c r="S25" i="2" s="1"/>
  <c r="S26" i="2" s="1"/>
  <c r="T15" i="2" s="1"/>
  <c r="T16" i="2" s="1"/>
  <c r="T17" i="2" s="1"/>
  <c r="T18" i="2" s="1"/>
  <c r="T19" i="2" s="1"/>
  <c r="T20" i="2" s="1"/>
  <c r="T21" i="2" s="1"/>
  <c r="T22" i="2" s="1"/>
  <c r="T23" i="2" s="1"/>
  <c r="T24" i="2" s="1"/>
  <c r="T25" i="2" s="1"/>
  <c r="T26" i="2" s="1"/>
  <c r="U15" i="2" s="1"/>
  <c r="U16" i="2" s="1"/>
  <c r="U17" i="2" s="1"/>
  <c r="U18" i="2" s="1"/>
  <c r="U19" i="2" s="1"/>
  <c r="U20" i="2" s="1"/>
  <c r="U21" i="2" s="1"/>
  <c r="U22" i="2" s="1"/>
  <c r="U23" i="2" s="1"/>
  <c r="U24" i="2" s="1"/>
  <c r="U25" i="2" s="1"/>
  <c r="U26" i="2" s="1"/>
  <c r="V15" i="2" s="1"/>
  <c r="V16" i="2" s="1"/>
  <c r="V17" i="2" s="1"/>
  <c r="V18" i="2" s="1"/>
  <c r="V19" i="2" s="1"/>
  <c r="V20" i="2" s="1"/>
  <c r="V21" i="2" s="1"/>
  <c r="V22" i="2" s="1"/>
  <c r="V23" i="2" s="1"/>
  <c r="H137" i="2"/>
  <c r="H138" i="2" s="1"/>
  <c r="H139" i="2" s="1"/>
  <c r="H140" i="2" s="1"/>
  <c r="H141" i="2" s="1"/>
  <c r="H142" i="2" s="1"/>
  <c r="H143" i="2" s="1"/>
  <c r="I132" i="2" s="1"/>
  <c r="I133" i="2" s="1"/>
  <c r="I134" i="2" s="1"/>
  <c r="I135" i="2" s="1"/>
  <c r="I136" i="2" s="1"/>
  <c r="I137" i="2" s="1"/>
  <c r="I138" i="2" s="1"/>
  <c r="I139" i="2" s="1"/>
  <c r="I140" i="2" s="1"/>
  <c r="I141" i="2" s="1"/>
  <c r="I142" i="2" s="1"/>
  <c r="I143" i="2" s="1"/>
  <c r="J132" i="2" s="1"/>
  <c r="J133" i="2" s="1"/>
  <c r="J134" i="2" s="1"/>
  <c r="J135" i="2" s="1"/>
  <c r="J136" i="2" s="1"/>
  <c r="J137" i="2" s="1"/>
  <c r="H119" i="2"/>
  <c r="H120" i="2" s="1"/>
  <c r="H121" i="2" s="1"/>
  <c r="H122" i="2" s="1"/>
  <c r="H123" i="2" s="1"/>
  <c r="H124" i="2" s="1"/>
  <c r="I113" i="2" s="1"/>
  <c r="I114" i="2" s="1"/>
  <c r="I115" i="2" s="1"/>
  <c r="I116" i="2" s="1"/>
  <c r="I117" i="2" s="1"/>
  <c r="I118" i="2" s="1"/>
  <c r="I119" i="2" s="1"/>
  <c r="I120" i="2" s="1"/>
  <c r="I121" i="2" s="1"/>
  <c r="I122" i="2" s="1"/>
  <c r="I123" i="2" s="1"/>
  <c r="I124" i="2" s="1"/>
  <c r="J113" i="2" s="1"/>
  <c r="J114" i="2" s="1"/>
  <c r="J115" i="2" s="1"/>
  <c r="J116" i="2" s="1"/>
  <c r="J117" i="2" s="1"/>
  <c r="J118" i="2" s="1"/>
  <c r="J119" i="2" s="1"/>
  <c r="J120" i="2" s="1"/>
  <c r="H155" i="2"/>
  <c r="H156" i="2" s="1"/>
  <c r="H157" i="2" s="1"/>
  <c r="H158" i="2" s="1"/>
  <c r="H159" i="2" s="1"/>
  <c r="H160" i="2" s="1"/>
  <c r="H161" i="2" s="1"/>
  <c r="H162" i="2" s="1"/>
  <c r="I151" i="2" s="1"/>
  <c r="I152" i="2" s="1"/>
  <c r="I153" i="2" s="1"/>
  <c r="I154" i="2" s="1"/>
  <c r="I155" i="2" s="1"/>
  <c r="I156" i="2" s="1"/>
  <c r="I157" i="2" s="1"/>
  <c r="I158" i="2" s="1"/>
  <c r="I159" i="2" s="1"/>
  <c r="I160" i="2" s="1"/>
  <c r="I161" i="2" s="1"/>
  <c r="I162" i="2" s="1"/>
  <c r="J151" i="2" s="1"/>
  <c r="J152" i="2" s="1"/>
  <c r="J153" i="2" s="1"/>
  <c r="J154" i="2" s="1"/>
  <c r="H101" i="2"/>
  <c r="H102" i="2" s="1"/>
  <c r="H103" i="2" s="1"/>
  <c r="H104" i="2" s="1"/>
  <c r="H105" i="2" s="1"/>
  <c r="I94" i="2" s="1"/>
  <c r="I95" i="2" s="1"/>
  <c r="I96" i="2" s="1"/>
  <c r="I97" i="2" s="1"/>
  <c r="I98" i="2" s="1"/>
  <c r="I99" i="2" s="1"/>
  <c r="I100" i="2" s="1"/>
  <c r="I101" i="2" s="1"/>
  <c r="I102" i="2" s="1"/>
  <c r="I103" i="2" s="1"/>
  <c r="I104" i="2" s="1"/>
  <c r="I105" i="2" s="1"/>
  <c r="J94" i="2" s="1"/>
  <c r="J95" i="2" s="1"/>
  <c r="J96" i="2" s="1"/>
  <c r="J97" i="2" s="1"/>
  <c r="J98" i="2" s="1"/>
  <c r="J99" i="2" s="1"/>
  <c r="J100" i="2" s="1"/>
  <c r="J101" i="2" s="1"/>
  <c r="J102" i="2" s="1"/>
  <c r="J103" i="2" s="1"/>
  <c r="H65" i="2"/>
  <c r="H66" i="2" s="1"/>
  <c r="H67" i="2" s="1"/>
  <c r="I56" i="2" s="1"/>
  <c r="I57" i="2" s="1"/>
  <c r="I58" i="2" s="1"/>
  <c r="I59" i="2" s="1"/>
  <c r="I60" i="2" s="1"/>
  <c r="I61" i="2" s="1"/>
  <c r="I62" i="2" s="1"/>
  <c r="I63" i="2" s="1"/>
  <c r="I64" i="2" s="1"/>
  <c r="I65" i="2" s="1"/>
  <c r="I66" i="2" s="1"/>
  <c r="I67" i="2" s="1"/>
  <c r="J56" i="2" s="1"/>
  <c r="J57" i="2" s="1"/>
  <c r="J58" i="2" s="1"/>
  <c r="J59" i="2" s="1"/>
  <c r="J60" i="2" s="1"/>
  <c r="J61" i="2" s="1"/>
  <c r="J62" i="2" s="1"/>
  <c r="J63" i="2" s="1"/>
  <c r="J64" i="2" s="1"/>
  <c r="J65" i="2" s="1"/>
  <c r="J66" i="2" s="1"/>
  <c r="J67" i="2" s="1"/>
  <c r="K56" i="2" s="1"/>
  <c r="K57" i="2" s="1"/>
  <c r="K58" i="2" s="1"/>
  <c r="K59" i="2" s="1"/>
  <c r="H37" i="2"/>
  <c r="H38" i="2" s="1"/>
  <c r="H39" i="2" s="1"/>
  <c r="H40" i="2" s="1"/>
  <c r="H41" i="2" s="1"/>
  <c r="H42" i="2" s="1"/>
  <c r="H43" i="2" s="1"/>
  <c r="H44" i="2" s="1"/>
  <c r="H45" i="2" s="1"/>
  <c r="H46" i="2" s="1"/>
  <c r="H47" i="2" s="1"/>
  <c r="H48" i="2" s="1"/>
  <c r="I37" i="2" s="1"/>
  <c r="I38" i="2" s="1"/>
  <c r="I39" i="2" s="1"/>
  <c r="I40" i="2" s="1"/>
  <c r="I41" i="2" s="1"/>
  <c r="I42" i="2" s="1"/>
  <c r="I43" i="2" s="1"/>
  <c r="I44" i="2" s="1"/>
  <c r="I45" i="2" s="1"/>
  <c r="I46" i="2" s="1"/>
  <c r="I47" i="2" s="1"/>
  <c r="I48" i="2" s="1"/>
  <c r="J37" i="2" s="1"/>
  <c r="J38" i="2" s="1"/>
  <c r="J39" i="2" s="1"/>
  <c r="J40" i="2" s="1"/>
  <c r="J41" i="2" s="1"/>
  <c r="J42" i="2" s="1"/>
  <c r="J43" i="2" s="1"/>
  <c r="J44" i="2" s="1"/>
  <c r="J45" i="2" s="1"/>
  <c r="J46" i="2" s="1"/>
  <c r="J47" i="2" s="1"/>
  <c r="J48" i="2" s="1"/>
  <c r="K37" i="2" s="1"/>
  <c r="K38" i="2" s="1"/>
  <c r="K39" i="2" s="1"/>
  <c r="K40" i="2" s="1"/>
  <c r="K41" i="2" s="1"/>
  <c r="K42" i="2" s="1"/>
  <c r="K43" i="2" s="1"/>
  <c r="M59" i="1"/>
  <c r="M60" i="1" s="1"/>
  <c r="M61" i="1" s="1"/>
  <c r="M62" i="1" s="1"/>
  <c r="M63" i="1" s="1"/>
  <c r="M64" i="1" s="1"/>
  <c r="M65" i="1" s="1"/>
  <c r="M66" i="1" s="1"/>
  <c r="M67" i="1" s="1"/>
  <c r="N56" i="1" s="1"/>
  <c r="N57" i="1" s="1"/>
  <c r="N58" i="1" s="1"/>
  <c r="N59" i="1" s="1"/>
  <c r="N60" i="1" s="1"/>
  <c r="N61" i="1" s="1"/>
  <c r="N62" i="1" s="1"/>
  <c r="N63" i="1" s="1"/>
  <c r="N64" i="1" s="1"/>
  <c r="N65" i="1" s="1"/>
  <c r="N66" i="1" s="1"/>
  <c r="N67" i="1" s="1"/>
  <c r="O56" i="1" s="1"/>
  <c r="O57" i="1" s="1"/>
  <c r="O58" i="1" s="1"/>
  <c r="O59" i="1" s="1"/>
  <c r="O60" i="1" s="1"/>
  <c r="O61" i="1" s="1"/>
  <c r="O62" i="1" s="1"/>
  <c r="O63" i="1" s="1"/>
  <c r="O64" i="1" s="1"/>
  <c r="O65" i="1" s="1"/>
  <c r="O66" i="1" s="1"/>
  <c r="O67" i="1" s="1"/>
  <c r="P56" i="1" s="1"/>
  <c r="P57" i="1" s="1"/>
  <c r="P58" i="1" s="1"/>
  <c r="P59" i="1" s="1"/>
  <c r="P60" i="1" s="1"/>
  <c r="P61" i="1" s="1"/>
  <c r="P62" i="1" s="1"/>
  <c r="P63" i="1" s="1"/>
  <c r="P64" i="1" s="1"/>
  <c r="P65" i="1" s="1"/>
  <c r="P66" i="1" s="1"/>
  <c r="P67" i="1" s="1"/>
  <c r="Q56" i="1" s="1"/>
  <c r="Q57" i="1" s="1"/>
  <c r="Q58" i="1" s="1"/>
  <c r="Q59" i="1" s="1"/>
  <c r="Q60" i="1" s="1"/>
  <c r="Q61" i="1" s="1"/>
  <c r="Q62" i="1" s="1"/>
  <c r="Q63" i="1" s="1"/>
  <c r="Q64" i="1" s="1"/>
  <c r="Q65" i="1" s="1"/>
  <c r="Q66" i="1" s="1"/>
  <c r="Q67" i="1" s="1"/>
  <c r="R56" i="1" s="1"/>
  <c r="R57" i="1" s="1"/>
  <c r="R58" i="1" s="1"/>
  <c r="R59" i="1" s="1"/>
  <c r="R60" i="1" s="1"/>
  <c r="R61" i="1" s="1"/>
  <c r="R62" i="1" s="1"/>
  <c r="R63" i="1" s="1"/>
  <c r="R64" i="1" s="1"/>
  <c r="R65" i="1" s="1"/>
  <c r="R66" i="1" s="1"/>
  <c r="R67" i="1" s="1"/>
  <c r="S56" i="1" s="1"/>
  <c r="S57" i="1" s="1"/>
  <c r="S58" i="1" s="1"/>
  <c r="S59" i="1" s="1"/>
  <c r="S60" i="1" s="1"/>
  <c r="S61" i="1" s="1"/>
  <c r="S62" i="1" s="1"/>
  <c r="M40" i="1"/>
  <c r="M41" i="1" s="1"/>
  <c r="M42" i="1" s="1"/>
  <c r="M43" i="1" s="1"/>
  <c r="M44" i="1" s="1"/>
  <c r="M45" i="1" s="1"/>
  <c r="M46" i="1" s="1"/>
  <c r="M47" i="1" s="1"/>
  <c r="M48" i="1" s="1"/>
  <c r="N37" i="1" s="1"/>
  <c r="N38" i="1" s="1"/>
  <c r="N39" i="1" s="1"/>
  <c r="N40" i="1" s="1"/>
  <c r="N41" i="1" s="1"/>
  <c r="N42" i="1" s="1"/>
  <c r="N43" i="1" s="1"/>
  <c r="N44" i="1" s="1"/>
  <c r="N45" i="1" s="1"/>
  <c r="N46" i="1" s="1"/>
  <c r="N47" i="1" s="1"/>
  <c r="N48" i="1" s="1"/>
  <c r="O37" i="1" s="1"/>
  <c r="O38" i="1" s="1"/>
  <c r="O39" i="1" s="1"/>
  <c r="O40" i="1" s="1"/>
  <c r="O41" i="1" s="1"/>
  <c r="O42" i="1" s="1"/>
  <c r="O43" i="1" s="1"/>
  <c r="O44" i="1" s="1"/>
  <c r="O45" i="1" s="1"/>
  <c r="O46" i="1" s="1"/>
  <c r="O47" i="1" s="1"/>
  <c r="O48" i="1" s="1"/>
  <c r="P37" i="1" s="1"/>
  <c r="P38" i="1" s="1"/>
  <c r="P39" i="1" s="1"/>
  <c r="P40" i="1" s="1"/>
  <c r="P41" i="1" s="1"/>
  <c r="P42" i="1" s="1"/>
  <c r="P43" i="1" s="1"/>
  <c r="P44" i="1" s="1"/>
  <c r="P45" i="1" s="1"/>
  <c r="P46" i="1" s="1"/>
  <c r="P47" i="1" s="1"/>
  <c r="P48" i="1" s="1"/>
  <c r="Q37" i="1" s="1"/>
  <c r="Q38" i="1" s="1"/>
  <c r="Q39" i="1" s="1"/>
  <c r="Q40" i="1" s="1"/>
  <c r="Q41" i="1" s="1"/>
  <c r="Q42" i="1" s="1"/>
  <c r="Q43" i="1" s="1"/>
  <c r="Q44" i="1" s="1"/>
  <c r="Q45" i="1" s="1"/>
  <c r="Q46" i="1" s="1"/>
  <c r="Q47" i="1" s="1"/>
  <c r="Q48" i="1" s="1"/>
  <c r="R37" i="1" s="1"/>
  <c r="R38" i="1" s="1"/>
  <c r="R39" i="1" s="1"/>
  <c r="R40" i="1" s="1"/>
  <c r="R41" i="1" s="1"/>
  <c r="R42" i="1" s="1"/>
  <c r="R43" i="1" s="1"/>
  <c r="R44" i="1" s="1"/>
  <c r="R45" i="1" s="1"/>
  <c r="R46" i="1" s="1"/>
  <c r="R47" i="1" s="1"/>
  <c r="R48" i="1" s="1"/>
  <c r="S37" i="1" s="1"/>
  <c r="S38" i="1" s="1"/>
  <c r="S39" i="1" s="1"/>
  <c r="S40" i="1" s="1"/>
  <c r="S41" i="1" s="1"/>
  <c r="S42" i="1" s="1"/>
  <c r="S43" i="1" s="1"/>
  <c r="S44" i="1" s="1"/>
  <c r="S45" i="1" s="1"/>
  <c r="S46" i="1" s="1"/>
  <c r="S47" i="1" s="1"/>
  <c r="S48" i="1" s="1"/>
  <c r="T37" i="1" s="1"/>
  <c r="T38" i="1" s="1"/>
  <c r="T39" i="1" s="1"/>
  <c r="T40" i="1" s="1"/>
  <c r="T41" i="1" s="1"/>
  <c r="T42" i="1" s="1"/>
  <c r="T43" i="1" s="1"/>
  <c r="T44" i="1" s="1"/>
  <c r="T45" i="1" s="1"/>
  <c r="T46" i="1" s="1"/>
  <c r="T47" i="1" s="1"/>
  <c r="T48" i="1" s="1"/>
  <c r="U37" i="1" s="1"/>
  <c r="U38" i="1" s="1"/>
  <c r="U39" i="1" s="1"/>
  <c r="U40" i="1" s="1"/>
  <c r="U41" i="1" s="1"/>
  <c r="U42" i="1" s="1"/>
  <c r="U43" i="1" s="1"/>
  <c r="U44" i="1" s="1"/>
  <c r="U45" i="1" s="1"/>
  <c r="U46" i="1" s="1"/>
  <c r="U47" i="1" s="1"/>
  <c r="U48" i="1" s="1"/>
  <c r="V37" i="1" s="1"/>
  <c r="V38" i="1" s="1"/>
  <c r="V39" i="1" s="1"/>
  <c r="V40" i="1" s="1"/>
  <c r="V41" i="1" s="1"/>
  <c r="V42" i="1" s="1"/>
  <c r="V43" i="1" s="1"/>
  <c r="V44" i="1" s="1"/>
  <c r="V45" i="1" s="1"/>
  <c r="V46" i="1" s="1"/>
  <c r="V47" i="1" s="1"/>
  <c r="V48" i="1" s="1"/>
  <c r="W37" i="1" s="1"/>
  <c r="W38" i="1" s="1"/>
  <c r="W39" i="1" s="1"/>
  <c r="W40" i="1" s="1"/>
  <c r="W41" i="1" s="1"/>
  <c r="W42" i="1" s="1"/>
  <c r="W43" i="1" s="1"/>
  <c r="W44" i="1" s="1"/>
  <c r="W45" i="1" s="1"/>
  <c r="W46" i="1" s="1"/>
  <c r="W47" i="1" s="1"/>
  <c r="W48" i="1" s="1"/>
  <c r="D5" i="6" s="1"/>
  <c r="M154" i="1"/>
  <c r="M155" i="1" s="1"/>
  <c r="M156" i="1" s="1"/>
  <c r="M157" i="1" s="1"/>
  <c r="M158" i="1" s="1"/>
  <c r="M159" i="1" s="1"/>
  <c r="M160" i="1" s="1"/>
  <c r="M161" i="1" s="1"/>
  <c r="M162" i="1" s="1"/>
  <c r="N151" i="1" s="1"/>
  <c r="N152" i="1" s="1"/>
  <c r="N153" i="1" s="1"/>
  <c r="N154" i="1" s="1"/>
  <c r="N155" i="1" s="1"/>
  <c r="N156" i="1" s="1"/>
  <c r="N157" i="1" s="1"/>
  <c r="N158" i="1" s="1"/>
  <c r="N159" i="1" s="1"/>
  <c r="N160" i="1" s="1"/>
  <c r="N161" i="1" s="1"/>
  <c r="N162" i="1" s="1"/>
  <c r="O151" i="1" s="1"/>
  <c r="O152" i="1" s="1"/>
  <c r="O153" i="1" s="1"/>
  <c r="O154" i="1" s="1"/>
  <c r="O155" i="1" s="1"/>
  <c r="O156" i="1" s="1"/>
  <c r="O157" i="1" s="1"/>
  <c r="O158" i="1" s="1"/>
  <c r="O159" i="1" s="1"/>
  <c r="O160" i="1" s="1"/>
  <c r="O161" i="1" s="1"/>
  <c r="O162" i="1" s="1"/>
  <c r="P151" i="1" s="1"/>
  <c r="M135" i="1"/>
  <c r="M136" i="1" s="1"/>
  <c r="M137" i="1" s="1"/>
  <c r="M138" i="1" s="1"/>
  <c r="M139" i="1" s="1"/>
  <c r="M140" i="1" s="1"/>
  <c r="M141" i="1" s="1"/>
  <c r="M142" i="1" s="1"/>
  <c r="M143" i="1" s="1"/>
  <c r="N132" i="1" s="1"/>
  <c r="N133" i="1" s="1"/>
  <c r="N134" i="1" s="1"/>
  <c r="N135" i="1" s="1"/>
  <c r="N136" i="1" s="1"/>
  <c r="N137" i="1" s="1"/>
  <c r="N138" i="1" s="1"/>
  <c r="N139" i="1" s="1"/>
  <c r="N140" i="1" s="1"/>
  <c r="N141" i="1" s="1"/>
  <c r="N142" i="1" s="1"/>
  <c r="N143" i="1" s="1"/>
  <c r="O132" i="1" s="1"/>
  <c r="O133" i="1" s="1"/>
  <c r="O134" i="1" s="1"/>
  <c r="O135" i="1" s="1"/>
  <c r="O136" i="1" s="1"/>
  <c r="O137" i="1" s="1"/>
  <c r="O138" i="1" s="1"/>
  <c r="O139" i="1" s="1"/>
  <c r="O140" i="1" s="1"/>
  <c r="O141" i="1" s="1"/>
  <c r="O142" i="1" s="1"/>
  <c r="O143" i="1" s="1"/>
  <c r="P132" i="1" s="1"/>
  <c r="P133" i="1" s="1"/>
  <c r="P134" i="1" s="1"/>
  <c r="P135" i="1" s="1"/>
  <c r="P136" i="1" s="1"/>
  <c r="P137" i="1" s="1"/>
  <c r="P138" i="1" s="1"/>
  <c r="P139" i="1" s="1"/>
  <c r="M116" i="1"/>
  <c r="M117" i="1" s="1"/>
  <c r="M118" i="1" s="1"/>
  <c r="M119" i="1" s="1"/>
  <c r="M120" i="1" s="1"/>
  <c r="M121" i="1" s="1"/>
  <c r="M122" i="1" s="1"/>
  <c r="M123" i="1" s="1"/>
  <c r="M124" i="1" s="1"/>
  <c r="N113" i="1" s="1"/>
  <c r="N114" i="1" s="1"/>
  <c r="N115" i="1" s="1"/>
  <c r="N116" i="1" s="1"/>
  <c r="N117" i="1" s="1"/>
  <c r="N118" i="1" s="1"/>
  <c r="N119" i="1" s="1"/>
  <c r="N120" i="1" s="1"/>
  <c r="N121" i="1" s="1"/>
  <c r="N122" i="1" s="1"/>
  <c r="N123" i="1" s="1"/>
  <c r="N124" i="1" s="1"/>
  <c r="O113" i="1" s="1"/>
  <c r="O114" i="1" s="1"/>
  <c r="O115" i="1" s="1"/>
  <c r="O116" i="1" s="1"/>
  <c r="O117" i="1" s="1"/>
  <c r="O118" i="1" s="1"/>
  <c r="O119" i="1" s="1"/>
  <c r="O120" i="1" s="1"/>
  <c r="O121" i="1" s="1"/>
  <c r="O122" i="1" s="1"/>
  <c r="O123" i="1" s="1"/>
  <c r="O124" i="1" s="1"/>
  <c r="P113" i="1" s="1"/>
  <c r="P114" i="1" s="1"/>
  <c r="P115" i="1" s="1"/>
  <c r="P116" i="1" s="1"/>
  <c r="P117" i="1" s="1"/>
  <c r="P118" i="1" s="1"/>
  <c r="P119" i="1" s="1"/>
  <c r="P120" i="1" s="1"/>
  <c r="P121" i="1" s="1"/>
  <c r="P122" i="1" s="1"/>
  <c r="P123" i="1" s="1"/>
  <c r="P124" i="1" s="1"/>
  <c r="Q113" i="1" s="1"/>
  <c r="Q114" i="1" s="1"/>
  <c r="Q115" i="1" s="1"/>
  <c r="M97" i="1"/>
  <c r="M98" i="1" s="1"/>
  <c r="M99" i="1" s="1"/>
  <c r="M100" i="1" s="1"/>
  <c r="M101" i="1" s="1"/>
  <c r="M102" i="1" s="1"/>
  <c r="M103" i="1" s="1"/>
  <c r="M104" i="1" s="1"/>
  <c r="M105" i="1" s="1"/>
  <c r="N94" i="1" s="1"/>
  <c r="N95" i="1" s="1"/>
  <c r="N96" i="1" s="1"/>
  <c r="N97" i="1" s="1"/>
  <c r="N98" i="1" s="1"/>
  <c r="N99" i="1" s="1"/>
  <c r="N100" i="1" s="1"/>
  <c r="N101" i="1" s="1"/>
  <c r="N102" i="1" s="1"/>
  <c r="N103" i="1" s="1"/>
  <c r="N104" i="1" s="1"/>
  <c r="N105" i="1" s="1"/>
  <c r="O94" i="1" s="1"/>
  <c r="O95" i="1" s="1"/>
  <c r="O96" i="1" s="1"/>
  <c r="O97" i="1" s="1"/>
  <c r="O98" i="1" s="1"/>
  <c r="O99" i="1" s="1"/>
  <c r="O100" i="1" s="1"/>
  <c r="O101" i="1" s="1"/>
  <c r="O102" i="1" s="1"/>
  <c r="O103" i="1" s="1"/>
  <c r="O104" i="1" s="1"/>
  <c r="O105" i="1" s="1"/>
  <c r="P94" i="1" s="1"/>
  <c r="P95" i="1" s="1"/>
  <c r="P96" i="1" s="1"/>
  <c r="P97" i="1" s="1"/>
  <c r="P98" i="1" s="1"/>
  <c r="P99" i="1" s="1"/>
  <c r="P100" i="1" s="1"/>
  <c r="P101" i="1" s="1"/>
  <c r="P102" i="1" s="1"/>
  <c r="P103" i="1" s="1"/>
  <c r="P104" i="1" s="1"/>
  <c r="P105" i="1" s="1"/>
  <c r="Q94" i="1" s="1"/>
  <c r="Q95" i="1" s="1"/>
  <c r="Q96" i="1" s="1"/>
  <c r="Q97" i="1" s="1"/>
  <c r="Q98" i="1" s="1"/>
  <c r="Q99" i="1" s="1"/>
  <c r="Q100" i="1" s="1"/>
  <c r="Q101" i="1" s="1"/>
  <c r="Q102" i="1" s="1"/>
  <c r="Q103" i="1" s="1"/>
  <c r="Q104" i="1" s="1"/>
  <c r="Q105" i="1" s="1"/>
  <c r="R94" i="1" s="1"/>
  <c r="R95" i="1" s="1"/>
  <c r="R96" i="1" s="1"/>
  <c r="R97" i="1" s="1"/>
  <c r="R98" i="1" s="1"/>
  <c r="R99" i="1" s="1"/>
  <c r="R100" i="1" s="1"/>
  <c r="R101" i="1" s="1"/>
  <c r="R102" i="1" s="1"/>
  <c r="R103" i="1" s="1"/>
  <c r="R104" i="1" s="1"/>
  <c r="R105" i="1" s="1"/>
  <c r="S94" i="1" s="1"/>
  <c r="S95" i="1" s="1"/>
  <c r="S96" i="1" s="1"/>
  <c r="S97" i="1" s="1"/>
  <c r="S98" i="1" s="1"/>
  <c r="S99" i="1" s="1"/>
  <c r="S100" i="1" s="1"/>
  <c r="S101" i="1" s="1"/>
  <c r="S102" i="1" s="1"/>
  <c r="S103" i="1" s="1"/>
  <c r="S104" i="1" s="1"/>
  <c r="S105" i="1" s="1"/>
  <c r="E15" i="1"/>
  <c r="E16" i="1" s="1"/>
  <c r="E17" i="1" s="1"/>
  <c r="E18" i="1" s="1"/>
  <c r="E19" i="1" s="1"/>
  <c r="E20" i="1" s="1"/>
  <c r="E21" i="1" s="1"/>
  <c r="E22" i="1" s="1"/>
  <c r="E23" i="1" s="1"/>
  <c r="E24" i="1" s="1"/>
  <c r="E25" i="1" s="1"/>
  <c r="E26" i="1" s="1"/>
  <c r="F15" i="1" s="1"/>
  <c r="F16" i="1" s="1"/>
  <c r="F17" i="1" s="1"/>
  <c r="F18" i="1" s="1"/>
  <c r="F19" i="1" s="1"/>
  <c r="F20" i="1" s="1"/>
  <c r="F21" i="1" s="1"/>
  <c r="F22" i="1" s="1"/>
  <c r="F23" i="1" s="1"/>
  <c r="F24" i="1" s="1"/>
  <c r="F25" i="1" s="1"/>
  <c r="F26" i="1" s="1"/>
  <c r="G15" i="1" s="1"/>
  <c r="G16" i="1" s="1"/>
  <c r="G17" i="1" s="1"/>
  <c r="G18" i="1" s="1"/>
  <c r="G19" i="1" s="1"/>
  <c r="G20" i="1" s="1"/>
  <c r="G21" i="1" s="1"/>
  <c r="G22" i="1" s="1"/>
  <c r="G23" i="1" s="1"/>
  <c r="G24" i="1" s="1"/>
  <c r="G25" i="1" s="1"/>
  <c r="G26" i="1" s="1"/>
  <c r="H15" i="1" s="1"/>
  <c r="H16" i="1" s="1"/>
  <c r="H17" i="1" s="1"/>
  <c r="H18" i="1" s="1"/>
  <c r="H19" i="1" s="1"/>
  <c r="H20" i="1" s="1"/>
  <c r="H21" i="1" s="1"/>
  <c r="H22" i="1" s="1"/>
  <c r="H23" i="1" s="1"/>
  <c r="H24" i="1" s="1"/>
  <c r="H25" i="1" s="1"/>
  <c r="H26" i="1" s="1"/>
  <c r="I15" i="1" s="1"/>
  <c r="I16" i="1" s="1"/>
  <c r="I17" i="1" s="1"/>
  <c r="I18" i="1" s="1"/>
  <c r="I19" i="1" s="1"/>
  <c r="AC113" i="4" l="1"/>
  <c r="AC114" i="4" s="1"/>
  <c r="AC115" i="4" s="1"/>
  <c r="AC116" i="4" s="1"/>
  <c r="AC117" i="4" s="1"/>
  <c r="AC118" i="4" s="1"/>
  <c r="AC119" i="4" s="1"/>
  <c r="AC120" i="4" s="1"/>
  <c r="AC121" i="4" s="1"/>
  <c r="AC122" i="4" s="1"/>
  <c r="AC123" i="4" s="1"/>
  <c r="AC124" i="4" s="1"/>
  <c r="AD113" i="4" s="1"/>
  <c r="AD114" i="4" s="1"/>
  <c r="AD115" i="4" s="1"/>
  <c r="AD116" i="4" s="1"/>
  <c r="AD117" i="4" s="1"/>
  <c r="AD118" i="4" s="1"/>
  <c r="AD119" i="4" s="1"/>
  <c r="AD120" i="4" s="1"/>
  <c r="AD121" i="4" s="1"/>
  <c r="AD122" i="4" s="1"/>
  <c r="AD123" i="4" s="1"/>
  <c r="AD124" i="4" s="1"/>
  <c r="AE113" i="4" s="1"/>
  <c r="AE114" i="4" s="1"/>
  <c r="AE115" i="4" s="1"/>
  <c r="AE116" i="4" s="1"/>
  <c r="AE117" i="4" s="1"/>
  <c r="AE118" i="4" s="1"/>
  <c r="AE119" i="4" s="1"/>
  <c r="AE120" i="4" s="1"/>
  <c r="AE121" i="4" s="1"/>
  <c r="AE122" i="4" s="1"/>
  <c r="AE123" i="4" s="1"/>
  <c r="AE124" i="4" s="1"/>
  <c r="X37" i="4"/>
  <c r="X38" i="4" s="1"/>
  <c r="X39" i="4" s="1"/>
  <c r="X40" i="4" s="1"/>
  <c r="X41" i="4" s="1"/>
  <c r="X42" i="4" s="1"/>
  <c r="X43" i="4" s="1"/>
  <c r="X44" i="4" s="1"/>
  <c r="X45" i="4" s="1"/>
  <c r="X46" i="4" s="1"/>
  <c r="X47" i="4" s="1"/>
  <c r="X48" i="4" s="1"/>
  <c r="Y37" i="4" s="1"/>
  <c r="Y38" i="4" s="1"/>
  <c r="Y39" i="4" s="1"/>
  <c r="Y40" i="4" s="1"/>
  <c r="Y41" i="4" s="1"/>
  <c r="Y42" i="4" s="1"/>
  <c r="Y43" i="4" s="1"/>
  <c r="Y44" i="4" s="1"/>
  <c r="Y45" i="4" s="1"/>
  <c r="Y46" i="4" s="1"/>
  <c r="Y47" i="4" s="1"/>
  <c r="Y48" i="4" s="1"/>
  <c r="Z37" i="4" s="1"/>
  <c r="Z38" i="4" s="1"/>
  <c r="Z39" i="4" s="1"/>
  <c r="Z40" i="4" s="1"/>
  <c r="Z41" i="4" s="1"/>
  <c r="Z42" i="4" s="1"/>
  <c r="Z43" i="4" s="1"/>
  <c r="Z44" i="4" s="1"/>
  <c r="Z45" i="4" s="1"/>
  <c r="Z46" i="4" s="1"/>
  <c r="Z47" i="4" s="1"/>
  <c r="Z48" i="4" s="1"/>
  <c r="AA37" i="4" s="1"/>
  <c r="AA38" i="4" s="1"/>
  <c r="AA39" i="4" s="1"/>
  <c r="AA40" i="4" s="1"/>
  <c r="AA41" i="4" s="1"/>
  <c r="AA42" i="4" s="1"/>
  <c r="AA43" i="4" s="1"/>
  <c r="AA44" i="4" s="1"/>
  <c r="AA45" i="4" s="1"/>
  <c r="AA46" i="4" s="1"/>
  <c r="AA47" i="4" s="1"/>
  <c r="AA48" i="4" s="1"/>
  <c r="AB37" i="4" s="1"/>
  <c r="AB38" i="4" s="1"/>
  <c r="AB39" i="4" s="1"/>
  <c r="AB40" i="4" s="1"/>
  <c r="AB41" i="4" s="1"/>
  <c r="AB42" i="4" s="1"/>
  <c r="AB43" i="4" s="1"/>
  <c r="AB44" i="4" s="1"/>
  <c r="AB45" i="4" s="1"/>
  <c r="AB46" i="4" s="1"/>
  <c r="AB47" i="4" s="1"/>
  <c r="AB48" i="4" s="1"/>
  <c r="X75" i="4"/>
  <c r="X76" i="4" s="1"/>
  <c r="X77" i="4" s="1"/>
  <c r="X78" i="4" s="1"/>
  <c r="X79" i="4" s="1"/>
  <c r="X80" i="4" s="1"/>
  <c r="X81" i="4" s="1"/>
  <c r="X82" i="4" s="1"/>
  <c r="X83" i="4" s="1"/>
  <c r="X84" i="4" s="1"/>
  <c r="X85" i="4" s="1"/>
  <c r="X86" i="4" s="1"/>
  <c r="Y75" i="4" s="1"/>
  <c r="Y76" i="4" s="1"/>
  <c r="Y77" i="4" s="1"/>
  <c r="Y78" i="4" s="1"/>
  <c r="Y79" i="4" s="1"/>
  <c r="Y80" i="4" s="1"/>
  <c r="Y81" i="4" s="1"/>
  <c r="Y82" i="4" s="1"/>
  <c r="Y83" i="4" s="1"/>
  <c r="Y84" i="4" s="1"/>
  <c r="Y85" i="4" s="1"/>
  <c r="Y86" i="4" s="1"/>
  <c r="Z75" i="4" s="1"/>
  <c r="Z76" i="4" s="1"/>
  <c r="Z77" i="4" s="1"/>
  <c r="Z78" i="4" s="1"/>
  <c r="Z79" i="4" s="1"/>
  <c r="Z80" i="4" s="1"/>
  <c r="Z81" i="4" s="1"/>
  <c r="Z82" i="4" s="1"/>
  <c r="Z83" i="4" s="1"/>
  <c r="Z84" i="4" s="1"/>
  <c r="Z85" i="4" s="1"/>
  <c r="Z86" i="4" s="1"/>
  <c r="AA75" i="4" s="1"/>
  <c r="AA76" i="4" s="1"/>
  <c r="AA77" i="4" s="1"/>
  <c r="AA78" i="4" s="1"/>
  <c r="AA79" i="4" s="1"/>
  <c r="AA80" i="4" s="1"/>
  <c r="AA81" i="4" s="1"/>
  <c r="AA82" i="4" s="1"/>
  <c r="AA83" i="4" s="1"/>
  <c r="AA84" i="4" s="1"/>
  <c r="AA85" i="4" s="1"/>
  <c r="AA86" i="4" s="1"/>
  <c r="AB75" i="4" s="1"/>
  <c r="AB76" i="4" s="1"/>
  <c r="AB77" i="4" s="1"/>
  <c r="AB78" i="4" s="1"/>
  <c r="AB79" i="4" s="1"/>
  <c r="AB80" i="4" s="1"/>
  <c r="AB81" i="4" s="1"/>
  <c r="AB82" i="4" s="1"/>
  <c r="AB83" i="4" s="1"/>
  <c r="AB84" i="4" s="1"/>
  <c r="AB85" i="4" s="1"/>
  <c r="AB86" i="4" s="1"/>
  <c r="AC94" i="4"/>
  <c r="AC95" i="4" s="1"/>
  <c r="AC96" i="4" s="1"/>
  <c r="AC97" i="4" s="1"/>
  <c r="AC98" i="4" s="1"/>
  <c r="AC99" i="4" s="1"/>
  <c r="AC100" i="4" s="1"/>
  <c r="AC101" i="4" s="1"/>
  <c r="AC102" i="4" s="1"/>
  <c r="AC103" i="4" s="1"/>
  <c r="AC104" i="4" s="1"/>
  <c r="AC105" i="4" s="1"/>
  <c r="AD94" i="4" s="1"/>
  <c r="AD95" i="4" s="1"/>
  <c r="AD96" i="4" s="1"/>
  <c r="AD97" i="4" s="1"/>
  <c r="AD98" i="4" s="1"/>
  <c r="AD99" i="4" s="1"/>
  <c r="AD100" i="4" s="1"/>
  <c r="AD101" i="4" s="1"/>
  <c r="AD102" i="4" s="1"/>
  <c r="AD103" i="4" s="1"/>
  <c r="AD104" i="4" s="1"/>
  <c r="AD105" i="4" s="1"/>
  <c r="AE94" i="4" s="1"/>
  <c r="AE95" i="4" s="1"/>
  <c r="AE96" i="4" s="1"/>
  <c r="AE97" i="4" s="1"/>
  <c r="AE98" i="4" s="1"/>
  <c r="AE99" i="4" s="1"/>
  <c r="AE100" i="4" s="1"/>
  <c r="AE101" i="4" s="1"/>
  <c r="AE102" i="4" s="1"/>
  <c r="AE103" i="4" s="1"/>
  <c r="AE104" i="4" s="1"/>
  <c r="AE105" i="4" s="1"/>
  <c r="X56" i="4"/>
  <c r="X57" i="4" s="1"/>
  <c r="X58" i="4" s="1"/>
  <c r="X59" i="4" s="1"/>
  <c r="X60" i="4" s="1"/>
  <c r="X61" i="4" s="1"/>
  <c r="X62" i="4" s="1"/>
  <c r="X63" i="4" s="1"/>
  <c r="X64" i="4" s="1"/>
  <c r="X65" i="4" s="1"/>
  <c r="X66" i="4" s="1"/>
  <c r="X67" i="4" s="1"/>
  <c r="Y56" i="4" s="1"/>
  <c r="Y57" i="4" s="1"/>
  <c r="Y58" i="4" s="1"/>
  <c r="Y59" i="4" s="1"/>
  <c r="Y60" i="4" s="1"/>
  <c r="Y61" i="4" s="1"/>
  <c r="Y62" i="4" s="1"/>
  <c r="Y63" i="4" s="1"/>
  <c r="Y64" i="4" s="1"/>
  <c r="Y65" i="4" s="1"/>
  <c r="Y66" i="4" s="1"/>
  <c r="Y67" i="4" s="1"/>
  <c r="Z56" i="4" s="1"/>
  <c r="Z57" i="4" s="1"/>
  <c r="Z58" i="4" s="1"/>
  <c r="Z59" i="4" s="1"/>
  <c r="Z60" i="4" s="1"/>
  <c r="Z61" i="4" s="1"/>
  <c r="Z62" i="4" s="1"/>
  <c r="Z63" i="4" s="1"/>
  <c r="Z64" i="4" s="1"/>
  <c r="Z65" i="4" s="1"/>
  <c r="Z66" i="4" s="1"/>
  <c r="Z67" i="4" s="1"/>
  <c r="AA56" i="4" s="1"/>
  <c r="AA57" i="4" s="1"/>
  <c r="AA58" i="4" s="1"/>
  <c r="AA59" i="4" s="1"/>
  <c r="AA60" i="4" s="1"/>
  <c r="AA61" i="4" s="1"/>
  <c r="AA62" i="4" s="1"/>
  <c r="AA63" i="4" s="1"/>
  <c r="AA64" i="4" s="1"/>
  <c r="AA65" i="4" s="1"/>
  <c r="AA66" i="4" s="1"/>
  <c r="AA67" i="4" s="1"/>
  <c r="AB56" i="4" s="1"/>
  <c r="AB57" i="4" s="1"/>
  <c r="AB58" i="4" s="1"/>
  <c r="AB59" i="4" s="1"/>
  <c r="AB60" i="4" s="1"/>
  <c r="AB61" i="4" s="1"/>
  <c r="AB62" i="4" s="1"/>
  <c r="AB63" i="4" s="1"/>
  <c r="AB64" i="4" s="1"/>
  <c r="AB65" i="4" s="1"/>
  <c r="AB66" i="4" s="1"/>
  <c r="AB67" i="4" s="1"/>
  <c r="AC132" i="4"/>
  <c r="AC133" i="4" s="1"/>
  <c r="AC134" i="4" s="1"/>
  <c r="AC135" i="4" s="1"/>
  <c r="AC136" i="4" s="1"/>
  <c r="AC137" i="4" s="1"/>
  <c r="AC138" i="4" s="1"/>
  <c r="AC139" i="4" s="1"/>
  <c r="AC140" i="4" s="1"/>
  <c r="AC141" i="4" s="1"/>
  <c r="AC142" i="4" s="1"/>
  <c r="AC143" i="4" s="1"/>
  <c r="AD132" i="4" s="1"/>
  <c r="AD133" i="4" s="1"/>
  <c r="AD134" i="4" s="1"/>
  <c r="AD135" i="4" s="1"/>
  <c r="AD136" i="4" s="1"/>
  <c r="AD137" i="4" s="1"/>
  <c r="AD138" i="4" s="1"/>
  <c r="AD139" i="4" s="1"/>
  <c r="AD140" i="4" s="1"/>
  <c r="AD141" i="4" s="1"/>
  <c r="AD142" i="4" s="1"/>
  <c r="AD143" i="4" s="1"/>
  <c r="AE132" i="4" s="1"/>
  <c r="AE133" i="4" s="1"/>
  <c r="AE134" i="4" s="1"/>
  <c r="AE135" i="4" s="1"/>
  <c r="AE136" i="4" s="1"/>
  <c r="AE137" i="4" s="1"/>
  <c r="AE138" i="4" s="1"/>
  <c r="AE139" i="4" s="1"/>
  <c r="AE140" i="4" s="1"/>
  <c r="AE141" i="4" s="1"/>
  <c r="AE142" i="4" s="1"/>
  <c r="AE143" i="4" s="1"/>
  <c r="X151" i="4"/>
  <c r="X152" i="4" s="1"/>
  <c r="X153" i="4" s="1"/>
  <c r="X154" i="4" s="1"/>
  <c r="X155" i="4" s="1"/>
  <c r="X156" i="4" s="1"/>
  <c r="X157" i="4" s="1"/>
  <c r="X158" i="4" s="1"/>
  <c r="X159" i="4" s="1"/>
  <c r="X160" i="4" s="1"/>
  <c r="X161" i="4" s="1"/>
  <c r="X162" i="4" s="1"/>
  <c r="Y151" i="4" s="1"/>
  <c r="Y152" i="4" s="1"/>
  <c r="Y153" i="4" s="1"/>
  <c r="Y154" i="4" s="1"/>
  <c r="Y155" i="4" s="1"/>
  <c r="Y156" i="4" s="1"/>
  <c r="Y157" i="4" s="1"/>
  <c r="Y158" i="4" s="1"/>
  <c r="Y159" i="4" s="1"/>
  <c r="Y160" i="4" s="1"/>
  <c r="Y161" i="4" s="1"/>
  <c r="Y162" i="4" s="1"/>
  <c r="Z151" i="4" s="1"/>
  <c r="Z152" i="4" s="1"/>
  <c r="Z153" i="4" s="1"/>
  <c r="Z154" i="4" s="1"/>
  <c r="Z155" i="4" s="1"/>
  <c r="Z156" i="4" s="1"/>
  <c r="Z157" i="4" s="1"/>
  <c r="Z158" i="4" s="1"/>
  <c r="Z159" i="4" s="1"/>
  <c r="Z160" i="4" s="1"/>
  <c r="Z161" i="4" s="1"/>
  <c r="Z162" i="4" s="1"/>
  <c r="AA151" i="4" s="1"/>
  <c r="AA152" i="4" s="1"/>
  <c r="AA153" i="4" s="1"/>
  <c r="AA154" i="4" s="1"/>
  <c r="AA155" i="4" s="1"/>
  <c r="AA156" i="4" s="1"/>
  <c r="AA157" i="4" s="1"/>
  <c r="AA158" i="4" s="1"/>
  <c r="AA159" i="4" s="1"/>
  <c r="AA160" i="4" s="1"/>
  <c r="AA161" i="4" s="1"/>
  <c r="AA162" i="4" s="1"/>
  <c r="AB151" i="4" s="1"/>
  <c r="AB152" i="4" s="1"/>
  <c r="AB153" i="4" s="1"/>
  <c r="AB154" i="4" s="1"/>
  <c r="AB155" i="4" s="1"/>
  <c r="AB156" i="4" s="1"/>
  <c r="AB157" i="4" s="1"/>
  <c r="AB158" i="4" s="1"/>
  <c r="AB159" i="4" s="1"/>
  <c r="AB160" i="4" s="1"/>
  <c r="AB161" i="4" s="1"/>
  <c r="AB162" i="4" s="1"/>
  <c r="J42" i="3"/>
  <c r="J43" i="3" s="1"/>
  <c r="J44" i="3" s="1"/>
  <c r="J45" i="3" s="1"/>
  <c r="J46" i="3" s="1"/>
  <c r="J47" i="3" s="1"/>
  <c r="J48" i="3" s="1"/>
  <c r="K37" i="3" s="1"/>
  <c r="K38" i="3" s="1"/>
  <c r="K39" i="3" s="1"/>
  <c r="K40" i="3" s="1"/>
  <c r="K41" i="3" s="1"/>
  <c r="K42" i="3" s="1"/>
  <c r="K43" i="3" s="1"/>
  <c r="K44" i="3" s="1"/>
  <c r="K45" i="3" s="1"/>
  <c r="K46" i="3" s="1"/>
  <c r="K47" i="3" s="1"/>
  <c r="K48" i="3" s="1"/>
  <c r="L37" i="3" s="1"/>
  <c r="L38" i="3" s="1"/>
  <c r="L39" i="3" s="1"/>
  <c r="L40" i="3" s="1"/>
  <c r="L41" i="3" s="1"/>
  <c r="L42" i="3" s="1"/>
  <c r="L43" i="3" s="1"/>
  <c r="L44" i="3" s="1"/>
  <c r="L45" i="3" s="1"/>
  <c r="L46" i="3" s="1"/>
  <c r="L47" i="3" s="1"/>
  <c r="L48" i="3" s="1"/>
  <c r="M37" i="3" s="1"/>
  <c r="M38" i="3" s="1"/>
  <c r="M39" i="3" s="1"/>
  <c r="M40" i="3" s="1"/>
  <c r="M41" i="3" s="1"/>
  <c r="M42" i="3" s="1"/>
  <c r="M43" i="3" s="1"/>
  <c r="M44" i="3" s="1"/>
  <c r="M45" i="3" s="1"/>
  <c r="M46" i="3" s="1"/>
  <c r="M47" i="3" s="1"/>
  <c r="M48" i="3" s="1"/>
  <c r="N37" i="3" s="1"/>
  <c r="N38" i="3" s="1"/>
  <c r="N39" i="3" s="1"/>
  <c r="N40" i="3" s="1"/>
  <c r="N41" i="3" s="1"/>
  <c r="N42" i="3" s="1"/>
  <c r="N43" i="3" s="1"/>
  <c r="N44" i="3" s="1"/>
  <c r="N45" i="3" s="1"/>
  <c r="N46" i="3" s="1"/>
  <c r="N47" i="3" s="1"/>
  <c r="N48" i="3" s="1"/>
  <c r="O37" i="3" s="1"/>
  <c r="O38" i="3" s="1"/>
  <c r="O39" i="3" s="1"/>
  <c r="O40" i="3" s="1"/>
  <c r="O41" i="3" s="1"/>
  <c r="O42" i="3" s="1"/>
  <c r="O43" i="3" s="1"/>
  <c r="O44" i="3" s="1"/>
  <c r="O45" i="3" s="1"/>
  <c r="O46" i="3" s="1"/>
  <c r="K19" i="3"/>
  <c r="K20" i="3" s="1"/>
  <c r="K21" i="3" s="1"/>
  <c r="K22" i="3" s="1"/>
  <c r="K23" i="3" s="1"/>
  <c r="K24" i="3" s="1"/>
  <c r="K25" i="3" s="1"/>
  <c r="K26" i="3" s="1"/>
  <c r="L15" i="3" s="1"/>
  <c r="L16" i="3" s="1"/>
  <c r="L17" i="3" s="1"/>
  <c r="L18" i="3" s="1"/>
  <c r="L19" i="3" s="1"/>
  <c r="L20" i="3" s="1"/>
  <c r="L21" i="3" s="1"/>
  <c r="L22" i="3" s="1"/>
  <c r="L23" i="3" s="1"/>
  <c r="L24" i="3" s="1"/>
  <c r="L25" i="3" s="1"/>
  <c r="L26" i="3" s="1"/>
  <c r="M15" i="3" s="1"/>
  <c r="M16" i="3" s="1"/>
  <c r="M17" i="3" s="1"/>
  <c r="M18" i="3" s="1"/>
  <c r="M19" i="3" s="1"/>
  <c r="M20" i="3" s="1"/>
  <c r="M21" i="3" s="1"/>
  <c r="M22" i="3" s="1"/>
  <c r="M23" i="3" s="1"/>
  <c r="M24" i="3" s="1"/>
  <c r="M25" i="3" s="1"/>
  <c r="M26" i="3" s="1"/>
  <c r="N15" i="3" s="1"/>
  <c r="N16" i="3" s="1"/>
  <c r="N17" i="3" s="1"/>
  <c r="N18" i="3" s="1"/>
  <c r="N19" i="3" s="1"/>
  <c r="N20" i="3" s="1"/>
  <c r="N21" i="3" s="1"/>
  <c r="N22" i="3" s="1"/>
  <c r="N23" i="3" s="1"/>
  <c r="N24" i="3" s="1"/>
  <c r="N25" i="3" s="1"/>
  <c r="N26" i="3" s="1"/>
  <c r="O15" i="3" s="1"/>
  <c r="O16" i="3" s="1"/>
  <c r="O17" i="3" s="1"/>
  <c r="O18" i="3" s="1"/>
  <c r="O19" i="3" s="1"/>
  <c r="O20" i="3" s="1"/>
  <c r="O21" i="3" s="1"/>
  <c r="O22" i="3" s="1"/>
  <c r="O23" i="3" s="1"/>
  <c r="O24" i="3" s="1"/>
  <c r="O25" i="3" s="1"/>
  <c r="O26" i="3" s="1"/>
  <c r="P15" i="3" s="1"/>
  <c r="P16" i="3" s="1"/>
  <c r="P17" i="3" s="1"/>
  <c r="P18" i="3" s="1"/>
  <c r="P19" i="3" s="1"/>
  <c r="P20" i="3" s="1"/>
  <c r="P21" i="3" s="1"/>
  <c r="P22" i="3" s="1"/>
  <c r="P23" i="3" s="1"/>
  <c r="P24" i="3" s="1"/>
  <c r="P25" i="3" s="1"/>
  <c r="P26" i="3" s="1"/>
  <c r="Q15" i="3" s="1"/>
  <c r="Q16" i="3" s="1"/>
  <c r="Q17" i="3" s="1"/>
  <c r="Q18" i="3" s="1"/>
  <c r="Q19" i="3" s="1"/>
  <c r="Q20" i="3" s="1"/>
  <c r="Q21" i="3" s="1"/>
  <c r="Q22" i="3" s="1"/>
  <c r="Q23" i="3" s="1"/>
  <c r="Q24" i="3" s="1"/>
  <c r="Q25" i="3" s="1"/>
  <c r="Q26" i="3" s="1"/>
  <c r="R15" i="3" s="1"/>
  <c r="R16" i="3" s="1"/>
  <c r="R17" i="3" s="1"/>
  <c r="R18" i="3" s="1"/>
  <c r="R19" i="3" s="1"/>
  <c r="R20" i="3" s="1"/>
  <c r="R21" i="3" s="1"/>
  <c r="R22" i="3" s="1"/>
  <c r="R23" i="3" s="1"/>
  <c r="R24" i="3" s="1"/>
  <c r="R25" i="3" s="1"/>
  <c r="R26" i="3" s="1"/>
  <c r="S15" i="3" s="1"/>
  <c r="S16" i="3" s="1"/>
  <c r="S17" i="3" s="1"/>
  <c r="S18" i="3" s="1"/>
  <c r="I139" i="3"/>
  <c r="I140" i="3" s="1"/>
  <c r="I141" i="3" s="1"/>
  <c r="I142" i="3" s="1"/>
  <c r="I143" i="3" s="1"/>
  <c r="J132" i="3" s="1"/>
  <c r="J133" i="3" s="1"/>
  <c r="J134" i="3" s="1"/>
  <c r="J135" i="3" s="1"/>
  <c r="J136" i="3" s="1"/>
  <c r="J137" i="3" s="1"/>
  <c r="J138" i="3" s="1"/>
  <c r="J139" i="3" s="1"/>
  <c r="J140" i="3" s="1"/>
  <c r="J141" i="3" s="1"/>
  <c r="J142" i="3" s="1"/>
  <c r="J143" i="3" s="1"/>
  <c r="K132" i="3" s="1"/>
  <c r="K133" i="3" s="1"/>
  <c r="K134" i="3" s="1"/>
  <c r="K135" i="3" s="1"/>
  <c r="K136" i="3" s="1"/>
  <c r="K137" i="3" s="1"/>
  <c r="K138" i="3" s="1"/>
  <c r="K139" i="3" s="1"/>
  <c r="K140" i="3" s="1"/>
  <c r="K141" i="3" s="1"/>
  <c r="K142" i="3" s="1"/>
  <c r="K143" i="3" s="1"/>
  <c r="L132" i="3" s="1"/>
  <c r="L133" i="3" s="1"/>
  <c r="L134" i="3" s="1"/>
  <c r="L135" i="3" s="1"/>
  <c r="L136" i="3" s="1"/>
  <c r="L137" i="3" s="1"/>
  <c r="L138" i="3" s="1"/>
  <c r="L139" i="3" s="1"/>
  <c r="L140" i="3" s="1"/>
  <c r="L141" i="3" s="1"/>
  <c r="L142" i="3" s="1"/>
  <c r="L143" i="3" s="1"/>
  <c r="M132" i="3" s="1"/>
  <c r="M133" i="3" s="1"/>
  <c r="M134" i="3" s="1"/>
  <c r="M135" i="3" s="1"/>
  <c r="M136" i="3" s="1"/>
  <c r="M137" i="3" s="1"/>
  <c r="M138" i="3" s="1"/>
  <c r="I157" i="3"/>
  <c r="I158" i="3" s="1"/>
  <c r="I159" i="3" s="1"/>
  <c r="I160" i="3" s="1"/>
  <c r="I161" i="3" s="1"/>
  <c r="I162" i="3" s="1"/>
  <c r="J151" i="3" s="1"/>
  <c r="J152" i="3" s="1"/>
  <c r="J153" i="3" s="1"/>
  <c r="J154" i="3" s="1"/>
  <c r="J155" i="3" s="1"/>
  <c r="J156" i="3" s="1"/>
  <c r="J157" i="3" s="1"/>
  <c r="J158" i="3" s="1"/>
  <c r="J159" i="3" s="1"/>
  <c r="J160" i="3" s="1"/>
  <c r="J161" i="3" s="1"/>
  <c r="J162" i="3" s="1"/>
  <c r="K151" i="3" s="1"/>
  <c r="K152" i="3" s="1"/>
  <c r="K153" i="3" s="1"/>
  <c r="K154" i="3" s="1"/>
  <c r="K155" i="3" s="1"/>
  <c r="K156" i="3" s="1"/>
  <c r="K157" i="3" s="1"/>
  <c r="K158" i="3" s="1"/>
  <c r="K159" i="3" s="1"/>
  <c r="K160" i="3" s="1"/>
  <c r="K161" i="3" s="1"/>
  <c r="K162" i="3" s="1"/>
  <c r="L151" i="3" s="1"/>
  <c r="L152" i="3" s="1"/>
  <c r="L153" i="3" s="1"/>
  <c r="L154" i="3" s="1"/>
  <c r="L155" i="3" s="1"/>
  <c r="L156" i="3" s="1"/>
  <c r="L157" i="3" s="1"/>
  <c r="L158" i="3" s="1"/>
  <c r="L159" i="3" s="1"/>
  <c r="L160" i="3" s="1"/>
  <c r="L161" i="3" s="1"/>
  <c r="L162" i="3" s="1"/>
  <c r="M151" i="3" s="1"/>
  <c r="M152" i="3" s="1"/>
  <c r="M153" i="3" s="1"/>
  <c r="I122" i="3"/>
  <c r="I123" i="3" s="1"/>
  <c r="I124" i="3" s="1"/>
  <c r="J113" i="3" s="1"/>
  <c r="J114" i="3" s="1"/>
  <c r="J115" i="3" s="1"/>
  <c r="J116" i="3" s="1"/>
  <c r="J117" i="3" s="1"/>
  <c r="J118" i="3" s="1"/>
  <c r="J119" i="3" s="1"/>
  <c r="J120" i="3" s="1"/>
  <c r="J121" i="3" s="1"/>
  <c r="J122" i="3" s="1"/>
  <c r="J123" i="3" s="1"/>
  <c r="J124" i="3" s="1"/>
  <c r="K113" i="3" s="1"/>
  <c r="K114" i="3" s="1"/>
  <c r="K115" i="3" s="1"/>
  <c r="K116" i="3" s="1"/>
  <c r="K117" i="3" s="1"/>
  <c r="K118" i="3" s="1"/>
  <c r="K119" i="3" s="1"/>
  <c r="K120" i="3" s="1"/>
  <c r="K121" i="3" s="1"/>
  <c r="K122" i="3" s="1"/>
  <c r="K123" i="3" s="1"/>
  <c r="K124" i="3" s="1"/>
  <c r="L113" i="3" s="1"/>
  <c r="L114" i="3" s="1"/>
  <c r="L115" i="3" s="1"/>
  <c r="L116" i="3" s="1"/>
  <c r="L117" i="3" s="1"/>
  <c r="L118" i="3" s="1"/>
  <c r="L119" i="3" s="1"/>
  <c r="L120" i="3" s="1"/>
  <c r="L121" i="3" s="1"/>
  <c r="L122" i="3" s="1"/>
  <c r="L123" i="3" s="1"/>
  <c r="L124" i="3" s="1"/>
  <c r="M113" i="3" s="1"/>
  <c r="M114" i="3" s="1"/>
  <c r="M115" i="3" s="1"/>
  <c r="M116" i="3" s="1"/>
  <c r="M117" i="3" s="1"/>
  <c r="M118" i="3" s="1"/>
  <c r="M119" i="3" s="1"/>
  <c r="M120" i="3" s="1"/>
  <c r="M121" i="3" s="1"/>
  <c r="M122" i="3" s="1"/>
  <c r="M123" i="3" s="1"/>
  <c r="I105" i="3"/>
  <c r="J94" i="3" s="1"/>
  <c r="J95" i="3" s="1"/>
  <c r="J96" i="3" s="1"/>
  <c r="J97" i="3" s="1"/>
  <c r="J98" i="3" s="1"/>
  <c r="J99" i="3" s="1"/>
  <c r="J100" i="3" s="1"/>
  <c r="J101" i="3" s="1"/>
  <c r="J102" i="3" s="1"/>
  <c r="J103" i="3" s="1"/>
  <c r="J104" i="3" s="1"/>
  <c r="J105" i="3" s="1"/>
  <c r="K94" i="3" s="1"/>
  <c r="K95" i="3" s="1"/>
  <c r="K96" i="3" s="1"/>
  <c r="K97" i="3" s="1"/>
  <c r="K98" i="3" s="1"/>
  <c r="K99" i="3" s="1"/>
  <c r="K100" i="3" s="1"/>
  <c r="K101" i="3" s="1"/>
  <c r="K102" i="3" s="1"/>
  <c r="K103" i="3" s="1"/>
  <c r="K104" i="3" s="1"/>
  <c r="K105" i="3" s="1"/>
  <c r="L94" i="3" s="1"/>
  <c r="L95" i="3" s="1"/>
  <c r="L96" i="3" s="1"/>
  <c r="L97" i="3" s="1"/>
  <c r="L98" i="3" s="1"/>
  <c r="L99" i="3" s="1"/>
  <c r="L100" i="3" s="1"/>
  <c r="L101" i="3" s="1"/>
  <c r="L102" i="3" s="1"/>
  <c r="L103" i="3" s="1"/>
  <c r="L104" i="3" s="1"/>
  <c r="L105" i="3" s="1"/>
  <c r="M94" i="3" s="1"/>
  <c r="M95" i="3" s="1"/>
  <c r="M96" i="3" s="1"/>
  <c r="M97" i="3" s="1"/>
  <c r="M98" i="3" s="1"/>
  <c r="M99" i="3" s="1"/>
  <c r="M100" i="3" s="1"/>
  <c r="M101" i="3" s="1"/>
  <c r="M102" i="3" s="1"/>
  <c r="M103" i="3" s="1"/>
  <c r="M104" i="3" s="1"/>
  <c r="M105" i="3" s="1"/>
  <c r="N94" i="3" s="1"/>
  <c r="N95" i="3" s="1"/>
  <c r="N96" i="3" s="1"/>
  <c r="N97" i="3" s="1"/>
  <c r="J75" i="3"/>
  <c r="J76" i="3" s="1"/>
  <c r="J77" i="3" s="1"/>
  <c r="J78" i="3" s="1"/>
  <c r="J79" i="3" s="1"/>
  <c r="J80" i="3" s="1"/>
  <c r="J81" i="3" s="1"/>
  <c r="J82" i="3" s="1"/>
  <c r="J83" i="3" s="1"/>
  <c r="J84" i="3" s="1"/>
  <c r="J85" i="3" s="1"/>
  <c r="J86" i="3" s="1"/>
  <c r="K75" i="3" s="1"/>
  <c r="K76" i="3" s="1"/>
  <c r="K77" i="3" s="1"/>
  <c r="K78" i="3" s="1"/>
  <c r="K79" i="3" s="1"/>
  <c r="K80" i="3" s="1"/>
  <c r="K81" i="3" s="1"/>
  <c r="K82" i="3" s="1"/>
  <c r="K83" i="3" s="1"/>
  <c r="K84" i="3" s="1"/>
  <c r="K85" i="3" s="1"/>
  <c r="K86" i="3" s="1"/>
  <c r="L75" i="3" s="1"/>
  <c r="L76" i="3" s="1"/>
  <c r="L77" i="3" s="1"/>
  <c r="L78" i="3" s="1"/>
  <c r="L79" i="3" s="1"/>
  <c r="L80" i="3" s="1"/>
  <c r="L81" i="3" s="1"/>
  <c r="L82" i="3" s="1"/>
  <c r="L83" i="3" s="1"/>
  <c r="L84" i="3" s="1"/>
  <c r="L85" i="3" s="1"/>
  <c r="L86" i="3" s="1"/>
  <c r="M75" i="3" s="1"/>
  <c r="M76" i="3" s="1"/>
  <c r="M77" i="3" s="1"/>
  <c r="M78" i="3" s="1"/>
  <c r="M79" i="3" s="1"/>
  <c r="M80" i="3" s="1"/>
  <c r="M81" i="3" s="1"/>
  <c r="M82" i="3" s="1"/>
  <c r="M83" i="3" s="1"/>
  <c r="M84" i="3" s="1"/>
  <c r="M85" i="3" s="1"/>
  <c r="M86" i="3" s="1"/>
  <c r="N75" i="3" s="1"/>
  <c r="N76" i="3" s="1"/>
  <c r="N77" i="3" s="1"/>
  <c r="N78" i="3" s="1"/>
  <c r="N79" i="3" s="1"/>
  <c r="N80" i="3" s="1"/>
  <c r="N81" i="3" s="1"/>
  <c r="N82" i="3" s="1"/>
  <c r="N83" i="3" s="1"/>
  <c r="J58" i="3"/>
  <c r="J59" i="3" s="1"/>
  <c r="J60" i="3" s="1"/>
  <c r="J61" i="3" s="1"/>
  <c r="J62" i="3" s="1"/>
  <c r="J63" i="3" s="1"/>
  <c r="J64" i="3" s="1"/>
  <c r="J65" i="3" s="1"/>
  <c r="J66" i="3" s="1"/>
  <c r="J67" i="3" s="1"/>
  <c r="K56" i="3" s="1"/>
  <c r="K57" i="3" s="1"/>
  <c r="K58" i="3" s="1"/>
  <c r="K59" i="3" s="1"/>
  <c r="K60" i="3" s="1"/>
  <c r="K61" i="3" s="1"/>
  <c r="K62" i="3" s="1"/>
  <c r="K63" i="3" s="1"/>
  <c r="K64" i="3" s="1"/>
  <c r="K65" i="3" s="1"/>
  <c r="K66" i="3" s="1"/>
  <c r="K67" i="3" s="1"/>
  <c r="L56" i="3" s="1"/>
  <c r="L57" i="3" s="1"/>
  <c r="L58" i="3" s="1"/>
  <c r="L59" i="3" s="1"/>
  <c r="L60" i="3" s="1"/>
  <c r="L61" i="3" s="1"/>
  <c r="L62" i="3" s="1"/>
  <c r="L63" i="3" s="1"/>
  <c r="L64" i="3" s="1"/>
  <c r="L65" i="3" s="1"/>
  <c r="L66" i="3" s="1"/>
  <c r="L67" i="3" s="1"/>
  <c r="M56" i="3" s="1"/>
  <c r="M57" i="3" s="1"/>
  <c r="M58" i="3" s="1"/>
  <c r="M59" i="3" s="1"/>
  <c r="M60" i="3" s="1"/>
  <c r="M61" i="3" s="1"/>
  <c r="M62" i="3" s="1"/>
  <c r="M63" i="3" s="1"/>
  <c r="M64" i="3" s="1"/>
  <c r="M65" i="3" s="1"/>
  <c r="M66" i="3" s="1"/>
  <c r="M67" i="3" s="1"/>
  <c r="N56" i="3" s="1"/>
  <c r="N57" i="3" s="1"/>
  <c r="N58" i="3" s="1"/>
  <c r="N59" i="3" s="1"/>
  <c r="N60" i="3" s="1"/>
  <c r="N61" i="3" s="1"/>
  <c r="N62" i="3" s="1"/>
  <c r="N63" i="3" s="1"/>
  <c r="N64" i="3" s="1"/>
  <c r="N65" i="3" s="1"/>
  <c r="N66" i="3" s="1"/>
  <c r="N67" i="3" s="1"/>
  <c r="O56" i="3" s="1"/>
  <c r="O57" i="3" s="1"/>
  <c r="O58" i="3" s="1"/>
  <c r="Q22" i="6"/>
  <c r="Q31" i="6" s="1"/>
  <c r="S22" i="6"/>
  <c r="S31" i="6" s="1"/>
  <c r="X75" i="1"/>
  <c r="X76" i="1" s="1"/>
  <c r="X77" i="1" s="1"/>
  <c r="X78" i="1" s="1"/>
  <c r="X79" i="1" s="1"/>
  <c r="X80" i="1" s="1"/>
  <c r="X81" i="1" s="1"/>
  <c r="X82" i="1" s="1"/>
  <c r="X83" i="1" s="1"/>
  <c r="X84" i="1" s="1"/>
  <c r="X85" i="1" s="1"/>
  <c r="X86" i="1" s="1"/>
  <c r="Y75" i="1" s="1"/>
  <c r="Y76" i="1" s="1"/>
  <c r="Y77" i="1" s="1"/>
  <c r="Y78" i="1" s="1"/>
  <c r="Y79" i="1" s="1"/>
  <c r="Y80" i="1" s="1"/>
  <c r="Y81" i="1" s="1"/>
  <c r="Y82" i="1" s="1"/>
  <c r="Y83" i="1" s="1"/>
  <c r="Y84" i="1" s="1"/>
  <c r="Y85" i="1" s="1"/>
  <c r="Y86" i="1" s="1"/>
  <c r="Z75" i="1" s="1"/>
  <c r="Z76" i="1" s="1"/>
  <c r="Z77" i="1" s="1"/>
  <c r="Z78" i="1" s="1"/>
  <c r="Z79" i="1" s="1"/>
  <c r="Z80" i="1" s="1"/>
  <c r="Z81" i="1" s="1"/>
  <c r="Z82" i="1" s="1"/>
  <c r="Z83" i="1" s="1"/>
  <c r="Z84" i="1" s="1"/>
  <c r="Z85" i="1" s="1"/>
  <c r="Z86" i="1" s="1"/>
  <c r="AA75" i="1" s="1"/>
  <c r="AA76" i="1" s="1"/>
  <c r="AA77" i="1" s="1"/>
  <c r="AA78" i="1" s="1"/>
  <c r="AA79" i="1" s="1"/>
  <c r="AA80" i="1" s="1"/>
  <c r="AA81" i="1" s="1"/>
  <c r="AA82" i="1" s="1"/>
  <c r="AA83" i="1" s="1"/>
  <c r="AA84" i="1" s="1"/>
  <c r="AA85" i="1" s="1"/>
  <c r="AA86" i="1" s="1"/>
  <c r="AB75" i="1" s="1"/>
  <c r="AB76" i="1" s="1"/>
  <c r="AB77" i="1" s="1"/>
  <c r="AB78" i="1" s="1"/>
  <c r="AB79" i="1" s="1"/>
  <c r="AB80" i="1" s="1"/>
  <c r="AB81" i="1" s="1"/>
  <c r="AB82" i="1" s="1"/>
  <c r="AB83" i="1" s="1"/>
  <c r="AB84" i="1" s="1"/>
  <c r="AB85" i="1" s="1"/>
  <c r="AB86" i="1" s="1"/>
  <c r="S5" i="6" s="1"/>
  <c r="X37" i="1"/>
  <c r="X38" i="1" s="1"/>
  <c r="X39" i="1" s="1"/>
  <c r="X40" i="1" s="1"/>
  <c r="X41" i="1" s="1"/>
  <c r="X42" i="1" s="1"/>
  <c r="X43" i="1" s="1"/>
  <c r="X44" i="1" s="1"/>
  <c r="X45" i="1" s="1"/>
  <c r="X46" i="1" s="1"/>
  <c r="X47" i="1" s="1"/>
  <c r="X48" i="1" s="1"/>
  <c r="Y37" i="1" s="1"/>
  <c r="Y38" i="1" s="1"/>
  <c r="Y39" i="1" s="1"/>
  <c r="Y40" i="1" s="1"/>
  <c r="Y41" i="1" s="1"/>
  <c r="Y42" i="1" s="1"/>
  <c r="Y43" i="1" s="1"/>
  <c r="Y44" i="1" s="1"/>
  <c r="Y45" i="1" s="1"/>
  <c r="Y46" i="1" s="1"/>
  <c r="Y47" i="1" s="1"/>
  <c r="Y48" i="1" s="1"/>
  <c r="Z37" i="1" s="1"/>
  <c r="Z38" i="1" s="1"/>
  <c r="Z39" i="1" s="1"/>
  <c r="Z40" i="1" s="1"/>
  <c r="Z41" i="1" s="1"/>
  <c r="Z42" i="1" s="1"/>
  <c r="Z43" i="1" s="1"/>
  <c r="Z44" i="1" s="1"/>
  <c r="Z45" i="1" s="1"/>
  <c r="Z46" i="1" s="1"/>
  <c r="Z47" i="1" s="1"/>
  <c r="Z48" i="1" s="1"/>
  <c r="AA37" i="1" s="1"/>
  <c r="AA38" i="1" s="1"/>
  <c r="AA39" i="1" s="1"/>
  <c r="AA40" i="1" s="1"/>
  <c r="AA41" i="1" s="1"/>
  <c r="AA42" i="1" s="1"/>
  <c r="AA43" i="1" s="1"/>
  <c r="AA44" i="1" s="1"/>
  <c r="AA45" i="1" s="1"/>
  <c r="AA46" i="1" s="1"/>
  <c r="AA47" i="1" s="1"/>
  <c r="AA48" i="1" s="1"/>
  <c r="AB37" i="1" s="1"/>
  <c r="AB38" i="1" s="1"/>
  <c r="AB39" i="1" s="1"/>
  <c r="AB40" i="1" s="1"/>
  <c r="AB41" i="1" s="1"/>
  <c r="AB42" i="1" s="1"/>
  <c r="AB43" i="1" s="1"/>
  <c r="AB44" i="1" s="1"/>
  <c r="AB45" i="1" s="1"/>
  <c r="AB46" i="1" s="1"/>
  <c r="AB47" i="1" s="1"/>
  <c r="AB48" i="1" s="1"/>
  <c r="Q5" i="6" s="1"/>
  <c r="K60" i="2"/>
  <c r="K61" i="2" s="1"/>
  <c r="K62" i="2" s="1"/>
  <c r="K63" i="2" s="1"/>
  <c r="K64" i="2" s="1"/>
  <c r="K65" i="2" s="1"/>
  <c r="K66" i="2" s="1"/>
  <c r="K67" i="2" s="1"/>
  <c r="L56" i="2" s="1"/>
  <c r="L57" i="2" s="1"/>
  <c r="L58" i="2" s="1"/>
  <c r="L59" i="2" s="1"/>
  <c r="L60" i="2" s="1"/>
  <c r="L61" i="2" s="1"/>
  <c r="L62" i="2" s="1"/>
  <c r="L63" i="2" s="1"/>
  <c r="L64" i="2" s="1"/>
  <c r="L65" i="2" s="1"/>
  <c r="L66" i="2" s="1"/>
  <c r="L67" i="2" s="1"/>
  <c r="M56" i="2" s="1"/>
  <c r="M57" i="2" s="1"/>
  <c r="M58" i="2" s="1"/>
  <c r="M59" i="2" s="1"/>
  <c r="M60" i="2" s="1"/>
  <c r="M61" i="2" s="1"/>
  <c r="M62" i="2" s="1"/>
  <c r="M63" i="2" s="1"/>
  <c r="M64" i="2" s="1"/>
  <c r="M65" i="2" s="1"/>
  <c r="M66" i="2" s="1"/>
  <c r="M67" i="2" s="1"/>
  <c r="N56" i="2" s="1"/>
  <c r="N57" i="2" s="1"/>
  <c r="N58" i="2" s="1"/>
  <c r="N59" i="2" s="1"/>
  <c r="N60" i="2" s="1"/>
  <c r="N61" i="2" s="1"/>
  <c r="N62" i="2" s="1"/>
  <c r="N63" i="2" s="1"/>
  <c r="N64" i="2" s="1"/>
  <c r="N65" i="2" s="1"/>
  <c r="N66" i="2" s="1"/>
  <c r="N67" i="2" s="1"/>
  <c r="O56" i="2" s="1"/>
  <c r="O57" i="2" s="1"/>
  <c r="O58" i="2" s="1"/>
  <c r="O59" i="2" s="1"/>
  <c r="O60" i="2" s="1"/>
  <c r="O61" i="2" s="1"/>
  <c r="O62" i="2" s="1"/>
  <c r="O63" i="2" s="1"/>
  <c r="O64" i="2" s="1"/>
  <c r="O65" i="2" s="1"/>
  <c r="O66" i="2" s="1"/>
  <c r="O67" i="2" s="1"/>
  <c r="P56" i="2" s="1"/>
  <c r="P57" i="2" s="1"/>
  <c r="P58" i="2" s="1"/>
  <c r="P59" i="2" s="1"/>
  <c r="P60" i="2" s="1"/>
  <c r="P61" i="2" s="1"/>
  <c r="P62" i="2" s="1"/>
  <c r="P63" i="2" s="1"/>
  <c r="P64" i="2" s="1"/>
  <c r="P65" i="2" s="1"/>
  <c r="P66" i="2" s="1"/>
  <c r="P67" i="2" s="1"/>
  <c r="Q56" i="2" s="1"/>
  <c r="J155" i="2"/>
  <c r="J156" i="2" s="1"/>
  <c r="J157" i="2" s="1"/>
  <c r="J158" i="2" s="1"/>
  <c r="J159" i="2" s="1"/>
  <c r="J160" i="2" s="1"/>
  <c r="J161" i="2" s="1"/>
  <c r="J162" i="2" s="1"/>
  <c r="K151" i="2" s="1"/>
  <c r="K152" i="2" s="1"/>
  <c r="K153" i="2" s="1"/>
  <c r="K154" i="2" s="1"/>
  <c r="K155" i="2" s="1"/>
  <c r="K156" i="2" s="1"/>
  <c r="K157" i="2" s="1"/>
  <c r="K158" i="2" s="1"/>
  <c r="K159" i="2" s="1"/>
  <c r="K160" i="2" s="1"/>
  <c r="K161" i="2" s="1"/>
  <c r="K162" i="2" s="1"/>
  <c r="L151" i="2" s="1"/>
  <c r="L152" i="2" s="1"/>
  <c r="L153" i="2" s="1"/>
  <c r="L154" i="2" s="1"/>
  <c r="L155" i="2" s="1"/>
  <c r="L156" i="2" s="1"/>
  <c r="L157" i="2" s="1"/>
  <c r="L158" i="2" s="1"/>
  <c r="L159" i="2" s="1"/>
  <c r="L160" i="2" s="1"/>
  <c r="L161" i="2" s="1"/>
  <c r="L162" i="2" s="1"/>
  <c r="M151" i="2" s="1"/>
  <c r="M152" i="2" s="1"/>
  <c r="M153" i="2" s="1"/>
  <c r="M154" i="2" s="1"/>
  <c r="M155" i="2" s="1"/>
  <c r="M156" i="2" s="1"/>
  <c r="M157" i="2" s="1"/>
  <c r="M158" i="2" s="1"/>
  <c r="M159" i="2" s="1"/>
  <c r="M160" i="2" s="1"/>
  <c r="M161" i="2" s="1"/>
  <c r="M162" i="2" s="1"/>
  <c r="N151" i="2" s="1"/>
  <c r="N152" i="2" s="1"/>
  <c r="N153" i="2" s="1"/>
  <c r="N154" i="2" s="1"/>
  <c r="N155" i="2" s="1"/>
  <c r="J104" i="2"/>
  <c r="J105" i="2" s="1"/>
  <c r="K94" i="2" s="1"/>
  <c r="K95" i="2" s="1"/>
  <c r="K96" i="2" s="1"/>
  <c r="K97" i="2" s="1"/>
  <c r="K98" i="2" s="1"/>
  <c r="K99" i="2" s="1"/>
  <c r="K100" i="2" s="1"/>
  <c r="K101" i="2" s="1"/>
  <c r="K102" i="2" s="1"/>
  <c r="K103" i="2" s="1"/>
  <c r="K104" i="2" s="1"/>
  <c r="K105" i="2" s="1"/>
  <c r="L94" i="2" s="1"/>
  <c r="L95" i="2" s="1"/>
  <c r="L96" i="2" s="1"/>
  <c r="L97" i="2" s="1"/>
  <c r="L98" i="2" s="1"/>
  <c r="L99" i="2" s="1"/>
  <c r="L100" i="2" s="1"/>
  <c r="L101" i="2" s="1"/>
  <c r="L102" i="2" s="1"/>
  <c r="L103" i="2" s="1"/>
  <c r="L104" i="2" s="1"/>
  <c r="L105" i="2" s="1"/>
  <c r="M94" i="2" s="1"/>
  <c r="M95" i="2" s="1"/>
  <c r="M96" i="2" s="1"/>
  <c r="M97" i="2" s="1"/>
  <c r="M98" i="2" s="1"/>
  <c r="M99" i="2" s="1"/>
  <c r="M100" i="2" s="1"/>
  <c r="M101" i="2" s="1"/>
  <c r="M102" i="2" s="1"/>
  <c r="M103" i="2" s="1"/>
  <c r="M104" i="2" s="1"/>
  <c r="M105" i="2" s="1"/>
  <c r="N94" i="2" s="1"/>
  <c r="N95" i="2" s="1"/>
  <c r="N96" i="2" s="1"/>
  <c r="N97" i="2" s="1"/>
  <c r="N98" i="2" s="1"/>
  <c r="N99" i="2" s="1"/>
  <c r="N100" i="2" s="1"/>
  <c r="N101" i="2" s="1"/>
  <c r="N102" i="2" s="1"/>
  <c r="N103" i="2" s="1"/>
  <c r="N104" i="2" s="1"/>
  <c r="N105" i="2" s="1"/>
  <c r="O94" i="2" s="1"/>
  <c r="O95" i="2" s="1"/>
  <c r="O96" i="2" s="1"/>
  <c r="O97" i="2" s="1"/>
  <c r="O98" i="2" s="1"/>
  <c r="O99" i="2" s="1"/>
  <c r="O100" i="2" s="1"/>
  <c r="O101" i="2" s="1"/>
  <c r="O102" i="2" s="1"/>
  <c r="O103" i="2" s="1"/>
  <c r="J121" i="2"/>
  <c r="J122" i="2" s="1"/>
  <c r="J123" i="2" s="1"/>
  <c r="J124" i="2" s="1"/>
  <c r="K113" i="2" s="1"/>
  <c r="K114" i="2" s="1"/>
  <c r="K115" i="2" s="1"/>
  <c r="K116" i="2" s="1"/>
  <c r="K117" i="2" s="1"/>
  <c r="K118" i="2" s="1"/>
  <c r="K119" i="2" s="1"/>
  <c r="K120" i="2" s="1"/>
  <c r="K121" i="2" s="1"/>
  <c r="K122" i="2" s="1"/>
  <c r="K123" i="2" s="1"/>
  <c r="K124" i="2" s="1"/>
  <c r="L113" i="2" s="1"/>
  <c r="L114" i="2" s="1"/>
  <c r="L115" i="2" s="1"/>
  <c r="L116" i="2" s="1"/>
  <c r="L117" i="2" s="1"/>
  <c r="L118" i="2" s="1"/>
  <c r="L119" i="2" s="1"/>
  <c r="L120" i="2" s="1"/>
  <c r="L121" i="2" s="1"/>
  <c r="L122" i="2" s="1"/>
  <c r="L123" i="2" s="1"/>
  <c r="L124" i="2" s="1"/>
  <c r="M113" i="2" s="1"/>
  <c r="M114" i="2" s="1"/>
  <c r="M115" i="2" s="1"/>
  <c r="M116" i="2" s="1"/>
  <c r="M117" i="2" s="1"/>
  <c r="M118" i="2" s="1"/>
  <c r="M119" i="2" s="1"/>
  <c r="M120" i="2" s="1"/>
  <c r="M121" i="2" s="1"/>
  <c r="M122" i="2" s="1"/>
  <c r="M123" i="2" s="1"/>
  <c r="M124" i="2" s="1"/>
  <c r="N113" i="2" s="1"/>
  <c r="N114" i="2" s="1"/>
  <c r="N115" i="2" s="1"/>
  <c r="N116" i="2" s="1"/>
  <c r="N117" i="2" s="1"/>
  <c r="N118" i="2" s="1"/>
  <c r="N119" i="2" s="1"/>
  <c r="N120" i="2" s="1"/>
  <c r="N121" i="2" s="1"/>
  <c r="N122" i="2" s="1"/>
  <c r="N123" i="2" s="1"/>
  <c r="N124" i="2" s="1"/>
  <c r="O113" i="2" s="1"/>
  <c r="O114" i="2" s="1"/>
  <c r="O115" i="2" s="1"/>
  <c r="O116" i="2" s="1"/>
  <c r="K44" i="2"/>
  <c r="K45" i="2" s="1"/>
  <c r="K46" i="2" s="1"/>
  <c r="K47" i="2" s="1"/>
  <c r="K48" i="2" s="1"/>
  <c r="L37" i="2" s="1"/>
  <c r="L38" i="2" s="1"/>
  <c r="L39" i="2" s="1"/>
  <c r="L40" i="2" s="1"/>
  <c r="L41" i="2" s="1"/>
  <c r="L42" i="2" s="1"/>
  <c r="L43" i="2" s="1"/>
  <c r="L44" i="2" s="1"/>
  <c r="L45" i="2" s="1"/>
  <c r="L46" i="2" s="1"/>
  <c r="L47" i="2" s="1"/>
  <c r="L48" i="2" s="1"/>
  <c r="M37" i="2" s="1"/>
  <c r="M38" i="2" s="1"/>
  <c r="M39" i="2" s="1"/>
  <c r="M40" i="2" s="1"/>
  <c r="M41" i="2" s="1"/>
  <c r="M42" i="2" s="1"/>
  <c r="M43" i="2" s="1"/>
  <c r="M44" i="2" s="1"/>
  <c r="M45" i="2" s="1"/>
  <c r="M46" i="2" s="1"/>
  <c r="M47" i="2" s="1"/>
  <c r="M48" i="2" s="1"/>
  <c r="N37" i="2" s="1"/>
  <c r="N38" i="2" s="1"/>
  <c r="N39" i="2" s="1"/>
  <c r="N40" i="2" s="1"/>
  <c r="N41" i="2" s="1"/>
  <c r="N42" i="2" s="1"/>
  <c r="N43" i="2" s="1"/>
  <c r="N44" i="2" s="1"/>
  <c r="N45" i="2" s="1"/>
  <c r="N46" i="2" s="1"/>
  <c r="N47" i="2" s="1"/>
  <c r="N48" i="2" s="1"/>
  <c r="O37" i="2" s="1"/>
  <c r="O38" i="2" s="1"/>
  <c r="O39" i="2" s="1"/>
  <c r="O40" i="2" s="1"/>
  <c r="O41" i="2" s="1"/>
  <c r="O42" i="2" s="1"/>
  <c r="O43" i="2" s="1"/>
  <c r="O44" i="2" s="1"/>
  <c r="O45" i="2" s="1"/>
  <c r="O46" i="2" s="1"/>
  <c r="O47" i="2" s="1"/>
  <c r="O48" i="2" s="1"/>
  <c r="P37" i="2" s="1"/>
  <c r="P38" i="2" s="1"/>
  <c r="P39" i="2" s="1"/>
  <c r="P40" i="2" s="1"/>
  <c r="P41" i="2" s="1"/>
  <c r="P42" i="2" s="1"/>
  <c r="P43" i="2" s="1"/>
  <c r="P44" i="2" s="1"/>
  <c r="P45" i="2" s="1"/>
  <c r="P46" i="2" s="1"/>
  <c r="P47" i="2" s="1"/>
  <c r="P48" i="2" s="1"/>
  <c r="Q37" i="2" s="1"/>
  <c r="Q38" i="2" s="1"/>
  <c r="Q39" i="2" s="1"/>
  <c r="Q40" i="2" s="1"/>
  <c r="Q41" i="2" s="1"/>
  <c r="Q42" i="2" s="1"/>
  <c r="Q43" i="2" s="1"/>
  <c r="Q44" i="2" s="1"/>
  <c r="Q45" i="2" s="1"/>
  <c r="Q46" i="2" s="1"/>
  <c r="J138" i="2"/>
  <c r="J139" i="2" s="1"/>
  <c r="J140" i="2" s="1"/>
  <c r="J141" i="2" s="1"/>
  <c r="J142" i="2" s="1"/>
  <c r="J143" i="2" s="1"/>
  <c r="K132" i="2" s="1"/>
  <c r="K133" i="2" s="1"/>
  <c r="K134" i="2" s="1"/>
  <c r="K135" i="2" s="1"/>
  <c r="K136" i="2" s="1"/>
  <c r="K137" i="2" s="1"/>
  <c r="K138" i="2" s="1"/>
  <c r="K139" i="2" s="1"/>
  <c r="K140" i="2" s="1"/>
  <c r="K141" i="2" s="1"/>
  <c r="K142" i="2" s="1"/>
  <c r="K143" i="2" s="1"/>
  <c r="L132" i="2" s="1"/>
  <c r="L133" i="2" s="1"/>
  <c r="L134" i="2" s="1"/>
  <c r="L135" i="2" s="1"/>
  <c r="L136" i="2" s="1"/>
  <c r="L137" i="2" s="1"/>
  <c r="L138" i="2" s="1"/>
  <c r="L139" i="2" s="1"/>
  <c r="L140" i="2" s="1"/>
  <c r="L141" i="2" s="1"/>
  <c r="L142" i="2" s="1"/>
  <c r="L143" i="2" s="1"/>
  <c r="M132" i="2" s="1"/>
  <c r="M133" i="2" s="1"/>
  <c r="M134" i="2" s="1"/>
  <c r="M135" i="2" s="1"/>
  <c r="M136" i="2" s="1"/>
  <c r="M137" i="2" s="1"/>
  <c r="M138" i="2" s="1"/>
  <c r="M139" i="2" s="1"/>
  <c r="M140" i="2" s="1"/>
  <c r="M141" i="2" s="1"/>
  <c r="M142" i="2" s="1"/>
  <c r="M143" i="2" s="1"/>
  <c r="N132" i="2" s="1"/>
  <c r="N133" i="2" s="1"/>
  <c r="N134" i="2" s="1"/>
  <c r="N135" i="2" s="1"/>
  <c r="N136" i="2" s="1"/>
  <c r="N137" i="2" s="1"/>
  <c r="N138" i="2" s="1"/>
  <c r="N139" i="2" s="1"/>
  <c r="N140" i="2" s="1"/>
  <c r="N141" i="2" s="1"/>
  <c r="V24" i="2"/>
  <c r="V25" i="2" s="1"/>
  <c r="V26" i="2" s="1"/>
  <c r="W15" i="2" s="1"/>
  <c r="W16" i="2" s="1"/>
  <c r="W17" i="2" s="1"/>
  <c r="W18" i="2" s="1"/>
  <c r="W19" i="2" s="1"/>
  <c r="W20" i="2" s="1"/>
  <c r="W21" i="2" s="1"/>
  <c r="W22" i="2" s="1"/>
  <c r="W23" i="2" s="1"/>
  <c r="W24" i="2" s="1"/>
  <c r="W25" i="2" s="1"/>
  <c r="W26" i="2" s="1"/>
  <c r="I20" i="1"/>
  <c r="I21" i="1" s="1"/>
  <c r="I22" i="1" s="1"/>
  <c r="I23" i="1" s="1"/>
  <c r="I24" i="1" s="1"/>
  <c r="I25" i="1" s="1"/>
  <c r="I26" i="1" s="1"/>
  <c r="J15" i="1" s="1"/>
  <c r="J16" i="1" s="1"/>
  <c r="J17" i="1" s="1"/>
  <c r="J18" i="1" s="1"/>
  <c r="J19" i="1" s="1"/>
  <c r="J20" i="1" s="1"/>
  <c r="J21" i="1" s="1"/>
  <c r="J22" i="1" s="1"/>
  <c r="J23" i="1" s="1"/>
  <c r="J24" i="1" s="1"/>
  <c r="J25" i="1" s="1"/>
  <c r="J26" i="1" s="1"/>
  <c r="K15" i="1" s="1"/>
  <c r="K16" i="1" s="1"/>
  <c r="K17" i="1" s="1"/>
  <c r="K18" i="1" s="1"/>
  <c r="K19" i="1" s="1"/>
  <c r="K20" i="1" s="1"/>
  <c r="K21" i="1" s="1"/>
  <c r="K22" i="1" s="1"/>
  <c r="K23" i="1" s="1"/>
  <c r="K24" i="1" s="1"/>
  <c r="K25" i="1" s="1"/>
  <c r="K26" i="1" s="1"/>
  <c r="L15" i="1" s="1"/>
  <c r="L16" i="1" s="1"/>
  <c r="L17" i="1" s="1"/>
  <c r="L18" i="1" s="1"/>
  <c r="L19" i="1" s="1"/>
  <c r="L20" i="1" s="1"/>
  <c r="L21" i="1" s="1"/>
  <c r="L22" i="1" s="1"/>
  <c r="L23" i="1" s="1"/>
  <c r="L24" i="1" s="1"/>
  <c r="L25" i="1" s="1"/>
  <c r="L26" i="1" s="1"/>
  <c r="M15" i="1" s="1"/>
  <c r="M16" i="1" s="1"/>
  <c r="M17" i="1" s="1"/>
  <c r="M18" i="1" s="1"/>
  <c r="M19" i="1" s="1"/>
  <c r="M20" i="1" s="1"/>
  <c r="M21" i="1" s="1"/>
  <c r="M22" i="1" s="1"/>
  <c r="M23" i="1" s="1"/>
  <c r="M24" i="1" s="1"/>
  <c r="M25" i="1" s="1"/>
  <c r="M26" i="1" s="1"/>
  <c r="N15" i="1" s="1"/>
  <c r="N16" i="1" s="1"/>
  <c r="N17" i="1" s="1"/>
  <c r="N18" i="1" s="1"/>
  <c r="N19" i="1" s="1"/>
  <c r="N20" i="1" s="1"/>
  <c r="N21" i="1" s="1"/>
  <c r="N22" i="1" s="1"/>
  <c r="N23" i="1" s="1"/>
  <c r="N24" i="1" s="1"/>
  <c r="N25" i="1" s="1"/>
  <c r="N26" i="1" s="1"/>
  <c r="O15" i="1" s="1"/>
  <c r="O16" i="1" s="1"/>
  <c r="O17" i="1" s="1"/>
  <c r="O18" i="1" s="1"/>
  <c r="O19" i="1" s="1"/>
  <c r="O20" i="1" s="1"/>
  <c r="O21" i="1" s="1"/>
  <c r="O22" i="1" s="1"/>
  <c r="O23" i="1" s="1"/>
  <c r="O24" i="1" s="1"/>
  <c r="O25" i="1" s="1"/>
  <c r="O26" i="1" s="1"/>
  <c r="P15" i="1" s="1"/>
  <c r="P16" i="1" s="1"/>
  <c r="P17" i="1" s="1"/>
  <c r="P18" i="1" s="1"/>
  <c r="P19" i="1" s="1"/>
  <c r="P20" i="1" s="1"/>
  <c r="P21" i="1" s="1"/>
  <c r="P22" i="1" s="1"/>
  <c r="P23" i="1" s="1"/>
  <c r="P24" i="1" s="1"/>
  <c r="P25" i="1" s="1"/>
  <c r="P26" i="1" s="1"/>
  <c r="Q15" i="1" s="1"/>
  <c r="Q16" i="1" s="1"/>
  <c r="Q17" i="1" s="1"/>
  <c r="Q18" i="1" s="1"/>
  <c r="Q19" i="1" s="1"/>
  <c r="Q20" i="1" s="1"/>
  <c r="Q21" i="1" s="1"/>
  <c r="Q22" i="1" s="1"/>
  <c r="Q23" i="1" s="1"/>
  <c r="Q24" i="1" s="1"/>
  <c r="Q25" i="1" s="1"/>
  <c r="Q26" i="1" s="1"/>
  <c r="R15" i="1" s="1"/>
  <c r="R16" i="1" s="1"/>
  <c r="R17" i="1" s="1"/>
  <c r="R18" i="1" s="1"/>
  <c r="Q116" i="1"/>
  <c r="Q117" i="1" s="1"/>
  <c r="Q118" i="1" s="1"/>
  <c r="Q119" i="1" s="1"/>
  <c r="Q120" i="1" s="1"/>
  <c r="Q121" i="1" s="1"/>
  <c r="Q122" i="1" s="1"/>
  <c r="Q123" i="1" s="1"/>
  <c r="Q124" i="1" s="1"/>
  <c r="R113" i="1" s="1"/>
  <c r="R114" i="1" s="1"/>
  <c r="R115" i="1" s="1"/>
  <c r="R116" i="1" s="1"/>
  <c r="R117" i="1" s="1"/>
  <c r="R118" i="1" s="1"/>
  <c r="R119" i="1" s="1"/>
  <c r="R120" i="1" s="1"/>
  <c r="R121" i="1" s="1"/>
  <c r="R122" i="1" s="1"/>
  <c r="R123" i="1" s="1"/>
  <c r="R124" i="1" s="1"/>
  <c r="S113" i="1" s="1"/>
  <c r="S114" i="1" s="1"/>
  <c r="S115" i="1" s="1"/>
  <c r="S116" i="1" s="1"/>
  <c r="S117" i="1" s="1"/>
  <c r="S118" i="1" s="1"/>
  <c r="S119" i="1" s="1"/>
  <c r="S120" i="1" s="1"/>
  <c r="S121" i="1" s="1"/>
  <c r="S122" i="1" s="1"/>
  <c r="S123" i="1" s="1"/>
  <c r="S124" i="1" s="1"/>
  <c r="T113" i="1" s="1"/>
  <c r="T114" i="1" s="1"/>
  <c r="T115" i="1" s="1"/>
  <c r="T116" i="1" s="1"/>
  <c r="T117" i="1" s="1"/>
  <c r="T118" i="1" s="1"/>
  <c r="T119" i="1" s="1"/>
  <c r="T120" i="1" s="1"/>
  <c r="T121" i="1" s="1"/>
  <c r="T122" i="1" s="1"/>
  <c r="T123" i="1" s="1"/>
  <c r="T124" i="1" s="1"/>
  <c r="U113" i="1" s="1"/>
  <c r="U114" i="1" s="1"/>
  <c r="U115" i="1" s="1"/>
  <c r="U116" i="1" s="1"/>
  <c r="U117" i="1" s="1"/>
  <c r="U118" i="1" s="1"/>
  <c r="U119" i="1" s="1"/>
  <c r="U120" i="1" s="1"/>
  <c r="U121" i="1" s="1"/>
  <c r="U122" i="1" s="1"/>
  <c r="U123" i="1" s="1"/>
  <c r="U124" i="1" s="1"/>
  <c r="V113" i="1" s="1"/>
  <c r="V114" i="1" s="1"/>
  <c r="V115" i="1" s="1"/>
  <c r="V116" i="1" s="1"/>
  <c r="V117" i="1" s="1"/>
  <c r="V118" i="1" s="1"/>
  <c r="V119" i="1" s="1"/>
  <c r="V120" i="1" s="1"/>
  <c r="V121" i="1" s="1"/>
  <c r="V122" i="1" s="1"/>
  <c r="V123" i="1" s="1"/>
  <c r="V124" i="1" s="1"/>
  <c r="W113" i="1" s="1"/>
  <c r="W114" i="1" s="1"/>
  <c r="W115" i="1" s="1"/>
  <c r="W116" i="1" s="1"/>
  <c r="W117" i="1" s="1"/>
  <c r="W118" i="1" s="1"/>
  <c r="W119" i="1" s="1"/>
  <c r="W120" i="1" s="1"/>
  <c r="W121" i="1" s="1"/>
  <c r="W122" i="1" s="1"/>
  <c r="W123" i="1" s="1"/>
  <c r="W124" i="1" s="1"/>
  <c r="H5" i="6" s="1"/>
  <c r="H22" i="6" s="1"/>
  <c r="H31" i="6" s="1"/>
  <c r="P140" i="1"/>
  <c r="P141" i="1" s="1"/>
  <c r="P142" i="1" s="1"/>
  <c r="P143" i="1" s="1"/>
  <c r="Q132" i="1" s="1"/>
  <c r="Q133" i="1" s="1"/>
  <c r="Q134" i="1" s="1"/>
  <c r="Q135" i="1" s="1"/>
  <c r="Q136" i="1" s="1"/>
  <c r="Q137" i="1" s="1"/>
  <c r="Q138" i="1" s="1"/>
  <c r="Q139" i="1" s="1"/>
  <c r="Q140" i="1" s="1"/>
  <c r="Q141" i="1" s="1"/>
  <c r="Q142" i="1" s="1"/>
  <c r="Q143" i="1" s="1"/>
  <c r="R132" i="1" s="1"/>
  <c r="R133" i="1" s="1"/>
  <c r="R134" i="1" s="1"/>
  <c r="R135" i="1" s="1"/>
  <c r="R136" i="1" s="1"/>
  <c r="R137" i="1" s="1"/>
  <c r="R138" i="1" s="1"/>
  <c r="R139" i="1" s="1"/>
  <c r="R140" i="1" s="1"/>
  <c r="R141" i="1" s="1"/>
  <c r="R142" i="1" s="1"/>
  <c r="R143" i="1" s="1"/>
  <c r="S132" i="1" s="1"/>
  <c r="S133" i="1" s="1"/>
  <c r="S134" i="1" s="1"/>
  <c r="S135" i="1" s="1"/>
  <c r="S136" i="1" s="1"/>
  <c r="S137" i="1" s="1"/>
  <c r="S138" i="1" s="1"/>
  <c r="S139" i="1" s="1"/>
  <c r="S140" i="1" s="1"/>
  <c r="S141" i="1" s="1"/>
  <c r="S142" i="1" s="1"/>
  <c r="S143" i="1" s="1"/>
  <c r="T132" i="1" s="1"/>
  <c r="T133" i="1" s="1"/>
  <c r="T134" i="1" s="1"/>
  <c r="T135" i="1" s="1"/>
  <c r="T136" i="1" s="1"/>
  <c r="T137" i="1" s="1"/>
  <c r="T138" i="1" s="1"/>
  <c r="T139" i="1" s="1"/>
  <c r="T140" i="1" s="1"/>
  <c r="T141" i="1" s="1"/>
  <c r="T142" i="1" s="1"/>
  <c r="T143" i="1" s="1"/>
  <c r="U132" i="1" s="1"/>
  <c r="U133" i="1" s="1"/>
  <c r="U134" i="1" s="1"/>
  <c r="U135" i="1" s="1"/>
  <c r="U136" i="1" s="1"/>
  <c r="U137" i="1" s="1"/>
  <c r="U138" i="1" s="1"/>
  <c r="U139" i="1" s="1"/>
  <c r="U140" i="1" s="1"/>
  <c r="U141" i="1" s="1"/>
  <c r="U142" i="1" s="1"/>
  <c r="U143" i="1" s="1"/>
  <c r="V132" i="1" s="1"/>
  <c r="V133" i="1" s="1"/>
  <c r="V134" i="1" s="1"/>
  <c r="V135" i="1" s="1"/>
  <c r="V136" i="1" s="1"/>
  <c r="V137" i="1" s="1"/>
  <c r="V138" i="1" s="1"/>
  <c r="V139" i="1" s="1"/>
  <c r="V140" i="1" s="1"/>
  <c r="V141" i="1" s="1"/>
  <c r="V142" i="1" s="1"/>
  <c r="V143" i="1" s="1"/>
  <c r="W132" i="1" s="1"/>
  <c r="W133" i="1" s="1"/>
  <c r="W134" i="1" s="1"/>
  <c r="W135" i="1" s="1"/>
  <c r="W136" i="1" s="1"/>
  <c r="W137" i="1" s="1"/>
  <c r="W138" i="1" s="1"/>
  <c r="W139" i="1" s="1"/>
  <c r="W140" i="1" s="1"/>
  <c r="W141" i="1" s="1"/>
  <c r="W142" i="1" s="1"/>
  <c r="W143" i="1" s="1"/>
  <c r="I5" i="6" s="1"/>
  <c r="I22" i="6" s="1"/>
  <c r="I31" i="6" s="1"/>
  <c r="P152" i="1"/>
  <c r="P153" i="1" s="1"/>
  <c r="P154" i="1" s="1"/>
  <c r="P155" i="1" s="1"/>
  <c r="P156" i="1" s="1"/>
  <c r="P157" i="1" s="1"/>
  <c r="P158" i="1" s="1"/>
  <c r="P159" i="1" s="1"/>
  <c r="P160" i="1" s="1"/>
  <c r="P161" i="1" s="1"/>
  <c r="P162" i="1" s="1"/>
  <c r="Q151" i="1" s="1"/>
  <c r="Q152" i="1" s="1"/>
  <c r="Q153" i="1" s="1"/>
  <c r="Q154" i="1" s="1"/>
  <c r="Q155" i="1" s="1"/>
  <c r="Q156" i="1" s="1"/>
  <c r="Q157" i="1" s="1"/>
  <c r="Q158" i="1" s="1"/>
  <c r="Q159" i="1" s="1"/>
  <c r="Q160" i="1" s="1"/>
  <c r="Q161" i="1" s="1"/>
  <c r="Q162" i="1" s="1"/>
  <c r="R151" i="1" s="1"/>
  <c r="R152" i="1" s="1"/>
  <c r="R153" i="1" s="1"/>
  <c r="R154" i="1" s="1"/>
  <c r="R155" i="1" s="1"/>
  <c r="R156" i="1" s="1"/>
  <c r="R157" i="1" s="1"/>
  <c r="R158" i="1" s="1"/>
  <c r="R159" i="1" s="1"/>
  <c r="R160" i="1" s="1"/>
  <c r="R161" i="1" s="1"/>
  <c r="R162" i="1" s="1"/>
  <c r="S151" i="1" s="1"/>
  <c r="S152" i="1" s="1"/>
  <c r="S153" i="1" s="1"/>
  <c r="S154" i="1" s="1"/>
  <c r="S155" i="1" s="1"/>
  <c r="S156" i="1" s="1"/>
  <c r="S157" i="1" s="1"/>
  <c r="S158" i="1" s="1"/>
  <c r="S159" i="1" s="1"/>
  <c r="S160" i="1" s="1"/>
  <c r="S161" i="1" s="1"/>
  <c r="S162" i="1" s="1"/>
  <c r="T151" i="1" s="1"/>
  <c r="T152" i="1" s="1"/>
  <c r="T153" i="1" s="1"/>
  <c r="T154" i="1" s="1"/>
  <c r="T155" i="1" s="1"/>
  <c r="T156" i="1" s="1"/>
  <c r="T157" i="1" s="1"/>
  <c r="T158" i="1" s="1"/>
  <c r="T159" i="1" s="1"/>
  <c r="T160" i="1" s="1"/>
  <c r="T161" i="1" s="1"/>
  <c r="T162" i="1" s="1"/>
  <c r="U151" i="1" s="1"/>
  <c r="U152" i="1" s="1"/>
  <c r="U153" i="1" s="1"/>
  <c r="U154" i="1" s="1"/>
  <c r="U155" i="1" s="1"/>
  <c r="U156" i="1" s="1"/>
  <c r="U157" i="1" s="1"/>
  <c r="U158" i="1" s="1"/>
  <c r="U159" i="1" s="1"/>
  <c r="U160" i="1" s="1"/>
  <c r="U161" i="1" s="1"/>
  <c r="U162" i="1" s="1"/>
  <c r="V151" i="1" s="1"/>
  <c r="V152" i="1" s="1"/>
  <c r="V153" i="1" s="1"/>
  <c r="V154" i="1" s="1"/>
  <c r="V155" i="1" s="1"/>
  <c r="V156" i="1" s="1"/>
  <c r="V157" i="1" s="1"/>
  <c r="V158" i="1" s="1"/>
  <c r="V159" i="1" s="1"/>
  <c r="V160" i="1" s="1"/>
  <c r="V161" i="1" s="1"/>
  <c r="V162" i="1" s="1"/>
  <c r="W151" i="1" s="1"/>
  <c r="W152" i="1" s="1"/>
  <c r="W153" i="1" s="1"/>
  <c r="W154" i="1" s="1"/>
  <c r="W155" i="1" s="1"/>
  <c r="W156" i="1" s="1"/>
  <c r="W157" i="1" s="1"/>
  <c r="W158" i="1" s="1"/>
  <c r="W159" i="1" s="1"/>
  <c r="W160" i="1" s="1"/>
  <c r="W161" i="1" s="1"/>
  <c r="W162" i="1" s="1"/>
  <c r="J5" i="6" s="1"/>
  <c r="J22" i="6" s="1"/>
  <c r="J31" i="6" s="1"/>
  <c r="S63" i="1"/>
  <c r="S64" i="1" s="1"/>
  <c r="S65" i="1" s="1"/>
  <c r="S66" i="1" s="1"/>
  <c r="S67" i="1" s="1"/>
  <c r="T56" i="1" s="1"/>
  <c r="T57" i="1" s="1"/>
  <c r="T58" i="1" s="1"/>
  <c r="T59" i="1" s="1"/>
  <c r="T60" i="1" s="1"/>
  <c r="T61" i="1" s="1"/>
  <c r="T62" i="1" s="1"/>
  <c r="T63" i="1" s="1"/>
  <c r="T64" i="1" s="1"/>
  <c r="T65" i="1" s="1"/>
  <c r="T66" i="1" s="1"/>
  <c r="T67" i="1" s="1"/>
  <c r="U56" i="1" s="1"/>
  <c r="U57" i="1" s="1"/>
  <c r="U58" i="1" s="1"/>
  <c r="U59" i="1" s="1"/>
  <c r="U60" i="1" s="1"/>
  <c r="U61" i="1" s="1"/>
  <c r="U62" i="1" s="1"/>
  <c r="U63" i="1" s="1"/>
  <c r="U64" i="1" s="1"/>
  <c r="U65" i="1" s="1"/>
  <c r="U66" i="1" s="1"/>
  <c r="U67" i="1" s="1"/>
  <c r="V56" i="1" s="1"/>
  <c r="V57" i="1" s="1"/>
  <c r="V58" i="1" s="1"/>
  <c r="V59" i="1" s="1"/>
  <c r="V60" i="1" s="1"/>
  <c r="V61" i="1" s="1"/>
  <c r="V62" i="1" s="1"/>
  <c r="V63" i="1" s="1"/>
  <c r="V64" i="1" s="1"/>
  <c r="V65" i="1" s="1"/>
  <c r="V66" i="1" s="1"/>
  <c r="V67" i="1" s="1"/>
  <c r="W56" i="1" s="1"/>
  <c r="W57" i="1" s="1"/>
  <c r="W58" i="1" s="1"/>
  <c r="W59" i="1" s="1"/>
  <c r="W60" i="1" s="1"/>
  <c r="W61" i="1" s="1"/>
  <c r="W62" i="1" s="1"/>
  <c r="W63" i="1" s="1"/>
  <c r="W64" i="1" s="1"/>
  <c r="W65" i="1" s="1"/>
  <c r="W66" i="1" s="1"/>
  <c r="W67" i="1" s="1"/>
  <c r="E5" i="6" s="1"/>
  <c r="E22" i="6" s="1"/>
  <c r="E31" i="6" s="1"/>
  <c r="T94" i="1"/>
  <c r="T95" i="1" s="1"/>
  <c r="T96" i="1" s="1"/>
  <c r="T97" i="1" s="1"/>
  <c r="T98" i="1" s="1"/>
  <c r="T99" i="1" s="1"/>
  <c r="T100" i="1" s="1"/>
  <c r="T101" i="1" s="1"/>
  <c r="T102" i="1" s="1"/>
  <c r="T103" i="1" s="1"/>
  <c r="T104" i="1" s="1"/>
  <c r="T105" i="1" s="1"/>
  <c r="U94" i="1" s="1"/>
  <c r="U95" i="1" s="1"/>
  <c r="U96" i="1" s="1"/>
  <c r="U97" i="1" s="1"/>
  <c r="U98" i="1" s="1"/>
  <c r="U99" i="1" s="1"/>
  <c r="U100" i="1" s="1"/>
  <c r="U101" i="1" s="1"/>
  <c r="U102" i="1" s="1"/>
  <c r="U103" i="1" s="1"/>
  <c r="U104" i="1" s="1"/>
  <c r="U105" i="1" s="1"/>
  <c r="V94" i="1" s="1"/>
  <c r="V95" i="1" s="1"/>
  <c r="V96" i="1" s="1"/>
  <c r="V97" i="1" s="1"/>
  <c r="V98" i="1" s="1"/>
  <c r="V99" i="1" s="1"/>
  <c r="V100" i="1" s="1"/>
  <c r="V101" i="1" s="1"/>
  <c r="V102" i="1" s="1"/>
  <c r="V103" i="1" s="1"/>
  <c r="V104" i="1" s="1"/>
  <c r="V105" i="1" s="1"/>
  <c r="W94" i="1" s="1"/>
  <c r="W95" i="1" s="1"/>
  <c r="W96" i="1" s="1"/>
  <c r="W97" i="1" s="1"/>
  <c r="W98" i="1" s="1"/>
  <c r="W99" i="1" s="1"/>
  <c r="W100" i="1" s="1"/>
  <c r="W101" i="1" s="1"/>
  <c r="W102" i="1" s="1"/>
  <c r="W103" i="1" s="1"/>
  <c r="W104" i="1" s="1"/>
  <c r="W105" i="1" s="1"/>
  <c r="G5" i="6" s="1"/>
  <c r="G22" i="6" s="1"/>
  <c r="G31" i="6" s="1"/>
  <c r="AC56" i="4" l="1"/>
  <c r="AC57" i="4" s="1"/>
  <c r="AC58" i="4" s="1"/>
  <c r="AC59" i="4" s="1"/>
  <c r="AC60" i="4" s="1"/>
  <c r="AC61" i="4" s="1"/>
  <c r="AC62" i="4" s="1"/>
  <c r="AC63" i="4" s="1"/>
  <c r="AC64" i="4" s="1"/>
  <c r="AC65" i="4" s="1"/>
  <c r="AC66" i="4" s="1"/>
  <c r="AC67" i="4" s="1"/>
  <c r="AD56" i="4" s="1"/>
  <c r="AD57" i="4" s="1"/>
  <c r="AD58" i="4" s="1"/>
  <c r="AD59" i="4" s="1"/>
  <c r="AD60" i="4" s="1"/>
  <c r="AD61" i="4" s="1"/>
  <c r="AD62" i="4" s="1"/>
  <c r="AD63" i="4" s="1"/>
  <c r="AD64" i="4" s="1"/>
  <c r="AD65" i="4" s="1"/>
  <c r="AD66" i="4" s="1"/>
  <c r="AD67" i="4" s="1"/>
  <c r="AE56" i="4" s="1"/>
  <c r="AE57" i="4" s="1"/>
  <c r="AE58" i="4" s="1"/>
  <c r="AE59" i="4" s="1"/>
  <c r="AE60" i="4" s="1"/>
  <c r="AE61" i="4" s="1"/>
  <c r="AE62" i="4" s="1"/>
  <c r="AE63" i="4" s="1"/>
  <c r="AE64" i="4" s="1"/>
  <c r="AE65" i="4" s="1"/>
  <c r="AE66" i="4" s="1"/>
  <c r="AE67" i="4" s="1"/>
  <c r="AC151" i="4"/>
  <c r="AC152" i="4" s="1"/>
  <c r="AC153" i="4" s="1"/>
  <c r="AC154" i="4" s="1"/>
  <c r="AC155" i="4" s="1"/>
  <c r="AC156" i="4" s="1"/>
  <c r="AC157" i="4" s="1"/>
  <c r="AC158" i="4" s="1"/>
  <c r="AC159" i="4" s="1"/>
  <c r="AC160" i="4" s="1"/>
  <c r="AC161" i="4" s="1"/>
  <c r="AC162" i="4" s="1"/>
  <c r="AD151" i="4" s="1"/>
  <c r="AD152" i="4" s="1"/>
  <c r="AD153" i="4" s="1"/>
  <c r="AD154" i="4" s="1"/>
  <c r="AD155" i="4" s="1"/>
  <c r="AD156" i="4" s="1"/>
  <c r="AD157" i="4" s="1"/>
  <c r="AD158" i="4" s="1"/>
  <c r="AD159" i="4" s="1"/>
  <c r="AD160" i="4" s="1"/>
  <c r="AD161" i="4" s="1"/>
  <c r="AD162" i="4" s="1"/>
  <c r="AE151" i="4" s="1"/>
  <c r="AE152" i="4" s="1"/>
  <c r="AE153" i="4" s="1"/>
  <c r="AE154" i="4" s="1"/>
  <c r="AE155" i="4" s="1"/>
  <c r="AE156" i="4" s="1"/>
  <c r="AE157" i="4" s="1"/>
  <c r="AE158" i="4" s="1"/>
  <c r="AE159" i="4" s="1"/>
  <c r="AE160" i="4" s="1"/>
  <c r="AE161" i="4" s="1"/>
  <c r="AE162" i="4" s="1"/>
  <c r="AC75" i="4"/>
  <c r="AC76" i="4" s="1"/>
  <c r="AC77" i="4" s="1"/>
  <c r="AC78" i="4" s="1"/>
  <c r="AC79" i="4" s="1"/>
  <c r="AC80" i="4" s="1"/>
  <c r="AC81" i="4" s="1"/>
  <c r="AC82" i="4" s="1"/>
  <c r="AC83" i="4" s="1"/>
  <c r="AC84" i="4" s="1"/>
  <c r="AC85" i="4" s="1"/>
  <c r="AC86" i="4" s="1"/>
  <c r="AD75" i="4" s="1"/>
  <c r="AD76" i="4" s="1"/>
  <c r="AD77" i="4" s="1"/>
  <c r="AD78" i="4" s="1"/>
  <c r="AD79" i="4" s="1"/>
  <c r="AD80" i="4" s="1"/>
  <c r="AD81" i="4" s="1"/>
  <c r="AD82" i="4" s="1"/>
  <c r="AD83" i="4" s="1"/>
  <c r="AD84" i="4" s="1"/>
  <c r="AD85" i="4" s="1"/>
  <c r="AD86" i="4" s="1"/>
  <c r="AE75" i="4" s="1"/>
  <c r="AE76" i="4" s="1"/>
  <c r="AE77" i="4" s="1"/>
  <c r="AE78" i="4" s="1"/>
  <c r="AE79" i="4" s="1"/>
  <c r="AE80" i="4" s="1"/>
  <c r="AE81" i="4" s="1"/>
  <c r="AE82" i="4" s="1"/>
  <c r="AE83" i="4" s="1"/>
  <c r="AE84" i="4" s="1"/>
  <c r="AE85" i="4" s="1"/>
  <c r="AE86" i="4" s="1"/>
  <c r="AC37" i="4"/>
  <c r="AC38" i="4" s="1"/>
  <c r="AC39" i="4" s="1"/>
  <c r="AC40" i="4" s="1"/>
  <c r="AC41" i="4" s="1"/>
  <c r="AC42" i="4" s="1"/>
  <c r="AC43" i="4" s="1"/>
  <c r="AC44" i="4" s="1"/>
  <c r="AC45" i="4" s="1"/>
  <c r="AC46" i="4" s="1"/>
  <c r="AC47" i="4" s="1"/>
  <c r="AC48" i="4" s="1"/>
  <c r="AD37" i="4" s="1"/>
  <c r="AD38" i="4" s="1"/>
  <c r="AD39" i="4" s="1"/>
  <c r="AD40" i="4" s="1"/>
  <c r="AD41" i="4" s="1"/>
  <c r="AD42" i="4" s="1"/>
  <c r="AD43" i="4" s="1"/>
  <c r="AD44" i="4" s="1"/>
  <c r="AD45" i="4" s="1"/>
  <c r="AD46" i="4" s="1"/>
  <c r="AD47" i="4" s="1"/>
  <c r="AD48" i="4" s="1"/>
  <c r="AE37" i="4" s="1"/>
  <c r="AE38" i="4" s="1"/>
  <c r="AE39" i="4" s="1"/>
  <c r="AE40" i="4" s="1"/>
  <c r="AE41" i="4" s="1"/>
  <c r="AE42" i="4" s="1"/>
  <c r="AE43" i="4" s="1"/>
  <c r="AE44" i="4" s="1"/>
  <c r="AE45" i="4" s="1"/>
  <c r="AE46" i="4" s="1"/>
  <c r="AE47" i="4" s="1"/>
  <c r="AE48" i="4" s="1"/>
  <c r="O59" i="3"/>
  <c r="O60" i="3" s="1"/>
  <c r="O61" i="3" s="1"/>
  <c r="O62" i="3" s="1"/>
  <c r="O63" i="3" s="1"/>
  <c r="O64" i="3" s="1"/>
  <c r="O65" i="3" s="1"/>
  <c r="O66" i="3" s="1"/>
  <c r="O67" i="3" s="1"/>
  <c r="P56" i="3" s="1"/>
  <c r="P57" i="3" s="1"/>
  <c r="P58" i="3" s="1"/>
  <c r="P59" i="3" s="1"/>
  <c r="P60" i="3" s="1"/>
  <c r="P61" i="3" s="1"/>
  <c r="P62" i="3" s="1"/>
  <c r="P63" i="3" s="1"/>
  <c r="P64" i="3" s="1"/>
  <c r="P65" i="3" s="1"/>
  <c r="P66" i="3" s="1"/>
  <c r="P67" i="3" s="1"/>
  <c r="Q56" i="3" s="1"/>
  <c r="Q57" i="3" s="1"/>
  <c r="Q58" i="3" s="1"/>
  <c r="Q59" i="3" s="1"/>
  <c r="Q60" i="3" s="1"/>
  <c r="Q61" i="3" s="1"/>
  <c r="Q62" i="3" s="1"/>
  <c r="Q63" i="3" s="1"/>
  <c r="Q64" i="3" s="1"/>
  <c r="Q65" i="3" s="1"/>
  <c r="Q66" i="3" s="1"/>
  <c r="Q67" i="3" s="1"/>
  <c r="R56" i="3" s="1"/>
  <c r="R57" i="3" s="1"/>
  <c r="R58" i="3" s="1"/>
  <c r="R59" i="3" s="1"/>
  <c r="R60" i="3" s="1"/>
  <c r="R61" i="3" s="1"/>
  <c r="R62" i="3" s="1"/>
  <c r="R63" i="3" s="1"/>
  <c r="R64" i="3" s="1"/>
  <c r="R65" i="3" s="1"/>
  <c r="R66" i="3" s="1"/>
  <c r="R67" i="3" s="1"/>
  <c r="S56" i="3" s="1"/>
  <c r="S57" i="3" s="1"/>
  <c r="S58" i="3" s="1"/>
  <c r="S59" i="3" s="1"/>
  <c r="S60" i="3" s="1"/>
  <c r="S61" i="3" s="1"/>
  <c r="S62" i="3" s="1"/>
  <c r="S63" i="3" s="1"/>
  <c r="S64" i="3" s="1"/>
  <c r="S65" i="3" s="1"/>
  <c r="S66" i="3" s="1"/>
  <c r="S67" i="3" s="1"/>
  <c r="T56" i="3" s="1"/>
  <c r="T57" i="3" s="1"/>
  <c r="T58" i="3" s="1"/>
  <c r="T59" i="3" s="1"/>
  <c r="T60" i="3" s="1"/>
  <c r="T61" i="3" s="1"/>
  <c r="T62" i="3" s="1"/>
  <c r="T63" i="3" s="1"/>
  <c r="T64" i="3" s="1"/>
  <c r="T65" i="3" s="1"/>
  <c r="T66" i="3" s="1"/>
  <c r="T67" i="3" s="1"/>
  <c r="U56" i="3" s="1"/>
  <c r="U57" i="3" s="1"/>
  <c r="U58" i="3" s="1"/>
  <c r="U59" i="3" s="1"/>
  <c r="U60" i="3" s="1"/>
  <c r="U61" i="3" s="1"/>
  <c r="U62" i="3" s="1"/>
  <c r="U63" i="3" s="1"/>
  <c r="U64" i="3" s="1"/>
  <c r="U65" i="3" s="1"/>
  <c r="U66" i="3" s="1"/>
  <c r="U67" i="3" s="1"/>
  <c r="V56" i="3" s="1"/>
  <c r="V57" i="3" s="1"/>
  <c r="V58" i="3" s="1"/>
  <c r="V59" i="3" s="1"/>
  <c r="V60" i="3" s="1"/>
  <c r="V61" i="3" s="1"/>
  <c r="V62" i="3" s="1"/>
  <c r="V63" i="3" s="1"/>
  <c r="V64" i="3" s="1"/>
  <c r="V65" i="3" s="1"/>
  <c r="V66" i="3" s="1"/>
  <c r="V67" i="3" s="1"/>
  <c r="W56" i="3" s="1"/>
  <c r="W57" i="3" s="1"/>
  <c r="W58" i="3" s="1"/>
  <c r="W59" i="3" s="1"/>
  <c r="W60" i="3" s="1"/>
  <c r="W61" i="3" s="1"/>
  <c r="W62" i="3" s="1"/>
  <c r="W63" i="3" s="1"/>
  <c r="W64" i="3" s="1"/>
  <c r="W65" i="3" s="1"/>
  <c r="W66" i="3" s="1"/>
  <c r="W67" i="3" s="1"/>
  <c r="N84" i="3"/>
  <c r="N85" i="3" s="1"/>
  <c r="N86" i="3" s="1"/>
  <c r="O75" i="3" s="1"/>
  <c r="O76" i="3" s="1"/>
  <c r="O77" i="3" s="1"/>
  <c r="O78" i="3" s="1"/>
  <c r="O79" i="3" s="1"/>
  <c r="O80" i="3" s="1"/>
  <c r="O81" i="3" s="1"/>
  <c r="O82" i="3" s="1"/>
  <c r="O83" i="3" s="1"/>
  <c r="O84" i="3" s="1"/>
  <c r="O85" i="3" s="1"/>
  <c r="O86" i="3" s="1"/>
  <c r="P75" i="3" s="1"/>
  <c r="P76" i="3" s="1"/>
  <c r="P77" i="3" s="1"/>
  <c r="P78" i="3" s="1"/>
  <c r="P79" i="3" s="1"/>
  <c r="P80" i="3" s="1"/>
  <c r="P81" i="3" s="1"/>
  <c r="P82" i="3" s="1"/>
  <c r="P83" i="3" s="1"/>
  <c r="P84" i="3" s="1"/>
  <c r="P85" i="3" s="1"/>
  <c r="P86" i="3" s="1"/>
  <c r="Q75" i="3" s="1"/>
  <c r="Q76" i="3" s="1"/>
  <c r="Q77" i="3" s="1"/>
  <c r="Q78" i="3" s="1"/>
  <c r="Q79" i="3" s="1"/>
  <c r="Q80" i="3" s="1"/>
  <c r="Q81" i="3" s="1"/>
  <c r="Q82" i="3" s="1"/>
  <c r="Q83" i="3" s="1"/>
  <c r="Q84" i="3" s="1"/>
  <c r="Q85" i="3" s="1"/>
  <c r="Q86" i="3" s="1"/>
  <c r="R75" i="3" s="1"/>
  <c r="R76" i="3" s="1"/>
  <c r="R77" i="3" s="1"/>
  <c r="R78" i="3" s="1"/>
  <c r="R79" i="3" s="1"/>
  <c r="R80" i="3" s="1"/>
  <c r="R81" i="3" s="1"/>
  <c r="R82" i="3" s="1"/>
  <c r="R83" i="3" s="1"/>
  <c r="R84" i="3" s="1"/>
  <c r="R85" i="3" s="1"/>
  <c r="R86" i="3" s="1"/>
  <c r="S75" i="3" s="1"/>
  <c r="S76" i="3" s="1"/>
  <c r="S77" i="3" s="1"/>
  <c r="S78" i="3" s="1"/>
  <c r="S79" i="3" s="1"/>
  <c r="S80" i="3" s="1"/>
  <c r="S81" i="3" s="1"/>
  <c r="S82" i="3" s="1"/>
  <c r="S83" i="3" s="1"/>
  <c r="S84" i="3" s="1"/>
  <c r="S85" i="3" s="1"/>
  <c r="S86" i="3" s="1"/>
  <c r="T75" i="3" s="1"/>
  <c r="T76" i="3" s="1"/>
  <c r="T77" i="3" s="1"/>
  <c r="T78" i="3" s="1"/>
  <c r="T79" i="3" s="1"/>
  <c r="T80" i="3" s="1"/>
  <c r="T81" i="3" s="1"/>
  <c r="T82" i="3" s="1"/>
  <c r="T83" i="3" s="1"/>
  <c r="T84" i="3" s="1"/>
  <c r="T85" i="3" s="1"/>
  <c r="T86" i="3" s="1"/>
  <c r="U75" i="3" s="1"/>
  <c r="U76" i="3" s="1"/>
  <c r="U77" i="3" s="1"/>
  <c r="U78" i="3" s="1"/>
  <c r="U79" i="3" s="1"/>
  <c r="U80" i="3" s="1"/>
  <c r="U81" i="3" s="1"/>
  <c r="U82" i="3" s="1"/>
  <c r="U83" i="3" s="1"/>
  <c r="U84" i="3" s="1"/>
  <c r="U85" i="3" s="1"/>
  <c r="U86" i="3" s="1"/>
  <c r="V75" i="3" s="1"/>
  <c r="V76" i="3" s="1"/>
  <c r="V77" i="3" s="1"/>
  <c r="V78" i="3" s="1"/>
  <c r="V79" i="3" s="1"/>
  <c r="V80" i="3" s="1"/>
  <c r="V81" i="3" s="1"/>
  <c r="V82" i="3" s="1"/>
  <c r="V83" i="3" s="1"/>
  <c r="V84" i="3" s="1"/>
  <c r="V85" i="3" s="1"/>
  <c r="V86" i="3" s="1"/>
  <c r="W75" i="3" s="1"/>
  <c r="W76" i="3" s="1"/>
  <c r="W77" i="3" s="1"/>
  <c r="W78" i="3" s="1"/>
  <c r="W79" i="3" s="1"/>
  <c r="W80" i="3" s="1"/>
  <c r="W81" i="3" s="1"/>
  <c r="W82" i="3" s="1"/>
  <c r="W83" i="3" s="1"/>
  <c r="W84" i="3" s="1"/>
  <c r="W85" i="3" s="1"/>
  <c r="W86" i="3" s="1"/>
  <c r="N98" i="3"/>
  <c r="N99" i="3" s="1"/>
  <c r="N100" i="3" s="1"/>
  <c r="N101" i="3" s="1"/>
  <c r="N102" i="3" s="1"/>
  <c r="N103" i="3" s="1"/>
  <c r="N104" i="3" s="1"/>
  <c r="N105" i="3" s="1"/>
  <c r="O94" i="3" s="1"/>
  <c r="O95" i="3" s="1"/>
  <c r="O96" i="3" s="1"/>
  <c r="O97" i="3" s="1"/>
  <c r="O98" i="3" s="1"/>
  <c r="O99" i="3" s="1"/>
  <c r="O100" i="3" s="1"/>
  <c r="O101" i="3" s="1"/>
  <c r="O102" i="3" s="1"/>
  <c r="O103" i="3" s="1"/>
  <c r="O104" i="3" s="1"/>
  <c r="O105" i="3" s="1"/>
  <c r="P94" i="3" s="1"/>
  <c r="P95" i="3" s="1"/>
  <c r="P96" i="3" s="1"/>
  <c r="P97" i="3" s="1"/>
  <c r="P98" i="3" s="1"/>
  <c r="P99" i="3" s="1"/>
  <c r="P100" i="3" s="1"/>
  <c r="P101" i="3" s="1"/>
  <c r="P102" i="3" s="1"/>
  <c r="P103" i="3" s="1"/>
  <c r="P104" i="3" s="1"/>
  <c r="P105" i="3" s="1"/>
  <c r="Q94" i="3" s="1"/>
  <c r="Q95" i="3" s="1"/>
  <c r="Q96" i="3" s="1"/>
  <c r="Q97" i="3" s="1"/>
  <c r="Q98" i="3" s="1"/>
  <c r="Q99" i="3" s="1"/>
  <c r="Q100" i="3" s="1"/>
  <c r="Q101" i="3" s="1"/>
  <c r="Q102" i="3" s="1"/>
  <c r="Q103" i="3" s="1"/>
  <c r="Q104" i="3" s="1"/>
  <c r="Q105" i="3" s="1"/>
  <c r="R94" i="3" s="1"/>
  <c r="R95" i="3" s="1"/>
  <c r="R96" i="3" s="1"/>
  <c r="R97" i="3" s="1"/>
  <c r="R98" i="3" s="1"/>
  <c r="R99" i="3" s="1"/>
  <c r="R100" i="3" s="1"/>
  <c r="R101" i="3" s="1"/>
  <c r="R102" i="3" s="1"/>
  <c r="R103" i="3" s="1"/>
  <c r="R104" i="3" s="1"/>
  <c r="R105" i="3" s="1"/>
  <c r="S94" i="3" s="1"/>
  <c r="S95" i="3" s="1"/>
  <c r="S96" i="3" s="1"/>
  <c r="S97" i="3" s="1"/>
  <c r="S98" i="3" s="1"/>
  <c r="S99" i="3" s="1"/>
  <c r="S100" i="3" s="1"/>
  <c r="S101" i="3" s="1"/>
  <c r="S102" i="3" s="1"/>
  <c r="S103" i="3" s="1"/>
  <c r="S104" i="3" s="1"/>
  <c r="S105" i="3" s="1"/>
  <c r="T94" i="3" s="1"/>
  <c r="T95" i="3" s="1"/>
  <c r="T96" i="3" s="1"/>
  <c r="T97" i="3" s="1"/>
  <c r="T98" i="3" s="1"/>
  <c r="T99" i="3" s="1"/>
  <c r="T100" i="3" s="1"/>
  <c r="T101" i="3" s="1"/>
  <c r="T102" i="3" s="1"/>
  <c r="T103" i="3" s="1"/>
  <c r="T104" i="3" s="1"/>
  <c r="T105" i="3" s="1"/>
  <c r="U94" i="3" s="1"/>
  <c r="U95" i="3" s="1"/>
  <c r="U96" i="3" s="1"/>
  <c r="U97" i="3" s="1"/>
  <c r="U98" i="3" s="1"/>
  <c r="U99" i="3" s="1"/>
  <c r="U100" i="3" s="1"/>
  <c r="U101" i="3" s="1"/>
  <c r="U102" i="3" s="1"/>
  <c r="U103" i="3" s="1"/>
  <c r="U104" i="3" s="1"/>
  <c r="U105" i="3" s="1"/>
  <c r="V94" i="3" s="1"/>
  <c r="V95" i="3" s="1"/>
  <c r="V96" i="3" s="1"/>
  <c r="V97" i="3" s="1"/>
  <c r="V98" i="3" s="1"/>
  <c r="V99" i="3" s="1"/>
  <c r="V100" i="3" s="1"/>
  <c r="V101" i="3" s="1"/>
  <c r="V102" i="3" s="1"/>
  <c r="V103" i="3" s="1"/>
  <c r="V104" i="3" s="1"/>
  <c r="V105" i="3" s="1"/>
  <c r="W94" i="3" s="1"/>
  <c r="W95" i="3" s="1"/>
  <c r="W96" i="3" s="1"/>
  <c r="W97" i="3" s="1"/>
  <c r="W98" i="3" s="1"/>
  <c r="W99" i="3" s="1"/>
  <c r="W100" i="3" s="1"/>
  <c r="W101" i="3" s="1"/>
  <c r="W102" i="3" s="1"/>
  <c r="W103" i="3" s="1"/>
  <c r="W104" i="3" s="1"/>
  <c r="W105" i="3" s="1"/>
  <c r="X94" i="3" s="1"/>
  <c r="X95" i="3" s="1"/>
  <c r="X96" i="3" s="1"/>
  <c r="X97" i="3" s="1"/>
  <c r="X98" i="3" s="1"/>
  <c r="X99" i="3" s="1"/>
  <c r="X100" i="3" s="1"/>
  <c r="X101" i="3" s="1"/>
  <c r="X102" i="3" s="1"/>
  <c r="X103" i="3" s="1"/>
  <c r="X104" i="3" s="1"/>
  <c r="X105" i="3" s="1"/>
  <c r="Y94" i="3" s="1"/>
  <c r="Y95" i="3" s="1"/>
  <c r="Y96" i="3" s="1"/>
  <c r="Y97" i="3" s="1"/>
  <c r="Y98" i="3" s="1"/>
  <c r="Y99" i="3" s="1"/>
  <c r="Y100" i="3" s="1"/>
  <c r="Y101" i="3" s="1"/>
  <c r="Y102" i="3" s="1"/>
  <c r="Y103" i="3" s="1"/>
  <c r="Y104" i="3" s="1"/>
  <c r="Y105" i="3" s="1"/>
  <c r="Z94" i="3" s="1"/>
  <c r="Z95" i="3" s="1"/>
  <c r="Z96" i="3" s="1"/>
  <c r="Z97" i="3" s="1"/>
  <c r="Z98" i="3" s="1"/>
  <c r="Z99" i="3" s="1"/>
  <c r="Z100" i="3" s="1"/>
  <c r="Z101" i="3" s="1"/>
  <c r="Z102" i="3" s="1"/>
  <c r="Z103" i="3" s="1"/>
  <c r="Z104" i="3" s="1"/>
  <c r="Z105" i="3" s="1"/>
  <c r="AA94" i="3" s="1"/>
  <c r="AA95" i="3" s="1"/>
  <c r="AA96" i="3" s="1"/>
  <c r="AA97" i="3" s="1"/>
  <c r="AA98" i="3" s="1"/>
  <c r="AA99" i="3" s="1"/>
  <c r="AA100" i="3" s="1"/>
  <c r="AA101" i="3" s="1"/>
  <c r="AA102" i="3" s="1"/>
  <c r="AA103" i="3" s="1"/>
  <c r="AA104" i="3" s="1"/>
  <c r="AA105" i="3" s="1"/>
  <c r="AB94" i="3" s="1"/>
  <c r="AB95" i="3" s="1"/>
  <c r="AB96" i="3" s="1"/>
  <c r="AB97" i="3" s="1"/>
  <c r="AB98" i="3" s="1"/>
  <c r="AB99" i="3" s="1"/>
  <c r="AB100" i="3" s="1"/>
  <c r="AB101" i="3" s="1"/>
  <c r="AB102" i="3" s="1"/>
  <c r="AB103" i="3" s="1"/>
  <c r="AB104" i="3" s="1"/>
  <c r="AB105" i="3" s="1"/>
  <c r="M124" i="3"/>
  <c r="N113" i="3" s="1"/>
  <c r="N114" i="3" s="1"/>
  <c r="N115" i="3" s="1"/>
  <c r="N116" i="3" s="1"/>
  <c r="N117" i="3" s="1"/>
  <c r="N118" i="3" s="1"/>
  <c r="N119" i="3" s="1"/>
  <c r="N120" i="3" s="1"/>
  <c r="N121" i="3" s="1"/>
  <c r="N122" i="3" s="1"/>
  <c r="N123" i="3" s="1"/>
  <c r="N124" i="3" s="1"/>
  <c r="O113" i="3" s="1"/>
  <c r="O114" i="3" s="1"/>
  <c r="O115" i="3" s="1"/>
  <c r="O116" i="3" s="1"/>
  <c r="O117" i="3" s="1"/>
  <c r="O118" i="3" s="1"/>
  <c r="O119" i="3" s="1"/>
  <c r="O120" i="3" s="1"/>
  <c r="O121" i="3" s="1"/>
  <c r="O122" i="3" s="1"/>
  <c r="O123" i="3" s="1"/>
  <c r="O124" i="3" s="1"/>
  <c r="P113" i="3" s="1"/>
  <c r="P114" i="3" s="1"/>
  <c r="P115" i="3" s="1"/>
  <c r="P116" i="3" s="1"/>
  <c r="P117" i="3" s="1"/>
  <c r="P118" i="3" s="1"/>
  <c r="P119" i="3" s="1"/>
  <c r="P120" i="3" s="1"/>
  <c r="P121" i="3" s="1"/>
  <c r="P122" i="3" s="1"/>
  <c r="P123" i="3" s="1"/>
  <c r="P124" i="3" s="1"/>
  <c r="Q113" i="3" s="1"/>
  <c r="Q114" i="3" s="1"/>
  <c r="Q115" i="3" s="1"/>
  <c r="Q116" i="3" s="1"/>
  <c r="Q117" i="3" s="1"/>
  <c r="Q118" i="3" s="1"/>
  <c r="Q119" i="3" s="1"/>
  <c r="Q120" i="3" s="1"/>
  <c r="Q121" i="3" s="1"/>
  <c r="Q122" i="3" s="1"/>
  <c r="Q123" i="3" s="1"/>
  <c r="Q124" i="3" s="1"/>
  <c r="R113" i="3" s="1"/>
  <c r="R114" i="3" s="1"/>
  <c r="R115" i="3" s="1"/>
  <c r="R116" i="3" s="1"/>
  <c r="R117" i="3" s="1"/>
  <c r="R118" i="3" s="1"/>
  <c r="R119" i="3" s="1"/>
  <c r="R120" i="3" s="1"/>
  <c r="R121" i="3" s="1"/>
  <c r="R122" i="3" s="1"/>
  <c r="R123" i="3" s="1"/>
  <c r="R124" i="3" s="1"/>
  <c r="S113" i="3" s="1"/>
  <c r="S114" i="3" s="1"/>
  <c r="S115" i="3" s="1"/>
  <c r="S116" i="3" s="1"/>
  <c r="S117" i="3" s="1"/>
  <c r="S118" i="3" s="1"/>
  <c r="S119" i="3" s="1"/>
  <c r="S120" i="3" s="1"/>
  <c r="S121" i="3" s="1"/>
  <c r="S122" i="3" s="1"/>
  <c r="S123" i="3" s="1"/>
  <c r="S124" i="3" s="1"/>
  <c r="T113" i="3" s="1"/>
  <c r="T114" i="3" s="1"/>
  <c r="T115" i="3" s="1"/>
  <c r="T116" i="3" s="1"/>
  <c r="T117" i="3" s="1"/>
  <c r="T118" i="3" s="1"/>
  <c r="T119" i="3" s="1"/>
  <c r="T120" i="3" s="1"/>
  <c r="T121" i="3" s="1"/>
  <c r="T122" i="3" s="1"/>
  <c r="T123" i="3" s="1"/>
  <c r="T124" i="3" s="1"/>
  <c r="U113" i="3" s="1"/>
  <c r="U114" i="3" s="1"/>
  <c r="U115" i="3" s="1"/>
  <c r="U116" i="3" s="1"/>
  <c r="U117" i="3" s="1"/>
  <c r="U118" i="3" s="1"/>
  <c r="U119" i="3" s="1"/>
  <c r="U120" i="3" s="1"/>
  <c r="U121" i="3" s="1"/>
  <c r="U122" i="3" s="1"/>
  <c r="U123" i="3" s="1"/>
  <c r="U124" i="3" s="1"/>
  <c r="V113" i="3" s="1"/>
  <c r="V114" i="3" s="1"/>
  <c r="V115" i="3" s="1"/>
  <c r="V116" i="3" s="1"/>
  <c r="V117" i="3" s="1"/>
  <c r="V118" i="3" s="1"/>
  <c r="V119" i="3" s="1"/>
  <c r="V120" i="3" s="1"/>
  <c r="V121" i="3" s="1"/>
  <c r="V122" i="3" s="1"/>
  <c r="V123" i="3" s="1"/>
  <c r="V124" i="3" s="1"/>
  <c r="W113" i="3" s="1"/>
  <c r="W114" i="3" s="1"/>
  <c r="W115" i="3" s="1"/>
  <c r="W116" i="3" s="1"/>
  <c r="W117" i="3" s="1"/>
  <c r="W118" i="3" s="1"/>
  <c r="W119" i="3" s="1"/>
  <c r="W120" i="3" s="1"/>
  <c r="W121" i="3" s="1"/>
  <c r="W122" i="3" s="1"/>
  <c r="W123" i="3" s="1"/>
  <c r="W124" i="3" s="1"/>
  <c r="X113" i="3" s="1"/>
  <c r="X114" i="3" s="1"/>
  <c r="X115" i="3" s="1"/>
  <c r="X116" i="3" s="1"/>
  <c r="X117" i="3" s="1"/>
  <c r="X118" i="3" s="1"/>
  <c r="X119" i="3" s="1"/>
  <c r="X120" i="3" s="1"/>
  <c r="X121" i="3" s="1"/>
  <c r="X122" i="3" s="1"/>
  <c r="X123" i="3" s="1"/>
  <c r="X124" i="3" s="1"/>
  <c r="Y113" i="3" s="1"/>
  <c r="Y114" i="3" s="1"/>
  <c r="Y115" i="3" s="1"/>
  <c r="Y116" i="3" s="1"/>
  <c r="Y117" i="3" s="1"/>
  <c r="Y118" i="3" s="1"/>
  <c r="Y119" i="3" s="1"/>
  <c r="Y120" i="3" s="1"/>
  <c r="Y121" i="3" s="1"/>
  <c r="Y122" i="3" s="1"/>
  <c r="Y123" i="3" s="1"/>
  <c r="Y124" i="3" s="1"/>
  <c r="Z113" i="3" s="1"/>
  <c r="Z114" i="3" s="1"/>
  <c r="Z115" i="3" s="1"/>
  <c r="Z116" i="3" s="1"/>
  <c r="Z117" i="3" s="1"/>
  <c r="Z118" i="3" s="1"/>
  <c r="Z119" i="3" s="1"/>
  <c r="Z120" i="3" s="1"/>
  <c r="Z121" i="3" s="1"/>
  <c r="Z122" i="3" s="1"/>
  <c r="Z123" i="3" s="1"/>
  <c r="Z124" i="3" s="1"/>
  <c r="AA113" i="3" s="1"/>
  <c r="AA114" i="3" s="1"/>
  <c r="AA115" i="3" s="1"/>
  <c r="AA116" i="3" s="1"/>
  <c r="AA117" i="3" s="1"/>
  <c r="AA118" i="3" s="1"/>
  <c r="AA119" i="3" s="1"/>
  <c r="AA120" i="3" s="1"/>
  <c r="AA121" i="3" s="1"/>
  <c r="AA122" i="3" s="1"/>
  <c r="AA123" i="3" s="1"/>
  <c r="AA124" i="3" s="1"/>
  <c r="AB113" i="3" s="1"/>
  <c r="AB114" i="3" s="1"/>
  <c r="AB115" i="3" s="1"/>
  <c r="AB116" i="3" s="1"/>
  <c r="AB117" i="3" s="1"/>
  <c r="AB118" i="3" s="1"/>
  <c r="AB119" i="3" s="1"/>
  <c r="AB120" i="3" s="1"/>
  <c r="AB121" i="3" s="1"/>
  <c r="AB122" i="3" s="1"/>
  <c r="AB123" i="3" s="1"/>
  <c r="AB124" i="3" s="1"/>
  <c r="M154" i="3"/>
  <c r="M155" i="3" s="1"/>
  <c r="M156" i="3" s="1"/>
  <c r="M157" i="3" s="1"/>
  <c r="M158" i="3" s="1"/>
  <c r="M159" i="3" s="1"/>
  <c r="M160" i="3" s="1"/>
  <c r="M161" i="3" s="1"/>
  <c r="M162" i="3" s="1"/>
  <c r="N151" i="3" s="1"/>
  <c r="N152" i="3" s="1"/>
  <c r="N153" i="3" s="1"/>
  <c r="N154" i="3" s="1"/>
  <c r="N155" i="3" s="1"/>
  <c r="N156" i="3" s="1"/>
  <c r="N157" i="3" s="1"/>
  <c r="N158" i="3" s="1"/>
  <c r="N159" i="3" s="1"/>
  <c r="N160" i="3" s="1"/>
  <c r="N161" i="3" s="1"/>
  <c r="N162" i="3" s="1"/>
  <c r="O151" i="3" s="1"/>
  <c r="O152" i="3" s="1"/>
  <c r="O153" i="3" s="1"/>
  <c r="O154" i="3" s="1"/>
  <c r="O155" i="3" s="1"/>
  <c r="O156" i="3" s="1"/>
  <c r="O157" i="3" s="1"/>
  <c r="O158" i="3" s="1"/>
  <c r="O159" i="3" s="1"/>
  <c r="O160" i="3" s="1"/>
  <c r="O161" i="3" s="1"/>
  <c r="O162" i="3" s="1"/>
  <c r="P151" i="3" s="1"/>
  <c r="P152" i="3" s="1"/>
  <c r="P153" i="3" s="1"/>
  <c r="P154" i="3" s="1"/>
  <c r="P155" i="3" s="1"/>
  <c r="P156" i="3" s="1"/>
  <c r="P157" i="3" s="1"/>
  <c r="P158" i="3" s="1"/>
  <c r="P159" i="3" s="1"/>
  <c r="P160" i="3" s="1"/>
  <c r="P161" i="3" s="1"/>
  <c r="P162" i="3" s="1"/>
  <c r="Q151" i="3" s="1"/>
  <c r="Q152" i="3" s="1"/>
  <c r="Q153" i="3" s="1"/>
  <c r="Q154" i="3" s="1"/>
  <c r="Q155" i="3" s="1"/>
  <c r="Q156" i="3" s="1"/>
  <c r="Q157" i="3" s="1"/>
  <c r="Q158" i="3" s="1"/>
  <c r="Q159" i="3" s="1"/>
  <c r="Q160" i="3" s="1"/>
  <c r="Q161" i="3" s="1"/>
  <c r="Q162" i="3" s="1"/>
  <c r="R151" i="3" s="1"/>
  <c r="R152" i="3" s="1"/>
  <c r="R153" i="3" s="1"/>
  <c r="R154" i="3" s="1"/>
  <c r="R155" i="3" s="1"/>
  <c r="R156" i="3" s="1"/>
  <c r="R157" i="3" s="1"/>
  <c r="R158" i="3" s="1"/>
  <c r="R159" i="3" s="1"/>
  <c r="R160" i="3" s="1"/>
  <c r="R161" i="3" s="1"/>
  <c r="R162" i="3" s="1"/>
  <c r="S151" i="3" s="1"/>
  <c r="S152" i="3" s="1"/>
  <c r="S153" i="3" s="1"/>
  <c r="S154" i="3" s="1"/>
  <c r="S155" i="3" s="1"/>
  <c r="S156" i="3" s="1"/>
  <c r="S157" i="3" s="1"/>
  <c r="S158" i="3" s="1"/>
  <c r="S159" i="3" s="1"/>
  <c r="S160" i="3" s="1"/>
  <c r="S161" i="3" s="1"/>
  <c r="S162" i="3" s="1"/>
  <c r="T151" i="3" s="1"/>
  <c r="T152" i="3" s="1"/>
  <c r="T153" i="3" s="1"/>
  <c r="T154" i="3" s="1"/>
  <c r="T155" i="3" s="1"/>
  <c r="T156" i="3" s="1"/>
  <c r="T157" i="3" s="1"/>
  <c r="T158" i="3" s="1"/>
  <c r="T159" i="3" s="1"/>
  <c r="T160" i="3" s="1"/>
  <c r="T161" i="3" s="1"/>
  <c r="T162" i="3" s="1"/>
  <c r="U151" i="3" s="1"/>
  <c r="U152" i="3" s="1"/>
  <c r="U153" i="3" s="1"/>
  <c r="U154" i="3" s="1"/>
  <c r="U155" i="3" s="1"/>
  <c r="U156" i="3" s="1"/>
  <c r="U157" i="3" s="1"/>
  <c r="U158" i="3" s="1"/>
  <c r="U159" i="3" s="1"/>
  <c r="U160" i="3" s="1"/>
  <c r="U161" i="3" s="1"/>
  <c r="U162" i="3" s="1"/>
  <c r="V151" i="3" s="1"/>
  <c r="V152" i="3" s="1"/>
  <c r="V153" i="3" s="1"/>
  <c r="V154" i="3" s="1"/>
  <c r="V155" i="3" s="1"/>
  <c r="V156" i="3" s="1"/>
  <c r="V157" i="3" s="1"/>
  <c r="V158" i="3" s="1"/>
  <c r="V159" i="3" s="1"/>
  <c r="V160" i="3" s="1"/>
  <c r="V161" i="3" s="1"/>
  <c r="V162" i="3" s="1"/>
  <c r="W151" i="3" s="1"/>
  <c r="W152" i="3" s="1"/>
  <c r="W153" i="3" s="1"/>
  <c r="W154" i="3" s="1"/>
  <c r="W155" i="3" s="1"/>
  <c r="W156" i="3" s="1"/>
  <c r="W157" i="3" s="1"/>
  <c r="W158" i="3" s="1"/>
  <c r="W159" i="3" s="1"/>
  <c r="W160" i="3" s="1"/>
  <c r="W161" i="3" s="1"/>
  <c r="W162" i="3" s="1"/>
  <c r="M139" i="3"/>
  <c r="M140" i="3" s="1"/>
  <c r="M141" i="3" s="1"/>
  <c r="M142" i="3" s="1"/>
  <c r="M143" i="3" s="1"/>
  <c r="N132" i="3" s="1"/>
  <c r="N133" i="3" s="1"/>
  <c r="N134" i="3" s="1"/>
  <c r="N135" i="3" s="1"/>
  <c r="N136" i="3" s="1"/>
  <c r="N137" i="3" s="1"/>
  <c r="N138" i="3" s="1"/>
  <c r="N139" i="3" s="1"/>
  <c r="N140" i="3" s="1"/>
  <c r="N141" i="3" s="1"/>
  <c r="N142" i="3" s="1"/>
  <c r="N143" i="3" s="1"/>
  <c r="O132" i="3" s="1"/>
  <c r="O133" i="3" s="1"/>
  <c r="O134" i="3" s="1"/>
  <c r="O135" i="3" s="1"/>
  <c r="O136" i="3" s="1"/>
  <c r="O137" i="3" s="1"/>
  <c r="O138" i="3" s="1"/>
  <c r="O139" i="3" s="1"/>
  <c r="O140" i="3" s="1"/>
  <c r="O141" i="3" s="1"/>
  <c r="O142" i="3" s="1"/>
  <c r="O143" i="3" s="1"/>
  <c r="P132" i="3" s="1"/>
  <c r="P133" i="3" s="1"/>
  <c r="P134" i="3" s="1"/>
  <c r="P135" i="3" s="1"/>
  <c r="P136" i="3" s="1"/>
  <c r="P137" i="3" s="1"/>
  <c r="P138" i="3" s="1"/>
  <c r="P139" i="3" s="1"/>
  <c r="P140" i="3" s="1"/>
  <c r="P141" i="3" s="1"/>
  <c r="P142" i="3" s="1"/>
  <c r="P143" i="3" s="1"/>
  <c r="Q132" i="3" s="1"/>
  <c r="Q133" i="3" s="1"/>
  <c r="Q134" i="3" s="1"/>
  <c r="Q135" i="3" s="1"/>
  <c r="Q136" i="3" s="1"/>
  <c r="Q137" i="3" s="1"/>
  <c r="Q138" i="3" s="1"/>
  <c r="Q139" i="3" s="1"/>
  <c r="Q140" i="3" s="1"/>
  <c r="Q141" i="3" s="1"/>
  <c r="Q142" i="3" s="1"/>
  <c r="Q143" i="3" s="1"/>
  <c r="R132" i="3" s="1"/>
  <c r="R133" i="3" s="1"/>
  <c r="R134" i="3" s="1"/>
  <c r="R135" i="3" s="1"/>
  <c r="R136" i="3" s="1"/>
  <c r="R137" i="3" s="1"/>
  <c r="R138" i="3" s="1"/>
  <c r="R139" i="3" s="1"/>
  <c r="R140" i="3" s="1"/>
  <c r="R141" i="3" s="1"/>
  <c r="R142" i="3" s="1"/>
  <c r="R143" i="3" s="1"/>
  <c r="S132" i="3" s="1"/>
  <c r="S133" i="3" s="1"/>
  <c r="S134" i="3" s="1"/>
  <c r="S135" i="3" s="1"/>
  <c r="S136" i="3" s="1"/>
  <c r="S137" i="3" s="1"/>
  <c r="S138" i="3" s="1"/>
  <c r="S139" i="3" s="1"/>
  <c r="S140" i="3" s="1"/>
  <c r="S141" i="3" s="1"/>
  <c r="S142" i="3" s="1"/>
  <c r="S143" i="3" s="1"/>
  <c r="T132" i="3" s="1"/>
  <c r="T133" i="3" s="1"/>
  <c r="T134" i="3" s="1"/>
  <c r="T135" i="3" s="1"/>
  <c r="T136" i="3" s="1"/>
  <c r="T137" i="3" s="1"/>
  <c r="T138" i="3" s="1"/>
  <c r="T139" i="3" s="1"/>
  <c r="T140" i="3" s="1"/>
  <c r="T141" i="3" s="1"/>
  <c r="T142" i="3" s="1"/>
  <c r="T143" i="3" s="1"/>
  <c r="U132" i="3" s="1"/>
  <c r="U133" i="3" s="1"/>
  <c r="U134" i="3" s="1"/>
  <c r="U135" i="3" s="1"/>
  <c r="U136" i="3" s="1"/>
  <c r="U137" i="3" s="1"/>
  <c r="U138" i="3" s="1"/>
  <c r="U139" i="3" s="1"/>
  <c r="U140" i="3" s="1"/>
  <c r="U141" i="3" s="1"/>
  <c r="U142" i="3" s="1"/>
  <c r="U143" i="3" s="1"/>
  <c r="V132" i="3" s="1"/>
  <c r="V133" i="3" s="1"/>
  <c r="V134" i="3" s="1"/>
  <c r="V135" i="3" s="1"/>
  <c r="V136" i="3" s="1"/>
  <c r="V137" i="3" s="1"/>
  <c r="V138" i="3" s="1"/>
  <c r="V139" i="3" s="1"/>
  <c r="V140" i="3" s="1"/>
  <c r="V141" i="3" s="1"/>
  <c r="V142" i="3" s="1"/>
  <c r="V143" i="3" s="1"/>
  <c r="W132" i="3" s="1"/>
  <c r="W133" i="3" s="1"/>
  <c r="W134" i="3" s="1"/>
  <c r="W135" i="3" s="1"/>
  <c r="W136" i="3" s="1"/>
  <c r="W137" i="3" s="1"/>
  <c r="W138" i="3" s="1"/>
  <c r="W139" i="3" s="1"/>
  <c r="W140" i="3" s="1"/>
  <c r="W141" i="3" s="1"/>
  <c r="W142" i="3" s="1"/>
  <c r="W143" i="3" s="1"/>
  <c r="X132" i="3" s="1"/>
  <c r="X133" i="3" s="1"/>
  <c r="X134" i="3" s="1"/>
  <c r="X135" i="3" s="1"/>
  <c r="X136" i="3" s="1"/>
  <c r="X137" i="3" s="1"/>
  <c r="X138" i="3" s="1"/>
  <c r="X139" i="3" s="1"/>
  <c r="X140" i="3" s="1"/>
  <c r="X141" i="3" s="1"/>
  <c r="X142" i="3" s="1"/>
  <c r="X143" i="3" s="1"/>
  <c r="Y132" i="3" s="1"/>
  <c r="Y133" i="3" s="1"/>
  <c r="Y134" i="3" s="1"/>
  <c r="Y135" i="3" s="1"/>
  <c r="Y136" i="3" s="1"/>
  <c r="Y137" i="3" s="1"/>
  <c r="Y138" i="3" s="1"/>
  <c r="Y139" i="3" s="1"/>
  <c r="Y140" i="3" s="1"/>
  <c r="Y141" i="3" s="1"/>
  <c r="Y142" i="3" s="1"/>
  <c r="Y143" i="3" s="1"/>
  <c r="Z132" i="3" s="1"/>
  <c r="Z133" i="3" s="1"/>
  <c r="Z134" i="3" s="1"/>
  <c r="Z135" i="3" s="1"/>
  <c r="Z136" i="3" s="1"/>
  <c r="Z137" i="3" s="1"/>
  <c r="Z138" i="3" s="1"/>
  <c r="Z139" i="3" s="1"/>
  <c r="Z140" i="3" s="1"/>
  <c r="Z141" i="3" s="1"/>
  <c r="Z142" i="3" s="1"/>
  <c r="Z143" i="3" s="1"/>
  <c r="AA132" i="3" s="1"/>
  <c r="AA133" i="3" s="1"/>
  <c r="AA134" i="3" s="1"/>
  <c r="AA135" i="3" s="1"/>
  <c r="AA136" i="3" s="1"/>
  <c r="AA137" i="3" s="1"/>
  <c r="AA138" i="3" s="1"/>
  <c r="AA139" i="3" s="1"/>
  <c r="AA140" i="3" s="1"/>
  <c r="AA141" i="3" s="1"/>
  <c r="AA142" i="3" s="1"/>
  <c r="AA143" i="3" s="1"/>
  <c r="AB132" i="3" s="1"/>
  <c r="AB133" i="3" s="1"/>
  <c r="AB134" i="3" s="1"/>
  <c r="AB135" i="3" s="1"/>
  <c r="AB136" i="3" s="1"/>
  <c r="AB137" i="3" s="1"/>
  <c r="AB138" i="3" s="1"/>
  <c r="AB139" i="3" s="1"/>
  <c r="AB140" i="3" s="1"/>
  <c r="AB141" i="3" s="1"/>
  <c r="AB142" i="3" s="1"/>
  <c r="AB143" i="3" s="1"/>
  <c r="S19" i="3"/>
  <c r="S20" i="3" s="1"/>
  <c r="S21" i="3" s="1"/>
  <c r="S22" i="3" s="1"/>
  <c r="S23" i="3" s="1"/>
  <c r="S24" i="3" s="1"/>
  <c r="S25" i="3" s="1"/>
  <c r="S26" i="3" s="1"/>
  <c r="T15" i="3" s="1"/>
  <c r="T16" i="3" s="1"/>
  <c r="T17" i="3" s="1"/>
  <c r="T18" i="3" s="1"/>
  <c r="T19" i="3" s="1"/>
  <c r="T20" i="3" s="1"/>
  <c r="T21" i="3" s="1"/>
  <c r="T22" i="3" s="1"/>
  <c r="T23" i="3" s="1"/>
  <c r="T24" i="3" s="1"/>
  <c r="T25" i="3" s="1"/>
  <c r="T26" i="3" s="1"/>
  <c r="U15" i="3" s="1"/>
  <c r="U16" i="3" s="1"/>
  <c r="U17" i="3" s="1"/>
  <c r="U18" i="3" s="1"/>
  <c r="U19" i="3" s="1"/>
  <c r="U20" i="3" s="1"/>
  <c r="U21" i="3" s="1"/>
  <c r="U22" i="3" s="1"/>
  <c r="U23" i="3" s="1"/>
  <c r="U24" i="3" s="1"/>
  <c r="U25" i="3" s="1"/>
  <c r="U26" i="3" s="1"/>
  <c r="V15" i="3" s="1"/>
  <c r="V16" i="3" s="1"/>
  <c r="V17" i="3" s="1"/>
  <c r="V18" i="3" s="1"/>
  <c r="V19" i="3" s="1"/>
  <c r="V20" i="3" s="1"/>
  <c r="V21" i="3" s="1"/>
  <c r="V22" i="3" s="1"/>
  <c r="V23" i="3" s="1"/>
  <c r="V24" i="3" s="1"/>
  <c r="V25" i="3" s="1"/>
  <c r="V26" i="3" s="1"/>
  <c r="W15" i="3" s="1"/>
  <c r="W16" i="3" s="1"/>
  <c r="W17" i="3" s="1"/>
  <c r="W18" i="3" s="1"/>
  <c r="W19" i="3" s="1"/>
  <c r="W20" i="3" s="1"/>
  <c r="W21" i="3" s="1"/>
  <c r="W22" i="3" s="1"/>
  <c r="W23" i="3" s="1"/>
  <c r="W24" i="3" s="1"/>
  <c r="W25" i="3" s="1"/>
  <c r="W26" i="3" s="1"/>
  <c r="O47" i="3"/>
  <c r="O48" i="3" s="1"/>
  <c r="P37" i="3" s="1"/>
  <c r="P38" i="3" s="1"/>
  <c r="P39" i="3" s="1"/>
  <c r="P40" i="3" s="1"/>
  <c r="P41" i="3" s="1"/>
  <c r="P42" i="3" s="1"/>
  <c r="P43" i="3" s="1"/>
  <c r="P44" i="3" s="1"/>
  <c r="P45" i="3" s="1"/>
  <c r="P46" i="3" s="1"/>
  <c r="P47" i="3" s="1"/>
  <c r="P48" i="3" s="1"/>
  <c r="Q37" i="3" s="1"/>
  <c r="Q38" i="3" s="1"/>
  <c r="Q39" i="3" s="1"/>
  <c r="Q40" i="3" s="1"/>
  <c r="Q41" i="3" s="1"/>
  <c r="Q42" i="3" s="1"/>
  <c r="Q43" i="3" s="1"/>
  <c r="Q44" i="3" s="1"/>
  <c r="Q45" i="3" s="1"/>
  <c r="Q46" i="3" s="1"/>
  <c r="Q47" i="3" s="1"/>
  <c r="Q48" i="3" s="1"/>
  <c r="R37" i="3" s="1"/>
  <c r="R38" i="3" s="1"/>
  <c r="R39" i="3" s="1"/>
  <c r="R40" i="3" s="1"/>
  <c r="R41" i="3" s="1"/>
  <c r="R42" i="3" s="1"/>
  <c r="R43" i="3" s="1"/>
  <c r="R44" i="3" s="1"/>
  <c r="R45" i="3" s="1"/>
  <c r="R46" i="3" s="1"/>
  <c r="R47" i="3" s="1"/>
  <c r="R48" i="3" s="1"/>
  <c r="S37" i="3" s="1"/>
  <c r="S38" i="3" s="1"/>
  <c r="S39" i="3" s="1"/>
  <c r="S40" i="3" s="1"/>
  <c r="S41" i="3" s="1"/>
  <c r="S42" i="3" s="1"/>
  <c r="S43" i="3" s="1"/>
  <c r="S44" i="3" s="1"/>
  <c r="S45" i="3" s="1"/>
  <c r="S46" i="3" s="1"/>
  <c r="S47" i="3" s="1"/>
  <c r="S48" i="3" s="1"/>
  <c r="T37" i="3" s="1"/>
  <c r="T38" i="3" s="1"/>
  <c r="T39" i="3" s="1"/>
  <c r="T40" i="3" s="1"/>
  <c r="T41" i="3" s="1"/>
  <c r="T42" i="3" s="1"/>
  <c r="T43" i="3" s="1"/>
  <c r="T44" i="3" s="1"/>
  <c r="T45" i="3" s="1"/>
  <c r="T46" i="3" s="1"/>
  <c r="T47" i="3" s="1"/>
  <c r="T48" i="3" s="1"/>
  <c r="U37" i="3" s="1"/>
  <c r="U38" i="3" s="1"/>
  <c r="U39" i="3" s="1"/>
  <c r="U40" i="3" s="1"/>
  <c r="U41" i="3" s="1"/>
  <c r="U42" i="3" s="1"/>
  <c r="U43" i="3" s="1"/>
  <c r="U44" i="3" s="1"/>
  <c r="U45" i="3" s="1"/>
  <c r="U46" i="3" s="1"/>
  <c r="U47" i="3" s="1"/>
  <c r="U48" i="3" s="1"/>
  <c r="V37" i="3" s="1"/>
  <c r="V38" i="3" s="1"/>
  <c r="V39" i="3" s="1"/>
  <c r="V40" i="3" s="1"/>
  <c r="V41" i="3" s="1"/>
  <c r="V42" i="3" s="1"/>
  <c r="V43" i="3" s="1"/>
  <c r="V44" i="3" s="1"/>
  <c r="V45" i="3" s="1"/>
  <c r="V46" i="3" s="1"/>
  <c r="V47" i="3" s="1"/>
  <c r="V48" i="3" s="1"/>
  <c r="W37" i="3" s="1"/>
  <c r="W38" i="3" s="1"/>
  <c r="W39" i="3" s="1"/>
  <c r="W40" i="3" s="1"/>
  <c r="W41" i="3" s="1"/>
  <c r="W42" i="3" s="1"/>
  <c r="W43" i="3" s="1"/>
  <c r="W44" i="3" s="1"/>
  <c r="W45" i="3" s="1"/>
  <c r="W46" i="3" s="1"/>
  <c r="W47" i="3" s="1"/>
  <c r="W48" i="3" s="1"/>
  <c r="X15" i="2"/>
  <c r="X16" i="2" s="1"/>
  <c r="X17" i="2" s="1"/>
  <c r="X18" i="2" s="1"/>
  <c r="X19" i="2" s="1"/>
  <c r="X20" i="2" s="1"/>
  <c r="X21" i="2" s="1"/>
  <c r="X22" i="2" s="1"/>
  <c r="X23" i="2" s="1"/>
  <c r="X24" i="2" s="1"/>
  <c r="X25" i="2" s="1"/>
  <c r="X26" i="2" s="1"/>
  <c r="Y15" i="2" s="1"/>
  <c r="Y16" i="2" s="1"/>
  <c r="Y17" i="2" s="1"/>
  <c r="Y18" i="2" s="1"/>
  <c r="Y19" i="2" s="1"/>
  <c r="Y20" i="2" s="1"/>
  <c r="Y21" i="2" s="1"/>
  <c r="Y22" i="2" s="1"/>
  <c r="Y23" i="2" s="1"/>
  <c r="Y24" i="2" s="1"/>
  <c r="Y25" i="2" s="1"/>
  <c r="Y26" i="2" s="1"/>
  <c r="Z15" i="2" s="1"/>
  <c r="Z16" i="2" s="1"/>
  <c r="Z17" i="2" s="1"/>
  <c r="Z18" i="2" s="1"/>
  <c r="Z19" i="2" s="1"/>
  <c r="Z20" i="2" s="1"/>
  <c r="Z21" i="2" s="1"/>
  <c r="Z22" i="2" s="1"/>
  <c r="Z23" i="2" s="1"/>
  <c r="Z24" i="2" s="1"/>
  <c r="Z25" i="2" s="1"/>
  <c r="Z26" i="2" s="1"/>
  <c r="AA15" i="2" s="1"/>
  <c r="AA16" i="2" s="1"/>
  <c r="AA17" i="2" s="1"/>
  <c r="AA18" i="2" s="1"/>
  <c r="AA19" i="2" s="1"/>
  <c r="AA20" i="2" s="1"/>
  <c r="AA21" i="2" s="1"/>
  <c r="AA22" i="2" s="1"/>
  <c r="AA23" i="2" s="1"/>
  <c r="AA24" i="2" s="1"/>
  <c r="AA25" i="2" s="1"/>
  <c r="AA26" i="2" s="1"/>
  <c r="AB15" i="2" s="1"/>
  <c r="AB16" i="2" s="1"/>
  <c r="AB17" i="2" s="1"/>
  <c r="AB18" i="2" s="1"/>
  <c r="AB19" i="2" s="1"/>
  <c r="AB20" i="2" s="1"/>
  <c r="AB21" i="2" s="1"/>
  <c r="AB22" i="2" s="1"/>
  <c r="AB23" i="2" s="1"/>
  <c r="AB24" i="2" s="1"/>
  <c r="AB25" i="2" s="1"/>
  <c r="AB26" i="2" s="1"/>
  <c r="AD173" i="2"/>
  <c r="X132" i="1"/>
  <c r="X133" i="1" s="1"/>
  <c r="X134" i="1" s="1"/>
  <c r="X135" i="1" s="1"/>
  <c r="X136" i="1" s="1"/>
  <c r="X137" i="1" s="1"/>
  <c r="X138" i="1" s="1"/>
  <c r="X139" i="1" s="1"/>
  <c r="X140" i="1" s="1"/>
  <c r="X141" i="1" s="1"/>
  <c r="X142" i="1" s="1"/>
  <c r="X143" i="1" s="1"/>
  <c r="Y132" i="1" s="1"/>
  <c r="Y133" i="1" s="1"/>
  <c r="Y134" i="1" s="1"/>
  <c r="Y135" i="1" s="1"/>
  <c r="Y136" i="1" s="1"/>
  <c r="Y137" i="1" s="1"/>
  <c r="Y138" i="1" s="1"/>
  <c r="Y139" i="1" s="1"/>
  <c r="Y140" i="1" s="1"/>
  <c r="Y141" i="1" s="1"/>
  <c r="Y142" i="1" s="1"/>
  <c r="Y143" i="1" s="1"/>
  <c r="Z132" i="1" s="1"/>
  <c r="Z133" i="1" s="1"/>
  <c r="Z134" i="1" s="1"/>
  <c r="Z135" i="1" s="1"/>
  <c r="Z136" i="1" s="1"/>
  <c r="Z137" i="1" s="1"/>
  <c r="Z138" i="1" s="1"/>
  <c r="Z139" i="1" s="1"/>
  <c r="Z140" i="1" s="1"/>
  <c r="Z141" i="1" s="1"/>
  <c r="Z142" i="1" s="1"/>
  <c r="Z143" i="1" s="1"/>
  <c r="AA132" i="1" s="1"/>
  <c r="AA133" i="1" s="1"/>
  <c r="AA134" i="1" s="1"/>
  <c r="AA135" i="1" s="1"/>
  <c r="AA136" i="1" s="1"/>
  <c r="AA137" i="1" s="1"/>
  <c r="AA138" i="1" s="1"/>
  <c r="AA139" i="1" s="1"/>
  <c r="AA140" i="1" s="1"/>
  <c r="AA141" i="1" s="1"/>
  <c r="AA142" i="1" s="1"/>
  <c r="AA143" i="1" s="1"/>
  <c r="AB132" i="1" s="1"/>
  <c r="AB133" i="1" s="1"/>
  <c r="AB134" i="1" s="1"/>
  <c r="AB135" i="1" s="1"/>
  <c r="AB136" i="1" s="1"/>
  <c r="AB137" i="1" s="1"/>
  <c r="AB138" i="1" s="1"/>
  <c r="AB139" i="1" s="1"/>
  <c r="AB140" i="1" s="1"/>
  <c r="AB141" i="1" s="1"/>
  <c r="AB142" i="1" s="1"/>
  <c r="AB143" i="1" s="1"/>
  <c r="V5" i="6" s="1"/>
  <c r="V22" i="6" s="1"/>
  <c r="V31" i="6" s="1"/>
  <c r="X94" i="1"/>
  <c r="X95" i="1" s="1"/>
  <c r="X96" i="1" s="1"/>
  <c r="X97" i="1" s="1"/>
  <c r="X98" i="1" s="1"/>
  <c r="X99" i="1" s="1"/>
  <c r="X100" i="1" s="1"/>
  <c r="X101" i="1" s="1"/>
  <c r="X102" i="1" s="1"/>
  <c r="X103" i="1" s="1"/>
  <c r="X104" i="1" s="1"/>
  <c r="X105" i="1" s="1"/>
  <c r="Y94" i="1" s="1"/>
  <c r="Y95" i="1" s="1"/>
  <c r="Y96" i="1" s="1"/>
  <c r="Y97" i="1" s="1"/>
  <c r="Y98" i="1" s="1"/>
  <c r="Y99" i="1" s="1"/>
  <c r="Y100" i="1" s="1"/>
  <c r="Y101" i="1" s="1"/>
  <c r="Y102" i="1" s="1"/>
  <c r="Y103" i="1" s="1"/>
  <c r="Y104" i="1" s="1"/>
  <c r="Y105" i="1" s="1"/>
  <c r="Z94" i="1" s="1"/>
  <c r="Z95" i="1" s="1"/>
  <c r="Z96" i="1" s="1"/>
  <c r="Z97" i="1" s="1"/>
  <c r="Z98" i="1" s="1"/>
  <c r="Z99" i="1" s="1"/>
  <c r="Z100" i="1" s="1"/>
  <c r="Z101" i="1" s="1"/>
  <c r="Z102" i="1" s="1"/>
  <c r="Z103" i="1" s="1"/>
  <c r="Z104" i="1" s="1"/>
  <c r="Z105" i="1" s="1"/>
  <c r="AA94" i="1" s="1"/>
  <c r="AA95" i="1" s="1"/>
  <c r="AA96" i="1" s="1"/>
  <c r="AA97" i="1" s="1"/>
  <c r="AA98" i="1" s="1"/>
  <c r="AA99" i="1" s="1"/>
  <c r="AA100" i="1" s="1"/>
  <c r="AA101" i="1" s="1"/>
  <c r="AA102" i="1" s="1"/>
  <c r="AA103" i="1" s="1"/>
  <c r="AA104" i="1" s="1"/>
  <c r="AA105" i="1" s="1"/>
  <c r="AB94" i="1" s="1"/>
  <c r="AB95" i="1" s="1"/>
  <c r="AB96" i="1" s="1"/>
  <c r="AB97" i="1" s="1"/>
  <c r="AB98" i="1" s="1"/>
  <c r="AB99" i="1" s="1"/>
  <c r="AB100" i="1" s="1"/>
  <c r="AB101" i="1" s="1"/>
  <c r="AB102" i="1" s="1"/>
  <c r="AB103" i="1" s="1"/>
  <c r="AB104" i="1" s="1"/>
  <c r="AB105" i="1" s="1"/>
  <c r="T5" i="6" s="1"/>
  <c r="T22" i="6" s="1"/>
  <c r="T31" i="6" s="1"/>
  <c r="X113" i="1"/>
  <c r="X114" i="1" s="1"/>
  <c r="X115" i="1" s="1"/>
  <c r="X116" i="1" s="1"/>
  <c r="X117" i="1" s="1"/>
  <c r="X118" i="1" s="1"/>
  <c r="X119" i="1" s="1"/>
  <c r="X120" i="1" s="1"/>
  <c r="X121" i="1" s="1"/>
  <c r="X122" i="1" s="1"/>
  <c r="X123" i="1" s="1"/>
  <c r="X124" i="1" s="1"/>
  <c r="Y113" i="1" s="1"/>
  <c r="Y114" i="1" s="1"/>
  <c r="Y115" i="1" s="1"/>
  <c r="Y116" i="1" s="1"/>
  <c r="Y117" i="1" s="1"/>
  <c r="Y118" i="1" s="1"/>
  <c r="Y119" i="1" s="1"/>
  <c r="Y120" i="1" s="1"/>
  <c r="Y121" i="1" s="1"/>
  <c r="Y122" i="1" s="1"/>
  <c r="Y123" i="1" s="1"/>
  <c r="Y124" i="1" s="1"/>
  <c r="Z113" i="1" s="1"/>
  <c r="Z114" i="1" s="1"/>
  <c r="Z115" i="1" s="1"/>
  <c r="Z116" i="1" s="1"/>
  <c r="Z117" i="1" s="1"/>
  <c r="Z118" i="1" s="1"/>
  <c r="Z119" i="1" s="1"/>
  <c r="Z120" i="1" s="1"/>
  <c r="Z121" i="1" s="1"/>
  <c r="Z122" i="1" s="1"/>
  <c r="Z123" i="1" s="1"/>
  <c r="Z124" i="1" s="1"/>
  <c r="AA113" i="1" s="1"/>
  <c r="AA114" i="1" s="1"/>
  <c r="AA115" i="1" s="1"/>
  <c r="AA116" i="1" s="1"/>
  <c r="AA117" i="1" s="1"/>
  <c r="AA118" i="1" s="1"/>
  <c r="AA119" i="1" s="1"/>
  <c r="AA120" i="1" s="1"/>
  <c r="AA121" i="1" s="1"/>
  <c r="AA122" i="1" s="1"/>
  <c r="AA123" i="1" s="1"/>
  <c r="AA124" i="1" s="1"/>
  <c r="AB113" i="1" s="1"/>
  <c r="AB114" i="1" s="1"/>
  <c r="AB115" i="1" s="1"/>
  <c r="AB116" i="1" s="1"/>
  <c r="AB117" i="1" s="1"/>
  <c r="AB118" i="1" s="1"/>
  <c r="AB119" i="1" s="1"/>
  <c r="AB120" i="1" s="1"/>
  <c r="AB121" i="1" s="1"/>
  <c r="AB122" i="1" s="1"/>
  <c r="AB123" i="1" s="1"/>
  <c r="AB124" i="1" s="1"/>
  <c r="U5" i="6" s="1"/>
  <c r="U22" i="6" s="1"/>
  <c r="U31" i="6" s="1"/>
  <c r="X151" i="1"/>
  <c r="X152" i="1" s="1"/>
  <c r="X153" i="1" s="1"/>
  <c r="X154" i="1" s="1"/>
  <c r="X155" i="1" s="1"/>
  <c r="X156" i="1" s="1"/>
  <c r="X157" i="1" s="1"/>
  <c r="X158" i="1" s="1"/>
  <c r="X159" i="1" s="1"/>
  <c r="X160" i="1" s="1"/>
  <c r="X161" i="1" s="1"/>
  <c r="X162" i="1" s="1"/>
  <c r="Y151" i="1" s="1"/>
  <c r="Y152" i="1" s="1"/>
  <c r="Y153" i="1" s="1"/>
  <c r="Y154" i="1" s="1"/>
  <c r="Y155" i="1" s="1"/>
  <c r="Y156" i="1" s="1"/>
  <c r="Y157" i="1" s="1"/>
  <c r="Y158" i="1" s="1"/>
  <c r="Y159" i="1" s="1"/>
  <c r="Y160" i="1" s="1"/>
  <c r="Y161" i="1" s="1"/>
  <c r="Y162" i="1" s="1"/>
  <c r="Z151" i="1" s="1"/>
  <c r="Z152" i="1" s="1"/>
  <c r="Z153" i="1" s="1"/>
  <c r="Z154" i="1" s="1"/>
  <c r="Z155" i="1" s="1"/>
  <c r="Z156" i="1" s="1"/>
  <c r="Z157" i="1" s="1"/>
  <c r="Z158" i="1" s="1"/>
  <c r="Z159" i="1" s="1"/>
  <c r="Z160" i="1" s="1"/>
  <c r="Z161" i="1" s="1"/>
  <c r="Z162" i="1" s="1"/>
  <c r="AA151" i="1" s="1"/>
  <c r="AA152" i="1" s="1"/>
  <c r="AA153" i="1" s="1"/>
  <c r="AA154" i="1" s="1"/>
  <c r="AA155" i="1" s="1"/>
  <c r="AA156" i="1" s="1"/>
  <c r="AA157" i="1" s="1"/>
  <c r="AA158" i="1" s="1"/>
  <c r="AA159" i="1" s="1"/>
  <c r="AA160" i="1" s="1"/>
  <c r="AA161" i="1" s="1"/>
  <c r="AA162" i="1" s="1"/>
  <c r="AB151" i="1" s="1"/>
  <c r="AB152" i="1" s="1"/>
  <c r="AB153" i="1" s="1"/>
  <c r="AB154" i="1" s="1"/>
  <c r="AB155" i="1" s="1"/>
  <c r="AB156" i="1" s="1"/>
  <c r="AB157" i="1" s="1"/>
  <c r="AB158" i="1" s="1"/>
  <c r="AB159" i="1" s="1"/>
  <c r="AB160" i="1" s="1"/>
  <c r="AB161" i="1" s="1"/>
  <c r="AB162" i="1" s="1"/>
  <c r="W5" i="6" s="1"/>
  <c r="W22" i="6" s="1"/>
  <c r="W31" i="6" s="1"/>
  <c r="AC37" i="1"/>
  <c r="AC38" i="1" s="1"/>
  <c r="AC39" i="1" s="1"/>
  <c r="AC40" i="1" s="1"/>
  <c r="AC41" i="1" s="1"/>
  <c r="AC42" i="1" s="1"/>
  <c r="AC43" i="1" s="1"/>
  <c r="AC44" i="1" s="1"/>
  <c r="AC45" i="1" s="1"/>
  <c r="AC46" i="1" s="1"/>
  <c r="AC47" i="1" s="1"/>
  <c r="AC48" i="1" s="1"/>
  <c r="AD37" i="1" s="1"/>
  <c r="AD38" i="1" s="1"/>
  <c r="AD39" i="1" s="1"/>
  <c r="AD40" i="1" s="1"/>
  <c r="AD41" i="1" s="1"/>
  <c r="AD42" i="1" s="1"/>
  <c r="AD43" i="1" s="1"/>
  <c r="AD44" i="1" s="1"/>
  <c r="AD45" i="1" s="1"/>
  <c r="AD46" i="1" s="1"/>
  <c r="AD47" i="1" s="1"/>
  <c r="AD48" i="1" s="1"/>
  <c r="AE37" i="1" s="1"/>
  <c r="AE38" i="1" s="1"/>
  <c r="AE39" i="1" s="1"/>
  <c r="AE40" i="1" s="1"/>
  <c r="AE41" i="1" s="1"/>
  <c r="AE42" i="1" s="1"/>
  <c r="AE43" i="1" s="1"/>
  <c r="AE44" i="1" s="1"/>
  <c r="AE45" i="1" s="1"/>
  <c r="AE46" i="1" s="1"/>
  <c r="AE47" i="1" s="1"/>
  <c r="AE48" i="1" s="1"/>
  <c r="X56" i="1"/>
  <c r="X57" i="1" s="1"/>
  <c r="X58" i="1" s="1"/>
  <c r="X59" i="1" s="1"/>
  <c r="X60" i="1" s="1"/>
  <c r="X61" i="1" s="1"/>
  <c r="X62" i="1" s="1"/>
  <c r="X63" i="1" s="1"/>
  <c r="X64" i="1" s="1"/>
  <c r="X65" i="1" s="1"/>
  <c r="X66" i="1" s="1"/>
  <c r="X67" i="1" s="1"/>
  <c r="Y56" i="1" s="1"/>
  <c r="Y57" i="1" s="1"/>
  <c r="Y58" i="1" s="1"/>
  <c r="Y59" i="1" s="1"/>
  <c r="Y60" i="1" s="1"/>
  <c r="Y61" i="1" s="1"/>
  <c r="Y62" i="1" s="1"/>
  <c r="Y63" i="1" s="1"/>
  <c r="Y64" i="1" s="1"/>
  <c r="Y65" i="1" s="1"/>
  <c r="Y66" i="1" s="1"/>
  <c r="Y67" i="1" s="1"/>
  <c r="Z56" i="1" s="1"/>
  <c r="Z57" i="1" s="1"/>
  <c r="Z58" i="1" s="1"/>
  <c r="Z59" i="1" s="1"/>
  <c r="Z60" i="1" s="1"/>
  <c r="Z61" i="1" s="1"/>
  <c r="Z62" i="1" s="1"/>
  <c r="Z63" i="1" s="1"/>
  <c r="Z64" i="1" s="1"/>
  <c r="Z65" i="1" s="1"/>
  <c r="Z66" i="1" s="1"/>
  <c r="Z67" i="1" s="1"/>
  <c r="AA56" i="1" s="1"/>
  <c r="AA57" i="1" s="1"/>
  <c r="AA58" i="1" s="1"/>
  <c r="AA59" i="1" s="1"/>
  <c r="AA60" i="1" s="1"/>
  <c r="AA61" i="1" s="1"/>
  <c r="AA62" i="1" s="1"/>
  <c r="AA63" i="1" s="1"/>
  <c r="AA64" i="1" s="1"/>
  <c r="AA65" i="1" s="1"/>
  <c r="AA66" i="1" s="1"/>
  <c r="AA67" i="1" s="1"/>
  <c r="AB56" i="1" s="1"/>
  <c r="AB57" i="1" s="1"/>
  <c r="AB58" i="1" s="1"/>
  <c r="AB59" i="1" s="1"/>
  <c r="AB60" i="1" s="1"/>
  <c r="AB61" i="1" s="1"/>
  <c r="AB62" i="1" s="1"/>
  <c r="AB63" i="1" s="1"/>
  <c r="AB64" i="1" s="1"/>
  <c r="AB65" i="1" s="1"/>
  <c r="AB66" i="1" s="1"/>
  <c r="AB67" i="1" s="1"/>
  <c r="R5" i="6" s="1"/>
  <c r="R22" i="6" s="1"/>
  <c r="R31" i="6" s="1"/>
  <c r="AC75" i="1"/>
  <c r="AC76" i="1" s="1"/>
  <c r="AC77" i="1" s="1"/>
  <c r="AC78" i="1" s="1"/>
  <c r="AC79" i="1" s="1"/>
  <c r="AC80" i="1" s="1"/>
  <c r="AC81" i="1" s="1"/>
  <c r="AC82" i="1" s="1"/>
  <c r="AC83" i="1" s="1"/>
  <c r="AC84" i="1" s="1"/>
  <c r="AC85" i="1" s="1"/>
  <c r="AC86" i="1" s="1"/>
  <c r="AD75" i="1" s="1"/>
  <c r="AD76" i="1" s="1"/>
  <c r="AD77" i="1" s="1"/>
  <c r="AD78" i="1" s="1"/>
  <c r="AD79" i="1" s="1"/>
  <c r="AD80" i="1" s="1"/>
  <c r="AD81" i="1" s="1"/>
  <c r="AD82" i="1" s="1"/>
  <c r="AD83" i="1" s="1"/>
  <c r="AD84" i="1" s="1"/>
  <c r="AD85" i="1" s="1"/>
  <c r="AD86" i="1" s="1"/>
  <c r="AE75" i="1" s="1"/>
  <c r="AE76" i="1" s="1"/>
  <c r="AE77" i="1" s="1"/>
  <c r="AE78" i="1" s="1"/>
  <c r="AE79" i="1" s="1"/>
  <c r="AE80" i="1" s="1"/>
  <c r="AE81" i="1" s="1"/>
  <c r="AE82" i="1" s="1"/>
  <c r="AE83" i="1" s="1"/>
  <c r="AE84" i="1" s="1"/>
  <c r="AE85" i="1" s="1"/>
  <c r="AE86" i="1" s="1"/>
  <c r="O117" i="2"/>
  <c r="O118" i="2" s="1"/>
  <c r="O119" i="2" s="1"/>
  <c r="O120" i="2" s="1"/>
  <c r="O121" i="2" s="1"/>
  <c r="O122" i="2" s="1"/>
  <c r="O123" i="2" s="1"/>
  <c r="O124" i="2" s="1"/>
  <c r="P113" i="2" s="1"/>
  <c r="P114" i="2" s="1"/>
  <c r="P115" i="2" s="1"/>
  <c r="P116" i="2" s="1"/>
  <c r="P117" i="2" s="1"/>
  <c r="P118" i="2" s="1"/>
  <c r="P119" i="2" s="1"/>
  <c r="P120" i="2" s="1"/>
  <c r="P121" i="2" s="1"/>
  <c r="P122" i="2" s="1"/>
  <c r="P123" i="2" s="1"/>
  <c r="P124" i="2" s="1"/>
  <c r="Q113" i="2" s="1"/>
  <c r="Q114" i="2" s="1"/>
  <c r="Q115" i="2" s="1"/>
  <c r="Q116" i="2" s="1"/>
  <c r="Q117" i="2" s="1"/>
  <c r="Q118" i="2" s="1"/>
  <c r="Q119" i="2" s="1"/>
  <c r="Q120" i="2" s="1"/>
  <c r="Q121" i="2" s="1"/>
  <c r="Q122" i="2" s="1"/>
  <c r="Q123" i="2" s="1"/>
  <c r="Q124" i="2" s="1"/>
  <c r="R113" i="2" s="1"/>
  <c r="R114" i="2" s="1"/>
  <c r="R115" i="2" s="1"/>
  <c r="R116" i="2" s="1"/>
  <c r="R117" i="2" s="1"/>
  <c r="R118" i="2" s="1"/>
  <c r="R119" i="2" s="1"/>
  <c r="R120" i="2" s="1"/>
  <c r="R121" i="2" s="1"/>
  <c r="R122" i="2" s="1"/>
  <c r="R123" i="2" s="1"/>
  <c r="R124" i="2" s="1"/>
  <c r="S113" i="2" s="1"/>
  <c r="S114" i="2" s="1"/>
  <c r="S115" i="2" s="1"/>
  <c r="S116" i="2" s="1"/>
  <c r="S117" i="2" s="1"/>
  <c r="S118" i="2" s="1"/>
  <c r="S119" i="2" s="1"/>
  <c r="S120" i="2" s="1"/>
  <c r="S121" i="2" s="1"/>
  <c r="S122" i="2" s="1"/>
  <c r="S123" i="2" s="1"/>
  <c r="S124" i="2" s="1"/>
  <c r="T113" i="2" s="1"/>
  <c r="T114" i="2" s="1"/>
  <c r="T115" i="2" s="1"/>
  <c r="T116" i="2" s="1"/>
  <c r="T117" i="2" s="1"/>
  <c r="T118" i="2" s="1"/>
  <c r="T119" i="2" s="1"/>
  <c r="T120" i="2" s="1"/>
  <c r="T121" i="2" s="1"/>
  <c r="T122" i="2" s="1"/>
  <c r="T123" i="2" s="1"/>
  <c r="T124" i="2" s="1"/>
  <c r="U113" i="2" s="1"/>
  <c r="U114" i="2" s="1"/>
  <c r="U115" i="2" s="1"/>
  <c r="U116" i="2" s="1"/>
  <c r="U117" i="2" s="1"/>
  <c r="U118" i="2" s="1"/>
  <c r="U119" i="2" s="1"/>
  <c r="U120" i="2" s="1"/>
  <c r="U121" i="2" s="1"/>
  <c r="U122" i="2" s="1"/>
  <c r="U123" i="2" s="1"/>
  <c r="U124" i="2" s="1"/>
  <c r="V113" i="2" s="1"/>
  <c r="V114" i="2" s="1"/>
  <c r="V115" i="2" s="1"/>
  <c r="V116" i="2" s="1"/>
  <c r="V117" i="2" s="1"/>
  <c r="V118" i="2" s="1"/>
  <c r="V119" i="2" s="1"/>
  <c r="V120" i="2" s="1"/>
  <c r="V121" i="2" s="1"/>
  <c r="V122" i="2" s="1"/>
  <c r="V123" i="2" s="1"/>
  <c r="V124" i="2" s="1"/>
  <c r="W113" i="2" s="1"/>
  <c r="W114" i="2" s="1"/>
  <c r="W115" i="2" s="1"/>
  <c r="W116" i="2" s="1"/>
  <c r="W117" i="2" s="1"/>
  <c r="W118" i="2" s="1"/>
  <c r="W119" i="2" s="1"/>
  <c r="W120" i="2" s="1"/>
  <c r="W121" i="2" s="1"/>
  <c r="W122" i="2" s="1"/>
  <c r="W123" i="2" s="1"/>
  <c r="W124" i="2" s="1"/>
  <c r="X113" i="2" s="1"/>
  <c r="X114" i="2" s="1"/>
  <c r="X115" i="2" s="1"/>
  <c r="X116" i="2" s="1"/>
  <c r="X117" i="2" s="1"/>
  <c r="X118" i="2" s="1"/>
  <c r="X119" i="2" s="1"/>
  <c r="X120" i="2" s="1"/>
  <c r="X121" i="2" s="1"/>
  <c r="X122" i="2" s="1"/>
  <c r="X123" i="2" s="1"/>
  <c r="X124" i="2" s="1"/>
  <c r="Y113" i="2" s="1"/>
  <c r="Y114" i="2" s="1"/>
  <c r="Y115" i="2" s="1"/>
  <c r="Y116" i="2" s="1"/>
  <c r="Y117" i="2" s="1"/>
  <c r="Y118" i="2" s="1"/>
  <c r="Y119" i="2" s="1"/>
  <c r="Y120" i="2" s="1"/>
  <c r="Y121" i="2" s="1"/>
  <c r="Y122" i="2" s="1"/>
  <c r="Y123" i="2" s="1"/>
  <c r="Y124" i="2" s="1"/>
  <c r="Z113" i="2" s="1"/>
  <c r="Z114" i="2" s="1"/>
  <c r="Z115" i="2" s="1"/>
  <c r="Z116" i="2" s="1"/>
  <c r="Z117" i="2" s="1"/>
  <c r="Z118" i="2" s="1"/>
  <c r="Z119" i="2" s="1"/>
  <c r="Z120" i="2" s="1"/>
  <c r="Z121" i="2" s="1"/>
  <c r="Z122" i="2" s="1"/>
  <c r="Z123" i="2" s="1"/>
  <c r="Z124" i="2" s="1"/>
  <c r="AA113" i="2" s="1"/>
  <c r="AA114" i="2" s="1"/>
  <c r="AA115" i="2" s="1"/>
  <c r="AA116" i="2" s="1"/>
  <c r="AA117" i="2" s="1"/>
  <c r="AA118" i="2" s="1"/>
  <c r="AA119" i="2" s="1"/>
  <c r="AA120" i="2" s="1"/>
  <c r="AA121" i="2" s="1"/>
  <c r="AA122" i="2" s="1"/>
  <c r="AA123" i="2" s="1"/>
  <c r="AA124" i="2" s="1"/>
  <c r="AB113" i="2" s="1"/>
  <c r="AB114" i="2" s="1"/>
  <c r="AB115" i="2" s="1"/>
  <c r="AB116" i="2" s="1"/>
  <c r="AB117" i="2" s="1"/>
  <c r="AB118" i="2" s="1"/>
  <c r="AB119" i="2" s="1"/>
  <c r="AB120" i="2" s="1"/>
  <c r="AB121" i="2" s="1"/>
  <c r="AB122" i="2" s="1"/>
  <c r="AB123" i="2" s="1"/>
  <c r="AB124" i="2" s="1"/>
  <c r="N142" i="2"/>
  <c r="N143" i="2" s="1"/>
  <c r="O132" i="2" s="1"/>
  <c r="O133" i="2" s="1"/>
  <c r="O134" i="2" s="1"/>
  <c r="O135" i="2" s="1"/>
  <c r="O136" i="2" s="1"/>
  <c r="O137" i="2" s="1"/>
  <c r="O138" i="2" s="1"/>
  <c r="O139" i="2" s="1"/>
  <c r="O140" i="2" s="1"/>
  <c r="O141" i="2" s="1"/>
  <c r="O142" i="2" s="1"/>
  <c r="O143" i="2" s="1"/>
  <c r="P132" i="2" s="1"/>
  <c r="P133" i="2" s="1"/>
  <c r="P134" i="2" s="1"/>
  <c r="P135" i="2" s="1"/>
  <c r="P136" i="2" s="1"/>
  <c r="P137" i="2" s="1"/>
  <c r="P138" i="2" s="1"/>
  <c r="P139" i="2" s="1"/>
  <c r="P140" i="2" s="1"/>
  <c r="P141" i="2" s="1"/>
  <c r="P142" i="2" s="1"/>
  <c r="P143" i="2" s="1"/>
  <c r="Q132" i="2" s="1"/>
  <c r="Q133" i="2" s="1"/>
  <c r="Q134" i="2" s="1"/>
  <c r="Q135" i="2" s="1"/>
  <c r="Q136" i="2" s="1"/>
  <c r="Q137" i="2" s="1"/>
  <c r="Q138" i="2" s="1"/>
  <c r="Q139" i="2" s="1"/>
  <c r="Q140" i="2" s="1"/>
  <c r="Q141" i="2" s="1"/>
  <c r="Q142" i="2" s="1"/>
  <c r="Q143" i="2" s="1"/>
  <c r="R132" i="2" s="1"/>
  <c r="R133" i="2" s="1"/>
  <c r="R134" i="2" s="1"/>
  <c r="R135" i="2" s="1"/>
  <c r="R136" i="2" s="1"/>
  <c r="R137" i="2" s="1"/>
  <c r="R138" i="2" s="1"/>
  <c r="R139" i="2" s="1"/>
  <c r="R140" i="2" s="1"/>
  <c r="R141" i="2" s="1"/>
  <c r="R142" i="2" s="1"/>
  <c r="R143" i="2" s="1"/>
  <c r="S132" i="2" s="1"/>
  <c r="S133" i="2" s="1"/>
  <c r="S134" i="2" s="1"/>
  <c r="S135" i="2" s="1"/>
  <c r="S136" i="2" s="1"/>
  <c r="S137" i="2" s="1"/>
  <c r="S138" i="2" s="1"/>
  <c r="S139" i="2" s="1"/>
  <c r="S140" i="2" s="1"/>
  <c r="S141" i="2" s="1"/>
  <c r="S142" i="2" s="1"/>
  <c r="S143" i="2" s="1"/>
  <c r="T132" i="2" s="1"/>
  <c r="T133" i="2" s="1"/>
  <c r="T134" i="2" s="1"/>
  <c r="T135" i="2" s="1"/>
  <c r="T136" i="2" s="1"/>
  <c r="T137" i="2" s="1"/>
  <c r="T138" i="2" s="1"/>
  <c r="T139" i="2" s="1"/>
  <c r="T140" i="2" s="1"/>
  <c r="T141" i="2" s="1"/>
  <c r="T142" i="2" s="1"/>
  <c r="T143" i="2" s="1"/>
  <c r="U132" i="2" s="1"/>
  <c r="U133" i="2" s="1"/>
  <c r="U134" i="2" s="1"/>
  <c r="U135" i="2" s="1"/>
  <c r="U136" i="2" s="1"/>
  <c r="U137" i="2" s="1"/>
  <c r="U138" i="2" s="1"/>
  <c r="U139" i="2" s="1"/>
  <c r="U140" i="2" s="1"/>
  <c r="U141" i="2" s="1"/>
  <c r="U142" i="2" s="1"/>
  <c r="U143" i="2" s="1"/>
  <c r="V132" i="2" s="1"/>
  <c r="V133" i="2" s="1"/>
  <c r="V134" i="2" s="1"/>
  <c r="V135" i="2" s="1"/>
  <c r="V136" i="2" s="1"/>
  <c r="V137" i="2" s="1"/>
  <c r="V138" i="2" s="1"/>
  <c r="V139" i="2" s="1"/>
  <c r="V140" i="2" s="1"/>
  <c r="V141" i="2" s="1"/>
  <c r="V142" i="2" s="1"/>
  <c r="V143" i="2" s="1"/>
  <c r="W132" i="2" s="1"/>
  <c r="W133" i="2" s="1"/>
  <c r="W134" i="2" s="1"/>
  <c r="W135" i="2" s="1"/>
  <c r="W136" i="2" s="1"/>
  <c r="W137" i="2" s="1"/>
  <c r="W138" i="2" s="1"/>
  <c r="W139" i="2" s="1"/>
  <c r="W140" i="2" s="1"/>
  <c r="W141" i="2" s="1"/>
  <c r="W142" i="2" s="1"/>
  <c r="W143" i="2" s="1"/>
  <c r="X132" i="2" s="1"/>
  <c r="X133" i="2" s="1"/>
  <c r="X134" i="2" s="1"/>
  <c r="X135" i="2" s="1"/>
  <c r="X136" i="2" s="1"/>
  <c r="X137" i="2" s="1"/>
  <c r="X138" i="2" s="1"/>
  <c r="X139" i="2" s="1"/>
  <c r="X140" i="2" s="1"/>
  <c r="X141" i="2" s="1"/>
  <c r="X142" i="2" s="1"/>
  <c r="X143" i="2" s="1"/>
  <c r="Y132" i="2" s="1"/>
  <c r="Y133" i="2" s="1"/>
  <c r="Y134" i="2" s="1"/>
  <c r="Y135" i="2" s="1"/>
  <c r="Y136" i="2" s="1"/>
  <c r="Y137" i="2" s="1"/>
  <c r="Y138" i="2" s="1"/>
  <c r="Y139" i="2" s="1"/>
  <c r="Y140" i="2" s="1"/>
  <c r="Y141" i="2" s="1"/>
  <c r="Y142" i="2" s="1"/>
  <c r="Y143" i="2" s="1"/>
  <c r="Z132" i="2" s="1"/>
  <c r="Z133" i="2" s="1"/>
  <c r="Z134" i="2" s="1"/>
  <c r="Z135" i="2" s="1"/>
  <c r="Z136" i="2" s="1"/>
  <c r="Z137" i="2" s="1"/>
  <c r="Z138" i="2" s="1"/>
  <c r="Z139" i="2" s="1"/>
  <c r="Z140" i="2" s="1"/>
  <c r="Z141" i="2" s="1"/>
  <c r="Z142" i="2" s="1"/>
  <c r="Z143" i="2" s="1"/>
  <c r="AA132" i="2" s="1"/>
  <c r="AA133" i="2" s="1"/>
  <c r="AA134" i="2" s="1"/>
  <c r="AA135" i="2" s="1"/>
  <c r="AA136" i="2" s="1"/>
  <c r="AA137" i="2" s="1"/>
  <c r="AA138" i="2" s="1"/>
  <c r="AA139" i="2" s="1"/>
  <c r="AA140" i="2" s="1"/>
  <c r="AA141" i="2" s="1"/>
  <c r="AA142" i="2" s="1"/>
  <c r="AA143" i="2" s="1"/>
  <c r="AB132" i="2" s="1"/>
  <c r="AB133" i="2" s="1"/>
  <c r="AB134" i="2" s="1"/>
  <c r="AB135" i="2" s="1"/>
  <c r="AB136" i="2" s="1"/>
  <c r="AB137" i="2" s="1"/>
  <c r="AB138" i="2" s="1"/>
  <c r="AB139" i="2" s="1"/>
  <c r="AB140" i="2" s="1"/>
  <c r="AB141" i="2" s="1"/>
  <c r="AB142" i="2" s="1"/>
  <c r="AB143" i="2" s="1"/>
  <c r="O104" i="2"/>
  <c r="O105" i="2" s="1"/>
  <c r="P94" i="2" s="1"/>
  <c r="P95" i="2" s="1"/>
  <c r="P96" i="2" s="1"/>
  <c r="P97" i="2" s="1"/>
  <c r="P98" i="2" s="1"/>
  <c r="P99" i="2" s="1"/>
  <c r="P100" i="2" s="1"/>
  <c r="P101" i="2" s="1"/>
  <c r="P102" i="2" s="1"/>
  <c r="P103" i="2" s="1"/>
  <c r="P104" i="2" s="1"/>
  <c r="P105" i="2" s="1"/>
  <c r="Q94" i="2" s="1"/>
  <c r="Q95" i="2" s="1"/>
  <c r="Q96" i="2" s="1"/>
  <c r="Q97" i="2" s="1"/>
  <c r="Q98" i="2" s="1"/>
  <c r="Q99" i="2" s="1"/>
  <c r="Q100" i="2" s="1"/>
  <c r="Q101" i="2" s="1"/>
  <c r="Q102" i="2" s="1"/>
  <c r="Q103" i="2" s="1"/>
  <c r="Q104" i="2" s="1"/>
  <c r="Q105" i="2" s="1"/>
  <c r="R94" i="2" s="1"/>
  <c r="R95" i="2" s="1"/>
  <c r="R96" i="2" s="1"/>
  <c r="R97" i="2" s="1"/>
  <c r="R98" i="2" s="1"/>
  <c r="R99" i="2" s="1"/>
  <c r="R100" i="2" s="1"/>
  <c r="R101" i="2" s="1"/>
  <c r="R102" i="2" s="1"/>
  <c r="R103" i="2" s="1"/>
  <c r="R104" i="2" s="1"/>
  <c r="R105" i="2" s="1"/>
  <c r="S94" i="2" s="1"/>
  <c r="S95" i="2" s="1"/>
  <c r="S96" i="2" s="1"/>
  <c r="S97" i="2" s="1"/>
  <c r="S98" i="2" s="1"/>
  <c r="S99" i="2" s="1"/>
  <c r="S100" i="2" s="1"/>
  <c r="S101" i="2" s="1"/>
  <c r="S102" i="2" s="1"/>
  <c r="S103" i="2" s="1"/>
  <c r="S104" i="2" s="1"/>
  <c r="S105" i="2" s="1"/>
  <c r="T94" i="2" s="1"/>
  <c r="T95" i="2" s="1"/>
  <c r="T96" i="2" s="1"/>
  <c r="T97" i="2" s="1"/>
  <c r="T98" i="2" s="1"/>
  <c r="T99" i="2" s="1"/>
  <c r="T100" i="2" s="1"/>
  <c r="T101" i="2" s="1"/>
  <c r="T102" i="2" s="1"/>
  <c r="T103" i="2" s="1"/>
  <c r="T104" i="2" s="1"/>
  <c r="T105" i="2" s="1"/>
  <c r="U94" i="2" s="1"/>
  <c r="U95" i="2" s="1"/>
  <c r="U96" i="2" s="1"/>
  <c r="U97" i="2" s="1"/>
  <c r="U98" i="2" s="1"/>
  <c r="U99" i="2" s="1"/>
  <c r="U100" i="2" s="1"/>
  <c r="U101" i="2" s="1"/>
  <c r="U102" i="2" s="1"/>
  <c r="U103" i="2" s="1"/>
  <c r="U104" i="2" s="1"/>
  <c r="U105" i="2" s="1"/>
  <c r="V94" i="2" s="1"/>
  <c r="V95" i="2" s="1"/>
  <c r="V96" i="2" s="1"/>
  <c r="V97" i="2" s="1"/>
  <c r="V98" i="2" s="1"/>
  <c r="V99" i="2" s="1"/>
  <c r="V100" i="2" s="1"/>
  <c r="V101" i="2" s="1"/>
  <c r="V102" i="2" s="1"/>
  <c r="V103" i="2" s="1"/>
  <c r="V104" i="2" s="1"/>
  <c r="V105" i="2" s="1"/>
  <c r="W94" i="2" s="1"/>
  <c r="W95" i="2" s="1"/>
  <c r="W96" i="2" s="1"/>
  <c r="W97" i="2" s="1"/>
  <c r="W98" i="2" s="1"/>
  <c r="W99" i="2" s="1"/>
  <c r="W100" i="2" s="1"/>
  <c r="W101" i="2" s="1"/>
  <c r="W102" i="2" s="1"/>
  <c r="W103" i="2" s="1"/>
  <c r="W104" i="2" s="1"/>
  <c r="W105" i="2" s="1"/>
  <c r="X94" i="2" s="1"/>
  <c r="X95" i="2" s="1"/>
  <c r="X96" i="2" s="1"/>
  <c r="X97" i="2" s="1"/>
  <c r="X98" i="2" s="1"/>
  <c r="X99" i="2" s="1"/>
  <c r="X100" i="2" s="1"/>
  <c r="X101" i="2" s="1"/>
  <c r="X102" i="2" s="1"/>
  <c r="X103" i="2" s="1"/>
  <c r="X104" i="2" s="1"/>
  <c r="X105" i="2" s="1"/>
  <c r="Y94" i="2" s="1"/>
  <c r="Y95" i="2" s="1"/>
  <c r="Y96" i="2" s="1"/>
  <c r="Y97" i="2" s="1"/>
  <c r="Y98" i="2" s="1"/>
  <c r="Y99" i="2" s="1"/>
  <c r="Y100" i="2" s="1"/>
  <c r="Y101" i="2" s="1"/>
  <c r="Y102" i="2" s="1"/>
  <c r="Y103" i="2" s="1"/>
  <c r="Y104" i="2" s="1"/>
  <c r="Y105" i="2" s="1"/>
  <c r="Z94" i="2" s="1"/>
  <c r="Z95" i="2" s="1"/>
  <c r="Z96" i="2" s="1"/>
  <c r="Z97" i="2" s="1"/>
  <c r="Z98" i="2" s="1"/>
  <c r="Z99" i="2" s="1"/>
  <c r="Z100" i="2" s="1"/>
  <c r="Z101" i="2" s="1"/>
  <c r="Z102" i="2" s="1"/>
  <c r="Z103" i="2" s="1"/>
  <c r="Z104" i="2" s="1"/>
  <c r="Z105" i="2" s="1"/>
  <c r="AA94" i="2" s="1"/>
  <c r="AA95" i="2" s="1"/>
  <c r="AA96" i="2" s="1"/>
  <c r="AA97" i="2" s="1"/>
  <c r="AA98" i="2" s="1"/>
  <c r="AA99" i="2" s="1"/>
  <c r="AA100" i="2" s="1"/>
  <c r="AA101" i="2" s="1"/>
  <c r="AA102" i="2" s="1"/>
  <c r="AA103" i="2" s="1"/>
  <c r="AA104" i="2" s="1"/>
  <c r="AA105" i="2" s="1"/>
  <c r="AB94" i="2" s="1"/>
  <c r="AB95" i="2" s="1"/>
  <c r="AB96" i="2" s="1"/>
  <c r="AB97" i="2" s="1"/>
  <c r="AB98" i="2" s="1"/>
  <c r="AB99" i="2" s="1"/>
  <c r="AB100" i="2" s="1"/>
  <c r="AB101" i="2" s="1"/>
  <c r="AB102" i="2" s="1"/>
  <c r="AB103" i="2" s="1"/>
  <c r="AB104" i="2" s="1"/>
  <c r="AB105" i="2" s="1"/>
  <c r="Q47" i="2"/>
  <c r="Q48" i="2" s="1"/>
  <c r="R37" i="2" s="1"/>
  <c r="R38" i="2" s="1"/>
  <c r="R39" i="2" s="1"/>
  <c r="R40" i="2" s="1"/>
  <c r="R41" i="2" s="1"/>
  <c r="R42" i="2" s="1"/>
  <c r="R43" i="2" s="1"/>
  <c r="R44" i="2" s="1"/>
  <c r="R45" i="2" s="1"/>
  <c r="R46" i="2" s="1"/>
  <c r="R47" i="2" s="1"/>
  <c r="R48" i="2" s="1"/>
  <c r="S37" i="2" s="1"/>
  <c r="S38" i="2" s="1"/>
  <c r="S39" i="2" s="1"/>
  <c r="S40" i="2" s="1"/>
  <c r="S41" i="2" s="1"/>
  <c r="S42" i="2" s="1"/>
  <c r="S43" i="2" s="1"/>
  <c r="S44" i="2" s="1"/>
  <c r="S45" i="2" s="1"/>
  <c r="S46" i="2" s="1"/>
  <c r="S47" i="2" s="1"/>
  <c r="S48" i="2" s="1"/>
  <c r="T37" i="2" s="1"/>
  <c r="T38" i="2" s="1"/>
  <c r="T39" i="2" s="1"/>
  <c r="T40" i="2" s="1"/>
  <c r="T41" i="2" s="1"/>
  <c r="T42" i="2" s="1"/>
  <c r="T43" i="2" s="1"/>
  <c r="T44" i="2" s="1"/>
  <c r="T45" i="2" s="1"/>
  <c r="T46" i="2" s="1"/>
  <c r="T47" i="2" s="1"/>
  <c r="T48" i="2" s="1"/>
  <c r="U37" i="2" s="1"/>
  <c r="U38" i="2" s="1"/>
  <c r="U39" i="2" s="1"/>
  <c r="U40" i="2" s="1"/>
  <c r="U41" i="2" s="1"/>
  <c r="U42" i="2" s="1"/>
  <c r="U43" i="2" s="1"/>
  <c r="U44" i="2" s="1"/>
  <c r="U45" i="2" s="1"/>
  <c r="U46" i="2" s="1"/>
  <c r="U47" i="2" s="1"/>
  <c r="U48" i="2" s="1"/>
  <c r="V37" i="2" s="1"/>
  <c r="V38" i="2" s="1"/>
  <c r="V39" i="2" s="1"/>
  <c r="V40" i="2" s="1"/>
  <c r="V41" i="2" s="1"/>
  <c r="V42" i="2" s="1"/>
  <c r="V43" i="2" s="1"/>
  <c r="V44" i="2" s="1"/>
  <c r="V45" i="2" s="1"/>
  <c r="V46" i="2" s="1"/>
  <c r="V47" i="2" s="1"/>
  <c r="V48" i="2" s="1"/>
  <c r="W37" i="2" s="1"/>
  <c r="W38" i="2" s="1"/>
  <c r="W39" i="2" s="1"/>
  <c r="W40" i="2" s="1"/>
  <c r="W41" i="2" s="1"/>
  <c r="W42" i="2" s="1"/>
  <c r="W43" i="2" s="1"/>
  <c r="W44" i="2" s="1"/>
  <c r="W45" i="2" s="1"/>
  <c r="W46" i="2" s="1"/>
  <c r="W47" i="2" s="1"/>
  <c r="W48" i="2" s="1"/>
  <c r="N156" i="2"/>
  <c r="N157" i="2" s="1"/>
  <c r="N158" i="2" s="1"/>
  <c r="N159" i="2" s="1"/>
  <c r="N160" i="2" s="1"/>
  <c r="N161" i="2" s="1"/>
  <c r="N162" i="2" s="1"/>
  <c r="O151" i="2" s="1"/>
  <c r="O152" i="2" s="1"/>
  <c r="O153" i="2" s="1"/>
  <c r="O154" i="2" s="1"/>
  <c r="O155" i="2" s="1"/>
  <c r="O156" i="2" s="1"/>
  <c r="O157" i="2" s="1"/>
  <c r="O158" i="2" s="1"/>
  <c r="O159" i="2" s="1"/>
  <c r="O160" i="2" s="1"/>
  <c r="O161" i="2" s="1"/>
  <c r="O162" i="2" s="1"/>
  <c r="P151" i="2" s="1"/>
  <c r="P152" i="2" s="1"/>
  <c r="P153" i="2" s="1"/>
  <c r="P154" i="2" s="1"/>
  <c r="P155" i="2" s="1"/>
  <c r="P156" i="2" s="1"/>
  <c r="P157" i="2" s="1"/>
  <c r="P158" i="2" s="1"/>
  <c r="P159" i="2" s="1"/>
  <c r="P160" i="2" s="1"/>
  <c r="P161" i="2" s="1"/>
  <c r="P162" i="2" s="1"/>
  <c r="Q151" i="2" s="1"/>
  <c r="Q152" i="2" s="1"/>
  <c r="Q153" i="2" s="1"/>
  <c r="Q154" i="2" s="1"/>
  <c r="Q155" i="2" s="1"/>
  <c r="Q156" i="2" s="1"/>
  <c r="Q157" i="2" s="1"/>
  <c r="Q158" i="2" s="1"/>
  <c r="Q159" i="2" s="1"/>
  <c r="Q160" i="2" s="1"/>
  <c r="Q161" i="2" s="1"/>
  <c r="Q162" i="2" s="1"/>
  <c r="R151" i="2" s="1"/>
  <c r="R152" i="2" s="1"/>
  <c r="R153" i="2" s="1"/>
  <c r="R154" i="2" s="1"/>
  <c r="R155" i="2" s="1"/>
  <c r="R156" i="2" s="1"/>
  <c r="R157" i="2" s="1"/>
  <c r="R158" i="2" s="1"/>
  <c r="R159" i="2" s="1"/>
  <c r="R160" i="2" s="1"/>
  <c r="R161" i="2" s="1"/>
  <c r="R162" i="2" s="1"/>
  <c r="S151" i="2" s="1"/>
  <c r="S152" i="2" s="1"/>
  <c r="S153" i="2" s="1"/>
  <c r="S154" i="2" s="1"/>
  <c r="S155" i="2" s="1"/>
  <c r="S156" i="2" s="1"/>
  <c r="S157" i="2" s="1"/>
  <c r="S158" i="2" s="1"/>
  <c r="S159" i="2" s="1"/>
  <c r="S160" i="2" s="1"/>
  <c r="S161" i="2" s="1"/>
  <c r="S162" i="2" s="1"/>
  <c r="T151" i="2" s="1"/>
  <c r="T152" i="2" s="1"/>
  <c r="T153" i="2" s="1"/>
  <c r="T154" i="2" s="1"/>
  <c r="T155" i="2" s="1"/>
  <c r="T156" i="2" s="1"/>
  <c r="T157" i="2" s="1"/>
  <c r="T158" i="2" s="1"/>
  <c r="T159" i="2" s="1"/>
  <c r="T160" i="2" s="1"/>
  <c r="T161" i="2" s="1"/>
  <c r="T162" i="2" s="1"/>
  <c r="U151" i="2" s="1"/>
  <c r="U152" i="2" s="1"/>
  <c r="U153" i="2" s="1"/>
  <c r="U154" i="2" s="1"/>
  <c r="U155" i="2" s="1"/>
  <c r="U156" i="2" s="1"/>
  <c r="U157" i="2" s="1"/>
  <c r="U158" i="2" s="1"/>
  <c r="U159" i="2" s="1"/>
  <c r="U160" i="2" s="1"/>
  <c r="U161" i="2" s="1"/>
  <c r="U162" i="2" s="1"/>
  <c r="V151" i="2" s="1"/>
  <c r="V152" i="2" s="1"/>
  <c r="V153" i="2" s="1"/>
  <c r="V154" i="2" s="1"/>
  <c r="V155" i="2" s="1"/>
  <c r="V156" i="2" s="1"/>
  <c r="V157" i="2" s="1"/>
  <c r="V158" i="2" s="1"/>
  <c r="V159" i="2" s="1"/>
  <c r="V160" i="2" s="1"/>
  <c r="V161" i="2" s="1"/>
  <c r="V162" i="2" s="1"/>
  <c r="W151" i="2" s="1"/>
  <c r="W152" i="2" s="1"/>
  <c r="W153" i="2" s="1"/>
  <c r="W154" i="2" s="1"/>
  <c r="W155" i="2" s="1"/>
  <c r="W156" i="2" s="1"/>
  <c r="W157" i="2" s="1"/>
  <c r="W158" i="2" s="1"/>
  <c r="W159" i="2" s="1"/>
  <c r="W160" i="2" s="1"/>
  <c r="W161" i="2" s="1"/>
  <c r="W162" i="2" s="1"/>
  <c r="Q57" i="2"/>
  <c r="Q58" i="2" s="1"/>
  <c r="Q59" i="2" s="1"/>
  <c r="Q60" i="2" s="1"/>
  <c r="Q61" i="2" s="1"/>
  <c r="Q62" i="2" s="1"/>
  <c r="Q63" i="2" s="1"/>
  <c r="Q64" i="2" s="1"/>
  <c r="Q65" i="2" s="1"/>
  <c r="Q66" i="2" s="1"/>
  <c r="Q67" i="2" s="1"/>
  <c r="R56" i="2" s="1"/>
  <c r="R57" i="2" s="1"/>
  <c r="R58" i="2" s="1"/>
  <c r="R59" i="2" s="1"/>
  <c r="R60" i="2" s="1"/>
  <c r="R61" i="2" s="1"/>
  <c r="R62" i="2" s="1"/>
  <c r="R63" i="2" s="1"/>
  <c r="R64" i="2" s="1"/>
  <c r="R65" i="2" s="1"/>
  <c r="R66" i="2" s="1"/>
  <c r="R67" i="2" s="1"/>
  <c r="S56" i="2" s="1"/>
  <c r="S57" i="2" s="1"/>
  <c r="S58" i="2" s="1"/>
  <c r="S59" i="2" s="1"/>
  <c r="S60" i="2" s="1"/>
  <c r="S61" i="2" s="1"/>
  <c r="S62" i="2" s="1"/>
  <c r="S63" i="2" s="1"/>
  <c r="S64" i="2" s="1"/>
  <c r="S65" i="2" s="1"/>
  <c r="S66" i="2" s="1"/>
  <c r="S67" i="2" s="1"/>
  <c r="T56" i="2" s="1"/>
  <c r="T57" i="2" s="1"/>
  <c r="T58" i="2" s="1"/>
  <c r="T59" i="2" s="1"/>
  <c r="T60" i="2" s="1"/>
  <c r="T61" i="2" s="1"/>
  <c r="T62" i="2" s="1"/>
  <c r="T63" i="2" s="1"/>
  <c r="T64" i="2" s="1"/>
  <c r="T65" i="2" s="1"/>
  <c r="T66" i="2" s="1"/>
  <c r="T67" i="2" s="1"/>
  <c r="U56" i="2" s="1"/>
  <c r="U57" i="2" s="1"/>
  <c r="U58" i="2" s="1"/>
  <c r="U59" i="2" s="1"/>
  <c r="U60" i="2" s="1"/>
  <c r="U61" i="2" s="1"/>
  <c r="U62" i="2" s="1"/>
  <c r="U63" i="2" s="1"/>
  <c r="U64" i="2" s="1"/>
  <c r="U65" i="2" s="1"/>
  <c r="U66" i="2" s="1"/>
  <c r="U67" i="2" s="1"/>
  <c r="V56" i="2" s="1"/>
  <c r="V57" i="2" s="1"/>
  <c r="V58" i="2" s="1"/>
  <c r="V59" i="2" s="1"/>
  <c r="V60" i="2" s="1"/>
  <c r="V61" i="2" s="1"/>
  <c r="V62" i="2" s="1"/>
  <c r="V63" i="2" s="1"/>
  <c r="V64" i="2" s="1"/>
  <c r="V65" i="2" s="1"/>
  <c r="V66" i="2" s="1"/>
  <c r="V67" i="2" s="1"/>
  <c r="W56" i="2" s="1"/>
  <c r="W57" i="2" s="1"/>
  <c r="W58" i="2" s="1"/>
  <c r="W59" i="2" s="1"/>
  <c r="W60" i="2" s="1"/>
  <c r="W61" i="2" s="1"/>
  <c r="W62" i="2" s="1"/>
  <c r="W63" i="2" s="1"/>
  <c r="W64" i="2" s="1"/>
  <c r="W65" i="2" s="1"/>
  <c r="W66" i="2" s="1"/>
  <c r="W67" i="2" s="1"/>
  <c r="R19" i="1"/>
  <c r="R20" i="1" s="1"/>
  <c r="R21" i="1" s="1"/>
  <c r="R22" i="1" s="1"/>
  <c r="R23" i="1" s="1"/>
  <c r="R24" i="1" s="1"/>
  <c r="R25" i="1" s="1"/>
  <c r="R26" i="1" s="1"/>
  <c r="S15" i="1" s="1"/>
  <c r="S16" i="1" s="1"/>
  <c r="S17" i="1" s="1"/>
  <c r="S18" i="1" s="1"/>
  <c r="S19" i="1" s="1"/>
  <c r="S20" i="1" s="1"/>
  <c r="S21" i="1" s="1"/>
  <c r="S22" i="1" s="1"/>
  <c r="S23" i="1" s="1"/>
  <c r="S24" i="1" s="1"/>
  <c r="S25" i="1" s="1"/>
  <c r="S26" i="1" s="1"/>
  <c r="T15" i="1" s="1"/>
  <c r="T16" i="1" s="1"/>
  <c r="T17" i="1" s="1"/>
  <c r="T18" i="1" s="1"/>
  <c r="T19" i="1" s="1"/>
  <c r="T20" i="1" s="1"/>
  <c r="T21" i="1" s="1"/>
  <c r="T22" i="1" s="1"/>
  <c r="T23" i="1" s="1"/>
  <c r="T24" i="1" s="1"/>
  <c r="T25" i="1" s="1"/>
  <c r="T26" i="1" s="1"/>
  <c r="U15" i="1" s="1"/>
  <c r="U16" i="1" s="1"/>
  <c r="U17" i="1" s="1"/>
  <c r="U18" i="1" s="1"/>
  <c r="U19" i="1" s="1"/>
  <c r="U20" i="1" s="1"/>
  <c r="U21" i="1" s="1"/>
  <c r="U22" i="1" s="1"/>
  <c r="U23" i="1" s="1"/>
  <c r="U24" i="1" s="1"/>
  <c r="U25" i="1" s="1"/>
  <c r="U26" i="1" s="1"/>
  <c r="V15" i="1" s="1"/>
  <c r="V16" i="1" s="1"/>
  <c r="V17" i="1" s="1"/>
  <c r="V18" i="1" s="1"/>
  <c r="V19" i="1" s="1"/>
  <c r="V20" i="1" s="1"/>
  <c r="V21" i="1" s="1"/>
  <c r="V22" i="1" s="1"/>
  <c r="V23" i="1" s="1"/>
  <c r="V24" i="1" s="1"/>
  <c r="V25" i="1" s="1"/>
  <c r="V26" i="1" s="1"/>
  <c r="W15" i="1" s="1"/>
  <c r="W16" i="1" s="1"/>
  <c r="W17" i="1" s="1"/>
  <c r="W18" i="1" s="1"/>
  <c r="W19" i="1" s="1"/>
  <c r="W20" i="1" s="1"/>
  <c r="W21" i="1" s="1"/>
  <c r="W22" i="1" s="1"/>
  <c r="W23" i="1" s="1"/>
  <c r="W24" i="1" s="1"/>
  <c r="W25" i="1" s="1"/>
  <c r="W26" i="1" s="1"/>
  <c r="C5" i="6" s="1"/>
  <c r="C22" i="6" s="1"/>
  <c r="C31" i="6" s="1"/>
  <c r="X37" i="3" l="1"/>
  <c r="X38" i="3" s="1"/>
  <c r="X39" i="3" s="1"/>
  <c r="X40" i="3" s="1"/>
  <c r="X41" i="3" s="1"/>
  <c r="X42" i="3" s="1"/>
  <c r="X43" i="3" s="1"/>
  <c r="X44" i="3" s="1"/>
  <c r="X45" i="3" s="1"/>
  <c r="X46" i="3" s="1"/>
  <c r="X47" i="3" s="1"/>
  <c r="X48" i="3" s="1"/>
  <c r="Y37" i="3" s="1"/>
  <c r="Y38" i="3" s="1"/>
  <c r="Y39" i="3" s="1"/>
  <c r="Y40" i="3" s="1"/>
  <c r="Y41" i="3" s="1"/>
  <c r="Y42" i="3" s="1"/>
  <c r="Y43" i="3" s="1"/>
  <c r="Y44" i="3" s="1"/>
  <c r="Y45" i="3" s="1"/>
  <c r="Y46" i="3" s="1"/>
  <c r="Y47" i="3" s="1"/>
  <c r="Y48" i="3" s="1"/>
  <c r="Z37" i="3" s="1"/>
  <c r="Z38" i="3" s="1"/>
  <c r="Z39" i="3" s="1"/>
  <c r="Z40" i="3" s="1"/>
  <c r="Z41" i="3" s="1"/>
  <c r="Z42" i="3" s="1"/>
  <c r="Z43" i="3" s="1"/>
  <c r="Z44" i="3" s="1"/>
  <c r="Z45" i="3" s="1"/>
  <c r="Z46" i="3" s="1"/>
  <c r="Z47" i="3" s="1"/>
  <c r="Z48" i="3" s="1"/>
  <c r="AA37" i="3" s="1"/>
  <c r="AA38" i="3" s="1"/>
  <c r="AA39" i="3" s="1"/>
  <c r="AA40" i="3" s="1"/>
  <c r="AA41" i="3" s="1"/>
  <c r="AA42" i="3" s="1"/>
  <c r="AA43" i="3" s="1"/>
  <c r="AA44" i="3" s="1"/>
  <c r="AA45" i="3" s="1"/>
  <c r="AA46" i="3" s="1"/>
  <c r="AA47" i="3" s="1"/>
  <c r="AA48" i="3" s="1"/>
  <c r="AB37" i="3" s="1"/>
  <c r="AB38" i="3" s="1"/>
  <c r="AB39" i="3" s="1"/>
  <c r="AB40" i="3" s="1"/>
  <c r="AB41" i="3" s="1"/>
  <c r="AB42" i="3" s="1"/>
  <c r="AB43" i="3" s="1"/>
  <c r="AB44" i="3" s="1"/>
  <c r="AB45" i="3" s="1"/>
  <c r="AB46" i="3" s="1"/>
  <c r="AB47" i="3" s="1"/>
  <c r="AB48" i="3" s="1"/>
  <c r="AE175" i="3"/>
  <c r="AC132" i="3"/>
  <c r="AC133" i="3" s="1"/>
  <c r="AC134" i="3" s="1"/>
  <c r="AC135" i="3" s="1"/>
  <c r="AC136" i="3" s="1"/>
  <c r="AC137" i="3" s="1"/>
  <c r="AC138" i="3" s="1"/>
  <c r="AC139" i="3" s="1"/>
  <c r="AC140" i="3" s="1"/>
  <c r="AC141" i="3" s="1"/>
  <c r="AC142" i="3" s="1"/>
  <c r="AC143" i="3" s="1"/>
  <c r="AD132" i="3" s="1"/>
  <c r="AD133" i="3" s="1"/>
  <c r="AD134" i="3" s="1"/>
  <c r="AD135" i="3" s="1"/>
  <c r="AD136" i="3" s="1"/>
  <c r="AD137" i="3" s="1"/>
  <c r="AD138" i="3" s="1"/>
  <c r="AD139" i="3" s="1"/>
  <c r="AD140" i="3" s="1"/>
  <c r="AD141" i="3" s="1"/>
  <c r="AD142" i="3" s="1"/>
  <c r="AD143" i="3" s="1"/>
  <c r="AE132" i="3" s="1"/>
  <c r="AE133" i="3" s="1"/>
  <c r="AE134" i="3" s="1"/>
  <c r="AE135" i="3" s="1"/>
  <c r="AE136" i="3" s="1"/>
  <c r="AE137" i="3" s="1"/>
  <c r="AE138" i="3" s="1"/>
  <c r="AE139" i="3" s="1"/>
  <c r="AE140" i="3" s="1"/>
  <c r="AE141" i="3" s="1"/>
  <c r="AE142" i="3" s="1"/>
  <c r="AE143" i="3" s="1"/>
  <c r="AR175" i="3"/>
  <c r="X15" i="3"/>
  <c r="X16" i="3" s="1"/>
  <c r="X17" i="3" s="1"/>
  <c r="X18" i="3" s="1"/>
  <c r="X19" i="3" s="1"/>
  <c r="X20" i="3" s="1"/>
  <c r="X21" i="3" s="1"/>
  <c r="X22" i="3" s="1"/>
  <c r="X23" i="3" s="1"/>
  <c r="X24" i="3" s="1"/>
  <c r="X25" i="3" s="1"/>
  <c r="X26" i="3" s="1"/>
  <c r="Y15" i="3" s="1"/>
  <c r="Y16" i="3" s="1"/>
  <c r="Y17" i="3" s="1"/>
  <c r="Y18" i="3" s="1"/>
  <c r="Y19" i="3" s="1"/>
  <c r="Y20" i="3" s="1"/>
  <c r="Y21" i="3" s="1"/>
  <c r="Y22" i="3" s="1"/>
  <c r="Y23" i="3" s="1"/>
  <c r="Y24" i="3" s="1"/>
  <c r="Y25" i="3" s="1"/>
  <c r="Y26" i="3" s="1"/>
  <c r="Z15" i="3" s="1"/>
  <c r="Z16" i="3" s="1"/>
  <c r="Z17" i="3" s="1"/>
  <c r="Z18" i="3" s="1"/>
  <c r="Z19" i="3" s="1"/>
  <c r="Z20" i="3" s="1"/>
  <c r="Z21" i="3" s="1"/>
  <c r="Z22" i="3" s="1"/>
  <c r="Z23" i="3" s="1"/>
  <c r="Z24" i="3" s="1"/>
  <c r="Z25" i="3" s="1"/>
  <c r="Z26" i="3" s="1"/>
  <c r="AA15" i="3" s="1"/>
  <c r="AA16" i="3" s="1"/>
  <c r="AA17" i="3" s="1"/>
  <c r="AA18" i="3" s="1"/>
  <c r="AA19" i="3" s="1"/>
  <c r="AA20" i="3" s="1"/>
  <c r="AA21" i="3" s="1"/>
  <c r="AA22" i="3" s="1"/>
  <c r="AA23" i="3" s="1"/>
  <c r="AA24" i="3" s="1"/>
  <c r="AA25" i="3" s="1"/>
  <c r="AA26" i="3" s="1"/>
  <c r="AB15" i="3" s="1"/>
  <c r="AB16" i="3" s="1"/>
  <c r="AB17" i="3" s="1"/>
  <c r="AB18" i="3" s="1"/>
  <c r="AB19" i="3" s="1"/>
  <c r="AB20" i="3" s="1"/>
  <c r="AB21" i="3" s="1"/>
  <c r="AB22" i="3" s="1"/>
  <c r="AB23" i="3" s="1"/>
  <c r="AB24" i="3" s="1"/>
  <c r="AB25" i="3" s="1"/>
  <c r="AB26" i="3" s="1"/>
  <c r="AD175" i="3"/>
  <c r="X151" i="3"/>
  <c r="X152" i="3" s="1"/>
  <c r="X153" i="3" s="1"/>
  <c r="X154" i="3" s="1"/>
  <c r="X155" i="3" s="1"/>
  <c r="X156" i="3" s="1"/>
  <c r="X157" i="3" s="1"/>
  <c r="X158" i="3" s="1"/>
  <c r="X159" i="3" s="1"/>
  <c r="X160" i="3" s="1"/>
  <c r="X161" i="3" s="1"/>
  <c r="X162" i="3" s="1"/>
  <c r="Y151" i="3" s="1"/>
  <c r="Y152" i="3" s="1"/>
  <c r="Y153" i="3" s="1"/>
  <c r="Y154" i="3" s="1"/>
  <c r="Y155" i="3" s="1"/>
  <c r="Y156" i="3" s="1"/>
  <c r="Y157" i="3" s="1"/>
  <c r="Y158" i="3" s="1"/>
  <c r="Y159" i="3" s="1"/>
  <c r="Y160" i="3" s="1"/>
  <c r="Y161" i="3" s="1"/>
  <c r="Y162" i="3" s="1"/>
  <c r="Z151" i="3" s="1"/>
  <c r="Z152" i="3" s="1"/>
  <c r="Z153" i="3" s="1"/>
  <c r="Z154" i="3" s="1"/>
  <c r="Z155" i="3" s="1"/>
  <c r="Z156" i="3" s="1"/>
  <c r="Z157" i="3" s="1"/>
  <c r="Z158" i="3" s="1"/>
  <c r="Z159" i="3" s="1"/>
  <c r="Z160" i="3" s="1"/>
  <c r="Z161" i="3" s="1"/>
  <c r="Z162" i="3" s="1"/>
  <c r="AA151" i="3" s="1"/>
  <c r="AA152" i="3" s="1"/>
  <c r="AA153" i="3" s="1"/>
  <c r="AA154" i="3" s="1"/>
  <c r="AA155" i="3" s="1"/>
  <c r="AA156" i="3" s="1"/>
  <c r="AA157" i="3" s="1"/>
  <c r="AA158" i="3" s="1"/>
  <c r="AA159" i="3" s="1"/>
  <c r="AA160" i="3" s="1"/>
  <c r="AA161" i="3" s="1"/>
  <c r="AA162" i="3" s="1"/>
  <c r="AB151" i="3" s="1"/>
  <c r="AB152" i="3" s="1"/>
  <c r="AB153" i="3" s="1"/>
  <c r="AB154" i="3" s="1"/>
  <c r="AB155" i="3" s="1"/>
  <c r="AB156" i="3" s="1"/>
  <c r="AB157" i="3" s="1"/>
  <c r="AB158" i="3" s="1"/>
  <c r="AB159" i="3" s="1"/>
  <c r="AB160" i="3" s="1"/>
  <c r="AB161" i="3" s="1"/>
  <c r="AB162" i="3" s="1"/>
  <c r="AH175" i="3"/>
  <c r="AC113" i="3"/>
  <c r="AC114" i="3" s="1"/>
  <c r="AC115" i="3" s="1"/>
  <c r="AC116" i="3" s="1"/>
  <c r="AC117" i="3" s="1"/>
  <c r="AC118" i="3" s="1"/>
  <c r="AC119" i="3" s="1"/>
  <c r="AC120" i="3" s="1"/>
  <c r="AC121" i="3" s="1"/>
  <c r="AC122" i="3" s="1"/>
  <c r="AC123" i="3" s="1"/>
  <c r="AC124" i="3" s="1"/>
  <c r="AD113" i="3" s="1"/>
  <c r="AD114" i="3" s="1"/>
  <c r="AD115" i="3" s="1"/>
  <c r="AD116" i="3" s="1"/>
  <c r="AD117" i="3" s="1"/>
  <c r="AD118" i="3" s="1"/>
  <c r="AD119" i="3" s="1"/>
  <c r="AD120" i="3" s="1"/>
  <c r="AD121" i="3" s="1"/>
  <c r="AD122" i="3" s="1"/>
  <c r="AD123" i="3" s="1"/>
  <c r="AD124" i="3" s="1"/>
  <c r="AE113" i="3" s="1"/>
  <c r="AE114" i="3" s="1"/>
  <c r="AE115" i="3" s="1"/>
  <c r="AE116" i="3" s="1"/>
  <c r="AE117" i="3" s="1"/>
  <c r="AE118" i="3" s="1"/>
  <c r="AE119" i="3" s="1"/>
  <c r="AE120" i="3" s="1"/>
  <c r="AE121" i="3" s="1"/>
  <c r="AE122" i="3" s="1"/>
  <c r="AE123" i="3" s="1"/>
  <c r="AE124" i="3" s="1"/>
  <c r="AQ175" i="3"/>
  <c r="AC94" i="3"/>
  <c r="AC95" i="3" s="1"/>
  <c r="AC96" i="3" s="1"/>
  <c r="AC97" i="3" s="1"/>
  <c r="AC98" i="3" s="1"/>
  <c r="AC99" i="3" s="1"/>
  <c r="AC100" i="3" s="1"/>
  <c r="AC101" i="3" s="1"/>
  <c r="AC102" i="3" s="1"/>
  <c r="AC103" i="3" s="1"/>
  <c r="AC104" i="3" s="1"/>
  <c r="AC105" i="3" s="1"/>
  <c r="AD94" i="3" s="1"/>
  <c r="AD95" i="3" s="1"/>
  <c r="AD96" i="3" s="1"/>
  <c r="AD97" i="3" s="1"/>
  <c r="AD98" i="3" s="1"/>
  <c r="AD99" i="3" s="1"/>
  <c r="AD100" i="3" s="1"/>
  <c r="AD101" i="3" s="1"/>
  <c r="AD102" i="3" s="1"/>
  <c r="AD103" i="3" s="1"/>
  <c r="AD104" i="3" s="1"/>
  <c r="AD105" i="3" s="1"/>
  <c r="AE94" i="3" s="1"/>
  <c r="AE95" i="3" s="1"/>
  <c r="AE96" i="3" s="1"/>
  <c r="AE97" i="3" s="1"/>
  <c r="AE98" i="3" s="1"/>
  <c r="AE99" i="3" s="1"/>
  <c r="AE100" i="3" s="1"/>
  <c r="AE101" i="3" s="1"/>
  <c r="AE102" i="3" s="1"/>
  <c r="AE103" i="3" s="1"/>
  <c r="AE104" i="3" s="1"/>
  <c r="AE105" i="3" s="1"/>
  <c r="AP175" i="3"/>
  <c r="X75" i="3"/>
  <c r="X76" i="3" s="1"/>
  <c r="X77" i="3" s="1"/>
  <c r="X78" i="3" s="1"/>
  <c r="X79" i="3" s="1"/>
  <c r="X80" i="3" s="1"/>
  <c r="X81" i="3" s="1"/>
  <c r="X82" i="3" s="1"/>
  <c r="X83" i="3" s="1"/>
  <c r="X84" i="3" s="1"/>
  <c r="X85" i="3" s="1"/>
  <c r="X86" i="3" s="1"/>
  <c r="Y75" i="3" s="1"/>
  <c r="Y76" i="3" s="1"/>
  <c r="Y77" i="3" s="1"/>
  <c r="Y78" i="3" s="1"/>
  <c r="Y79" i="3" s="1"/>
  <c r="Y80" i="3" s="1"/>
  <c r="Y81" i="3" s="1"/>
  <c r="Y82" i="3" s="1"/>
  <c r="Y83" i="3" s="1"/>
  <c r="Y84" i="3" s="1"/>
  <c r="Y85" i="3" s="1"/>
  <c r="Y86" i="3" s="1"/>
  <c r="Z75" i="3" s="1"/>
  <c r="Z76" i="3" s="1"/>
  <c r="Z77" i="3" s="1"/>
  <c r="Z78" i="3" s="1"/>
  <c r="Z79" i="3" s="1"/>
  <c r="Z80" i="3" s="1"/>
  <c r="Z81" i="3" s="1"/>
  <c r="Z82" i="3" s="1"/>
  <c r="Z83" i="3" s="1"/>
  <c r="Z84" i="3" s="1"/>
  <c r="Z85" i="3" s="1"/>
  <c r="Z86" i="3" s="1"/>
  <c r="AA75" i="3" s="1"/>
  <c r="AA76" i="3" s="1"/>
  <c r="AA77" i="3" s="1"/>
  <c r="AA78" i="3" s="1"/>
  <c r="AA79" i="3" s="1"/>
  <c r="AA80" i="3" s="1"/>
  <c r="AA81" i="3" s="1"/>
  <c r="AA82" i="3" s="1"/>
  <c r="AA83" i="3" s="1"/>
  <c r="AA84" i="3" s="1"/>
  <c r="AA85" i="3" s="1"/>
  <c r="AA86" i="3" s="1"/>
  <c r="AB75" i="3" s="1"/>
  <c r="AB76" i="3" s="1"/>
  <c r="AB77" i="3" s="1"/>
  <c r="AB78" i="3" s="1"/>
  <c r="AB79" i="3" s="1"/>
  <c r="AB80" i="3" s="1"/>
  <c r="AB81" i="3" s="1"/>
  <c r="AB82" i="3" s="1"/>
  <c r="AB83" i="3" s="1"/>
  <c r="AB84" i="3" s="1"/>
  <c r="AB85" i="3" s="1"/>
  <c r="AB86" i="3" s="1"/>
  <c r="AG175" i="3"/>
  <c r="X56" i="3"/>
  <c r="X57" i="3" s="1"/>
  <c r="X58" i="3" s="1"/>
  <c r="X59" i="3" s="1"/>
  <c r="X60" i="3" s="1"/>
  <c r="X61" i="3" s="1"/>
  <c r="X62" i="3" s="1"/>
  <c r="X63" i="3" s="1"/>
  <c r="X64" i="3" s="1"/>
  <c r="X65" i="3" s="1"/>
  <c r="X66" i="3" s="1"/>
  <c r="X67" i="3" s="1"/>
  <c r="Y56" i="3" s="1"/>
  <c r="Y57" i="3" s="1"/>
  <c r="Y58" i="3" s="1"/>
  <c r="Y59" i="3" s="1"/>
  <c r="Y60" i="3" s="1"/>
  <c r="Y61" i="3" s="1"/>
  <c r="Y62" i="3" s="1"/>
  <c r="Y63" i="3" s="1"/>
  <c r="Y64" i="3" s="1"/>
  <c r="Y65" i="3" s="1"/>
  <c r="Y66" i="3" s="1"/>
  <c r="Y67" i="3" s="1"/>
  <c r="Z56" i="3" s="1"/>
  <c r="Z57" i="3" s="1"/>
  <c r="Z58" i="3" s="1"/>
  <c r="Z59" i="3" s="1"/>
  <c r="Z60" i="3" s="1"/>
  <c r="Z61" i="3" s="1"/>
  <c r="Z62" i="3" s="1"/>
  <c r="Z63" i="3" s="1"/>
  <c r="Z64" i="3" s="1"/>
  <c r="Z65" i="3" s="1"/>
  <c r="Z66" i="3" s="1"/>
  <c r="Z67" i="3" s="1"/>
  <c r="AA56" i="3" s="1"/>
  <c r="AA57" i="3" s="1"/>
  <c r="AA58" i="3" s="1"/>
  <c r="AA59" i="3" s="1"/>
  <c r="AA60" i="3" s="1"/>
  <c r="AA61" i="3" s="1"/>
  <c r="AA62" i="3" s="1"/>
  <c r="AA63" i="3" s="1"/>
  <c r="AA64" i="3" s="1"/>
  <c r="AA65" i="3" s="1"/>
  <c r="AA66" i="3" s="1"/>
  <c r="AA67" i="3" s="1"/>
  <c r="AB56" i="3" s="1"/>
  <c r="AB57" i="3" s="1"/>
  <c r="AB58" i="3" s="1"/>
  <c r="AB59" i="3" s="1"/>
  <c r="AB60" i="3" s="1"/>
  <c r="AB61" i="3" s="1"/>
  <c r="AB62" i="3" s="1"/>
  <c r="AB63" i="3" s="1"/>
  <c r="AB64" i="3" s="1"/>
  <c r="AB65" i="3" s="1"/>
  <c r="AB66" i="3" s="1"/>
  <c r="AB67" i="3" s="1"/>
  <c r="AF175" i="3"/>
  <c r="X56" i="2"/>
  <c r="X57" i="2" s="1"/>
  <c r="X58" i="2" s="1"/>
  <c r="X59" i="2" s="1"/>
  <c r="X60" i="2" s="1"/>
  <c r="X61" i="2" s="1"/>
  <c r="X62" i="2" s="1"/>
  <c r="X63" i="2" s="1"/>
  <c r="X64" i="2" s="1"/>
  <c r="X65" i="2" s="1"/>
  <c r="X66" i="2" s="1"/>
  <c r="X67" i="2" s="1"/>
  <c r="Y56" i="2" s="1"/>
  <c r="Y57" i="2" s="1"/>
  <c r="Y58" i="2" s="1"/>
  <c r="Y59" i="2" s="1"/>
  <c r="Y60" i="2" s="1"/>
  <c r="Y61" i="2" s="1"/>
  <c r="Y62" i="2" s="1"/>
  <c r="Y63" i="2" s="1"/>
  <c r="Y64" i="2" s="1"/>
  <c r="Y65" i="2" s="1"/>
  <c r="Y66" i="2" s="1"/>
  <c r="Y67" i="2" s="1"/>
  <c r="Z56" i="2" s="1"/>
  <c r="Z57" i="2" s="1"/>
  <c r="Z58" i="2" s="1"/>
  <c r="Z59" i="2" s="1"/>
  <c r="Z60" i="2" s="1"/>
  <c r="Z61" i="2" s="1"/>
  <c r="Z62" i="2" s="1"/>
  <c r="Z63" i="2" s="1"/>
  <c r="Z64" i="2" s="1"/>
  <c r="Z65" i="2" s="1"/>
  <c r="Z66" i="2" s="1"/>
  <c r="Z67" i="2" s="1"/>
  <c r="AA56" i="2" s="1"/>
  <c r="AA57" i="2" s="1"/>
  <c r="AA58" i="2" s="1"/>
  <c r="AA59" i="2" s="1"/>
  <c r="AA60" i="2" s="1"/>
  <c r="AA61" i="2" s="1"/>
  <c r="AA62" i="2" s="1"/>
  <c r="AA63" i="2" s="1"/>
  <c r="AA64" i="2" s="1"/>
  <c r="AA65" i="2" s="1"/>
  <c r="AA66" i="2" s="1"/>
  <c r="AA67" i="2" s="1"/>
  <c r="AB56" i="2" s="1"/>
  <c r="AB57" i="2" s="1"/>
  <c r="AB58" i="2" s="1"/>
  <c r="AB59" i="2" s="1"/>
  <c r="AB60" i="2" s="1"/>
  <c r="AB61" i="2" s="1"/>
  <c r="AB62" i="2" s="1"/>
  <c r="AB63" i="2" s="1"/>
  <c r="AB64" i="2" s="1"/>
  <c r="AB65" i="2" s="1"/>
  <c r="AB66" i="2" s="1"/>
  <c r="AB67" i="2" s="1"/>
  <c r="AF173" i="2"/>
  <c r="X37" i="2"/>
  <c r="X38" i="2" s="1"/>
  <c r="X39" i="2" s="1"/>
  <c r="X40" i="2" s="1"/>
  <c r="X41" i="2" s="1"/>
  <c r="X42" i="2" s="1"/>
  <c r="X43" i="2" s="1"/>
  <c r="X44" i="2" s="1"/>
  <c r="X45" i="2" s="1"/>
  <c r="X46" i="2" s="1"/>
  <c r="X47" i="2" s="1"/>
  <c r="X48" i="2" s="1"/>
  <c r="Y37" i="2" s="1"/>
  <c r="Y38" i="2" s="1"/>
  <c r="Y39" i="2" s="1"/>
  <c r="Y40" i="2" s="1"/>
  <c r="Y41" i="2" s="1"/>
  <c r="Y42" i="2" s="1"/>
  <c r="Y43" i="2" s="1"/>
  <c r="Y44" i="2" s="1"/>
  <c r="Y45" i="2" s="1"/>
  <c r="Y46" i="2" s="1"/>
  <c r="Y47" i="2" s="1"/>
  <c r="Y48" i="2" s="1"/>
  <c r="Z37" i="2" s="1"/>
  <c r="Z38" i="2" s="1"/>
  <c r="Z39" i="2" s="1"/>
  <c r="Z40" i="2" s="1"/>
  <c r="Z41" i="2" s="1"/>
  <c r="Z42" i="2" s="1"/>
  <c r="Z43" i="2" s="1"/>
  <c r="Z44" i="2" s="1"/>
  <c r="Z45" i="2" s="1"/>
  <c r="Z46" i="2" s="1"/>
  <c r="Z47" i="2" s="1"/>
  <c r="Z48" i="2" s="1"/>
  <c r="AA37" i="2" s="1"/>
  <c r="AA38" i="2" s="1"/>
  <c r="AA39" i="2" s="1"/>
  <c r="AA40" i="2" s="1"/>
  <c r="AA41" i="2" s="1"/>
  <c r="AA42" i="2" s="1"/>
  <c r="AA43" i="2" s="1"/>
  <c r="AA44" i="2" s="1"/>
  <c r="AA45" i="2" s="1"/>
  <c r="AA46" i="2" s="1"/>
  <c r="AA47" i="2" s="1"/>
  <c r="AA48" i="2" s="1"/>
  <c r="AB37" i="2" s="1"/>
  <c r="AB38" i="2" s="1"/>
  <c r="AB39" i="2" s="1"/>
  <c r="AB40" i="2" s="1"/>
  <c r="AB41" i="2" s="1"/>
  <c r="AB42" i="2" s="1"/>
  <c r="AB43" i="2" s="1"/>
  <c r="AB44" i="2" s="1"/>
  <c r="AB45" i="2" s="1"/>
  <c r="AB46" i="2" s="1"/>
  <c r="AB47" i="2" s="1"/>
  <c r="AB48" i="2" s="1"/>
  <c r="AE173" i="2"/>
  <c r="AC94" i="2"/>
  <c r="AC95" i="2" s="1"/>
  <c r="AC96" i="2" s="1"/>
  <c r="AC97" i="2" s="1"/>
  <c r="AC98" i="2" s="1"/>
  <c r="AC99" i="2" s="1"/>
  <c r="AC100" i="2" s="1"/>
  <c r="AC101" i="2" s="1"/>
  <c r="AC102" i="2" s="1"/>
  <c r="AC103" i="2" s="1"/>
  <c r="AC104" i="2" s="1"/>
  <c r="AC105" i="2" s="1"/>
  <c r="AD94" i="2" s="1"/>
  <c r="AD95" i="2" s="1"/>
  <c r="AD96" i="2" s="1"/>
  <c r="AD97" i="2" s="1"/>
  <c r="AD98" i="2" s="1"/>
  <c r="AD99" i="2" s="1"/>
  <c r="AD100" i="2" s="1"/>
  <c r="AD101" i="2" s="1"/>
  <c r="AD102" i="2" s="1"/>
  <c r="AD103" i="2" s="1"/>
  <c r="AD104" i="2" s="1"/>
  <c r="AD105" i="2" s="1"/>
  <c r="AE94" i="2" s="1"/>
  <c r="AE95" i="2" s="1"/>
  <c r="AE96" i="2" s="1"/>
  <c r="AE97" i="2" s="1"/>
  <c r="AE98" i="2" s="1"/>
  <c r="AE99" i="2" s="1"/>
  <c r="AE100" i="2" s="1"/>
  <c r="AE101" i="2" s="1"/>
  <c r="AE102" i="2" s="1"/>
  <c r="AE103" i="2" s="1"/>
  <c r="AE104" i="2" s="1"/>
  <c r="AE105" i="2" s="1"/>
  <c r="AP173" i="2"/>
  <c r="AC132" i="2"/>
  <c r="AC133" i="2" s="1"/>
  <c r="AC134" i="2" s="1"/>
  <c r="AC135" i="2" s="1"/>
  <c r="AC136" i="2" s="1"/>
  <c r="AC137" i="2" s="1"/>
  <c r="AC138" i="2" s="1"/>
  <c r="AC139" i="2" s="1"/>
  <c r="AC140" i="2" s="1"/>
  <c r="AC141" i="2" s="1"/>
  <c r="AC142" i="2" s="1"/>
  <c r="AC143" i="2" s="1"/>
  <c r="AD132" i="2" s="1"/>
  <c r="AD133" i="2" s="1"/>
  <c r="AD134" i="2" s="1"/>
  <c r="AD135" i="2" s="1"/>
  <c r="AD136" i="2" s="1"/>
  <c r="AD137" i="2" s="1"/>
  <c r="AD138" i="2" s="1"/>
  <c r="AD139" i="2" s="1"/>
  <c r="AD140" i="2" s="1"/>
  <c r="AD141" i="2" s="1"/>
  <c r="AD142" i="2" s="1"/>
  <c r="AD143" i="2" s="1"/>
  <c r="AE132" i="2" s="1"/>
  <c r="AE133" i="2" s="1"/>
  <c r="AE134" i="2" s="1"/>
  <c r="AE135" i="2" s="1"/>
  <c r="AE136" i="2" s="1"/>
  <c r="AE137" i="2" s="1"/>
  <c r="AE138" i="2" s="1"/>
  <c r="AE139" i="2" s="1"/>
  <c r="AE140" i="2" s="1"/>
  <c r="AE141" i="2" s="1"/>
  <c r="AE142" i="2" s="1"/>
  <c r="AE143" i="2" s="1"/>
  <c r="AR173" i="2"/>
  <c r="AC113" i="2"/>
  <c r="AC114" i="2" s="1"/>
  <c r="AC115" i="2" s="1"/>
  <c r="AC116" i="2" s="1"/>
  <c r="AC117" i="2" s="1"/>
  <c r="AC118" i="2" s="1"/>
  <c r="AC119" i="2" s="1"/>
  <c r="AC120" i="2" s="1"/>
  <c r="AC121" i="2" s="1"/>
  <c r="AC122" i="2" s="1"/>
  <c r="AC123" i="2" s="1"/>
  <c r="AC124" i="2" s="1"/>
  <c r="AD113" i="2" s="1"/>
  <c r="AD114" i="2" s="1"/>
  <c r="AD115" i="2" s="1"/>
  <c r="AD116" i="2" s="1"/>
  <c r="AD117" i="2" s="1"/>
  <c r="AD118" i="2" s="1"/>
  <c r="AD119" i="2" s="1"/>
  <c r="AD120" i="2" s="1"/>
  <c r="AD121" i="2" s="1"/>
  <c r="AD122" i="2" s="1"/>
  <c r="AD123" i="2" s="1"/>
  <c r="AD124" i="2" s="1"/>
  <c r="AE113" i="2" s="1"/>
  <c r="AE114" i="2" s="1"/>
  <c r="AE115" i="2" s="1"/>
  <c r="AE116" i="2" s="1"/>
  <c r="AE117" i="2" s="1"/>
  <c r="AE118" i="2" s="1"/>
  <c r="AE119" i="2" s="1"/>
  <c r="AE120" i="2" s="1"/>
  <c r="AE121" i="2" s="1"/>
  <c r="AE122" i="2" s="1"/>
  <c r="AE123" i="2" s="1"/>
  <c r="AE124" i="2" s="1"/>
  <c r="AQ173" i="2"/>
  <c r="X151" i="2"/>
  <c r="X152" i="2" s="1"/>
  <c r="X153" i="2" s="1"/>
  <c r="X154" i="2" s="1"/>
  <c r="X155" i="2" s="1"/>
  <c r="X156" i="2" s="1"/>
  <c r="X157" i="2" s="1"/>
  <c r="X158" i="2" s="1"/>
  <c r="X159" i="2" s="1"/>
  <c r="X160" i="2" s="1"/>
  <c r="X161" i="2" s="1"/>
  <c r="X162" i="2" s="1"/>
  <c r="Y151" i="2" s="1"/>
  <c r="Y152" i="2" s="1"/>
  <c r="Y153" i="2" s="1"/>
  <c r="Y154" i="2" s="1"/>
  <c r="Y155" i="2" s="1"/>
  <c r="Y156" i="2" s="1"/>
  <c r="Y157" i="2" s="1"/>
  <c r="Y158" i="2" s="1"/>
  <c r="Y159" i="2" s="1"/>
  <c r="Y160" i="2" s="1"/>
  <c r="Y161" i="2" s="1"/>
  <c r="Y162" i="2" s="1"/>
  <c r="Z151" i="2" s="1"/>
  <c r="Z152" i="2" s="1"/>
  <c r="Z153" i="2" s="1"/>
  <c r="Z154" i="2" s="1"/>
  <c r="Z155" i="2" s="1"/>
  <c r="Z156" i="2" s="1"/>
  <c r="Z157" i="2" s="1"/>
  <c r="Z158" i="2" s="1"/>
  <c r="Z159" i="2" s="1"/>
  <c r="Z160" i="2" s="1"/>
  <c r="Z161" i="2" s="1"/>
  <c r="Z162" i="2" s="1"/>
  <c r="AA151" i="2" s="1"/>
  <c r="AA152" i="2" s="1"/>
  <c r="AA153" i="2" s="1"/>
  <c r="AA154" i="2" s="1"/>
  <c r="AA155" i="2" s="1"/>
  <c r="AA156" i="2" s="1"/>
  <c r="AA157" i="2" s="1"/>
  <c r="AA158" i="2" s="1"/>
  <c r="AA159" i="2" s="1"/>
  <c r="AA160" i="2" s="1"/>
  <c r="AA161" i="2" s="1"/>
  <c r="AA162" i="2" s="1"/>
  <c r="AB151" i="2" s="1"/>
  <c r="AB152" i="2" s="1"/>
  <c r="AB153" i="2" s="1"/>
  <c r="AB154" i="2" s="1"/>
  <c r="AB155" i="2" s="1"/>
  <c r="AB156" i="2" s="1"/>
  <c r="AB157" i="2" s="1"/>
  <c r="AB158" i="2" s="1"/>
  <c r="AB159" i="2" s="1"/>
  <c r="AB160" i="2" s="1"/>
  <c r="AB161" i="2" s="1"/>
  <c r="AB162" i="2" s="1"/>
  <c r="AH173" i="2"/>
  <c r="AC15" i="2"/>
  <c r="AC16" i="2" s="1"/>
  <c r="AC17" i="2" s="1"/>
  <c r="AC18" i="2" s="1"/>
  <c r="AC19" i="2" s="1"/>
  <c r="AC20" i="2" s="1"/>
  <c r="AC21" i="2" s="1"/>
  <c r="AC22" i="2" s="1"/>
  <c r="AC23" i="2" s="1"/>
  <c r="AC24" i="2" s="1"/>
  <c r="AC25" i="2" s="1"/>
  <c r="AC26" i="2" s="1"/>
  <c r="AD15" i="2" s="1"/>
  <c r="AD16" i="2" s="1"/>
  <c r="AD17" i="2" s="1"/>
  <c r="AD18" i="2" s="1"/>
  <c r="AD19" i="2" s="1"/>
  <c r="AD20" i="2" s="1"/>
  <c r="AD21" i="2" s="1"/>
  <c r="AD22" i="2" s="1"/>
  <c r="AD23" i="2" s="1"/>
  <c r="AD24" i="2" s="1"/>
  <c r="AD25" i="2" s="1"/>
  <c r="AD26" i="2" s="1"/>
  <c r="AE15" i="2" s="1"/>
  <c r="AE16" i="2" s="1"/>
  <c r="AE17" i="2" s="1"/>
  <c r="AE18" i="2" s="1"/>
  <c r="AE19" i="2" s="1"/>
  <c r="AE20" i="2" s="1"/>
  <c r="AE21" i="2" s="1"/>
  <c r="AE22" i="2" s="1"/>
  <c r="AE23" i="2" s="1"/>
  <c r="AE24" i="2" s="1"/>
  <c r="AE25" i="2" s="1"/>
  <c r="AE26" i="2" s="1"/>
  <c r="AL173" i="2"/>
  <c r="AC151" i="1"/>
  <c r="AC152" i="1" s="1"/>
  <c r="AC153" i="1" s="1"/>
  <c r="AC154" i="1" s="1"/>
  <c r="AC155" i="1" s="1"/>
  <c r="AC156" i="1" s="1"/>
  <c r="AC157" i="1" s="1"/>
  <c r="AC158" i="1" s="1"/>
  <c r="AC159" i="1" s="1"/>
  <c r="AC160" i="1" s="1"/>
  <c r="AC161" i="1" s="1"/>
  <c r="AC162" i="1" s="1"/>
  <c r="AD151" i="1" s="1"/>
  <c r="AD152" i="1" s="1"/>
  <c r="AD153" i="1" s="1"/>
  <c r="AD154" i="1" s="1"/>
  <c r="AD155" i="1" s="1"/>
  <c r="AD156" i="1" s="1"/>
  <c r="AD157" i="1" s="1"/>
  <c r="AD158" i="1" s="1"/>
  <c r="AD159" i="1" s="1"/>
  <c r="AD160" i="1" s="1"/>
  <c r="AD161" i="1" s="1"/>
  <c r="AD162" i="1" s="1"/>
  <c r="AE151" i="1" s="1"/>
  <c r="AE152" i="1" s="1"/>
  <c r="AE153" i="1" s="1"/>
  <c r="AE154" i="1" s="1"/>
  <c r="AE155" i="1" s="1"/>
  <c r="AE156" i="1" s="1"/>
  <c r="AE157" i="1" s="1"/>
  <c r="AE158" i="1" s="1"/>
  <c r="AE159" i="1" s="1"/>
  <c r="AE160" i="1" s="1"/>
  <c r="AE161" i="1" s="1"/>
  <c r="AE162" i="1" s="1"/>
  <c r="X15" i="1"/>
  <c r="X16" i="1" s="1"/>
  <c r="X17" i="1" s="1"/>
  <c r="X18" i="1" s="1"/>
  <c r="X19" i="1" s="1"/>
  <c r="X20" i="1" s="1"/>
  <c r="X21" i="1" s="1"/>
  <c r="X22" i="1" s="1"/>
  <c r="X23" i="1" s="1"/>
  <c r="X24" i="1" s="1"/>
  <c r="X25" i="1" s="1"/>
  <c r="X26" i="1" s="1"/>
  <c r="Y15" i="1" s="1"/>
  <c r="Y16" i="1" s="1"/>
  <c r="Y17" i="1" s="1"/>
  <c r="Y18" i="1" s="1"/>
  <c r="Y19" i="1" s="1"/>
  <c r="Y20" i="1" s="1"/>
  <c r="Y21" i="1" s="1"/>
  <c r="Y22" i="1" s="1"/>
  <c r="Y23" i="1" s="1"/>
  <c r="Y24" i="1" s="1"/>
  <c r="Y25" i="1" s="1"/>
  <c r="Y26" i="1" s="1"/>
  <c r="Z15" i="1" s="1"/>
  <c r="Z16" i="1" s="1"/>
  <c r="Z17" i="1" s="1"/>
  <c r="Z18" i="1" s="1"/>
  <c r="Z19" i="1" s="1"/>
  <c r="Z20" i="1" s="1"/>
  <c r="Z21" i="1" s="1"/>
  <c r="Z22" i="1" s="1"/>
  <c r="Z23" i="1" s="1"/>
  <c r="Z24" i="1" s="1"/>
  <c r="Z25" i="1" s="1"/>
  <c r="Z26" i="1" s="1"/>
  <c r="AA15" i="1" s="1"/>
  <c r="AA16" i="1" s="1"/>
  <c r="AA17" i="1" s="1"/>
  <c r="AA18" i="1" s="1"/>
  <c r="AA19" i="1" s="1"/>
  <c r="AA20" i="1" s="1"/>
  <c r="AA21" i="1" s="1"/>
  <c r="AA22" i="1" s="1"/>
  <c r="AA23" i="1" s="1"/>
  <c r="AA24" i="1" s="1"/>
  <c r="AA25" i="1" s="1"/>
  <c r="AA26" i="1" s="1"/>
  <c r="AB15" i="1" s="1"/>
  <c r="AB16" i="1" s="1"/>
  <c r="AB17" i="1" s="1"/>
  <c r="AB18" i="1" s="1"/>
  <c r="AB19" i="1" s="1"/>
  <c r="AB20" i="1" s="1"/>
  <c r="AB21" i="1" s="1"/>
  <c r="AB22" i="1" s="1"/>
  <c r="AB23" i="1" s="1"/>
  <c r="AB24" i="1" s="1"/>
  <c r="AB25" i="1" s="1"/>
  <c r="AB26" i="1" s="1"/>
  <c r="P5" i="6" s="1"/>
  <c r="P22" i="6" s="1"/>
  <c r="P31" i="6" s="1"/>
  <c r="AC113" i="1"/>
  <c r="AC114" i="1" s="1"/>
  <c r="AC115" i="1" s="1"/>
  <c r="AC116" i="1" s="1"/>
  <c r="AC117" i="1" s="1"/>
  <c r="AC118" i="1" s="1"/>
  <c r="AC119" i="1" s="1"/>
  <c r="AC120" i="1" s="1"/>
  <c r="AC121" i="1" s="1"/>
  <c r="AC122" i="1" s="1"/>
  <c r="AC123" i="1" s="1"/>
  <c r="AC124" i="1" s="1"/>
  <c r="AD113" i="1" s="1"/>
  <c r="AD114" i="1" s="1"/>
  <c r="AD115" i="1" s="1"/>
  <c r="AD116" i="1" s="1"/>
  <c r="AD117" i="1" s="1"/>
  <c r="AD118" i="1" s="1"/>
  <c r="AD119" i="1" s="1"/>
  <c r="AD120" i="1" s="1"/>
  <c r="AD121" i="1" s="1"/>
  <c r="AD122" i="1" s="1"/>
  <c r="AD123" i="1" s="1"/>
  <c r="AD124" i="1" s="1"/>
  <c r="AE113" i="1" s="1"/>
  <c r="AE114" i="1" s="1"/>
  <c r="AE115" i="1" s="1"/>
  <c r="AE116" i="1" s="1"/>
  <c r="AE117" i="1" s="1"/>
  <c r="AE118" i="1" s="1"/>
  <c r="AE119" i="1" s="1"/>
  <c r="AE120" i="1" s="1"/>
  <c r="AE121" i="1" s="1"/>
  <c r="AE122" i="1" s="1"/>
  <c r="AE123" i="1" s="1"/>
  <c r="AE124" i="1" s="1"/>
  <c r="AC56" i="1"/>
  <c r="AC57" i="1" s="1"/>
  <c r="AC58" i="1" s="1"/>
  <c r="AC59" i="1" s="1"/>
  <c r="AC60" i="1" s="1"/>
  <c r="AC61" i="1" s="1"/>
  <c r="AC62" i="1" s="1"/>
  <c r="AC63" i="1" s="1"/>
  <c r="AC64" i="1" s="1"/>
  <c r="AC65" i="1" s="1"/>
  <c r="AC66" i="1" s="1"/>
  <c r="AC67" i="1" s="1"/>
  <c r="AD56" i="1" s="1"/>
  <c r="AD57" i="1" s="1"/>
  <c r="AD58" i="1" s="1"/>
  <c r="AD59" i="1" s="1"/>
  <c r="AD60" i="1" s="1"/>
  <c r="AD61" i="1" s="1"/>
  <c r="AD62" i="1" s="1"/>
  <c r="AD63" i="1" s="1"/>
  <c r="AD64" i="1" s="1"/>
  <c r="AD65" i="1" s="1"/>
  <c r="AD66" i="1" s="1"/>
  <c r="AD67" i="1" s="1"/>
  <c r="AE56" i="1" s="1"/>
  <c r="AE57" i="1" s="1"/>
  <c r="AE58" i="1" s="1"/>
  <c r="AE59" i="1" s="1"/>
  <c r="AE60" i="1" s="1"/>
  <c r="AE61" i="1" s="1"/>
  <c r="AE62" i="1" s="1"/>
  <c r="AE63" i="1" s="1"/>
  <c r="AE64" i="1" s="1"/>
  <c r="AE65" i="1" s="1"/>
  <c r="AE66" i="1" s="1"/>
  <c r="AE67" i="1" s="1"/>
  <c r="AC94" i="1"/>
  <c r="AC95" i="1" s="1"/>
  <c r="AC96" i="1" s="1"/>
  <c r="AC97" i="1" s="1"/>
  <c r="AC98" i="1" s="1"/>
  <c r="AC99" i="1" s="1"/>
  <c r="AC100" i="1" s="1"/>
  <c r="AC101" i="1" s="1"/>
  <c r="AC102" i="1" s="1"/>
  <c r="AC103" i="1" s="1"/>
  <c r="AC104" i="1" s="1"/>
  <c r="AC105" i="1" s="1"/>
  <c r="AD94" i="1" s="1"/>
  <c r="AD95" i="1" s="1"/>
  <c r="AD96" i="1" s="1"/>
  <c r="AD97" i="1" s="1"/>
  <c r="AD98" i="1" s="1"/>
  <c r="AD99" i="1" s="1"/>
  <c r="AD100" i="1" s="1"/>
  <c r="AD101" i="1" s="1"/>
  <c r="AD102" i="1" s="1"/>
  <c r="AD103" i="1" s="1"/>
  <c r="AD104" i="1" s="1"/>
  <c r="AD105" i="1" s="1"/>
  <c r="AE94" i="1" s="1"/>
  <c r="AE95" i="1" s="1"/>
  <c r="AE96" i="1" s="1"/>
  <c r="AE97" i="1" s="1"/>
  <c r="AE98" i="1" s="1"/>
  <c r="AE99" i="1" s="1"/>
  <c r="AE100" i="1" s="1"/>
  <c r="AE101" i="1" s="1"/>
  <c r="AE102" i="1" s="1"/>
  <c r="AE103" i="1" s="1"/>
  <c r="AE104" i="1" s="1"/>
  <c r="AE105" i="1" s="1"/>
  <c r="AC132" i="1"/>
  <c r="AC133" i="1" s="1"/>
  <c r="AC134" i="1" s="1"/>
  <c r="AC135" i="1" s="1"/>
  <c r="AC136" i="1" s="1"/>
  <c r="AC137" i="1" s="1"/>
  <c r="AC138" i="1" s="1"/>
  <c r="AC139" i="1" s="1"/>
  <c r="AC140" i="1" s="1"/>
  <c r="AC141" i="1" s="1"/>
  <c r="AC142" i="1" s="1"/>
  <c r="AC143" i="1" s="1"/>
  <c r="AD132" i="1" s="1"/>
  <c r="AD133" i="1" s="1"/>
  <c r="AD134" i="1" s="1"/>
  <c r="AD135" i="1" s="1"/>
  <c r="AD136" i="1" s="1"/>
  <c r="AD137" i="1" s="1"/>
  <c r="AD138" i="1" s="1"/>
  <c r="AD139" i="1" s="1"/>
  <c r="AD140" i="1" s="1"/>
  <c r="AD141" i="1" s="1"/>
  <c r="AD142" i="1" s="1"/>
  <c r="AD143" i="1" s="1"/>
  <c r="AE132" i="1" s="1"/>
  <c r="AE133" i="1" s="1"/>
  <c r="AE134" i="1" s="1"/>
  <c r="AE135" i="1" s="1"/>
  <c r="AE136" i="1" s="1"/>
  <c r="AE137" i="1" s="1"/>
  <c r="AE138" i="1" s="1"/>
  <c r="AE139" i="1" s="1"/>
  <c r="AE140" i="1" s="1"/>
  <c r="AE141" i="1" s="1"/>
  <c r="AE142" i="1" s="1"/>
  <c r="AE143" i="1" s="1"/>
  <c r="AC56" i="3" l="1"/>
  <c r="AC57" i="3" s="1"/>
  <c r="AC58" i="3" s="1"/>
  <c r="AC59" i="3" s="1"/>
  <c r="AC60" i="3" s="1"/>
  <c r="AC61" i="3" s="1"/>
  <c r="AC62" i="3" s="1"/>
  <c r="AC63" i="3" s="1"/>
  <c r="AC64" i="3" s="1"/>
  <c r="AC65" i="3" s="1"/>
  <c r="AC66" i="3" s="1"/>
  <c r="AC67" i="3" s="1"/>
  <c r="AD56" i="3" s="1"/>
  <c r="AD57" i="3" s="1"/>
  <c r="AD58" i="3" s="1"/>
  <c r="AD59" i="3" s="1"/>
  <c r="AD60" i="3" s="1"/>
  <c r="AD61" i="3" s="1"/>
  <c r="AD62" i="3" s="1"/>
  <c r="AD63" i="3" s="1"/>
  <c r="AD64" i="3" s="1"/>
  <c r="AD65" i="3" s="1"/>
  <c r="AD66" i="3" s="1"/>
  <c r="AD67" i="3" s="1"/>
  <c r="AE56" i="3" s="1"/>
  <c r="AE57" i="3" s="1"/>
  <c r="AE58" i="3" s="1"/>
  <c r="AE59" i="3" s="1"/>
  <c r="AE60" i="3" s="1"/>
  <c r="AE61" i="3" s="1"/>
  <c r="AE62" i="3" s="1"/>
  <c r="AE63" i="3" s="1"/>
  <c r="AE64" i="3" s="1"/>
  <c r="AE65" i="3" s="1"/>
  <c r="AE66" i="3" s="1"/>
  <c r="AE67" i="3" s="1"/>
  <c r="AN175" i="3"/>
  <c r="AC151" i="3"/>
  <c r="AC152" i="3" s="1"/>
  <c r="AC153" i="3" s="1"/>
  <c r="AC154" i="3" s="1"/>
  <c r="AC155" i="3" s="1"/>
  <c r="AC156" i="3" s="1"/>
  <c r="AC157" i="3" s="1"/>
  <c r="AC158" i="3" s="1"/>
  <c r="AC159" i="3" s="1"/>
  <c r="AC160" i="3" s="1"/>
  <c r="AC161" i="3" s="1"/>
  <c r="AC162" i="3" s="1"/>
  <c r="AD151" i="3" s="1"/>
  <c r="AD152" i="3" s="1"/>
  <c r="AD153" i="3" s="1"/>
  <c r="AD154" i="3" s="1"/>
  <c r="AD155" i="3" s="1"/>
  <c r="AD156" i="3" s="1"/>
  <c r="AD157" i="3" s="1"/>
  <c r="AD158" i="3" s="1"/>
  <c r="AD159" i="3" s="1"/>
  <c r="AD160" i="3" s="1"/>
  <c r="AD161" i="3" s="1"/>
  <c r="AD162" i="3" s="1"/>
  <c r="AE151" i="3" s="1"/>
  <c r="AE152" i="3" s="1"/>
  <c r="AE153" i="3" s="1"/>
  <c r="AE154" i="3" s="1"/>
  <c r="AE155" i="3" s="1"/>
  <c r="AE156" i="3" s="1"/>
  <c r="AE157" i="3" s="1"/>
  <c r="AE158" i="3" s="1"/>
  <c r="AE159" i="3" s="1"/>
  <c r="AE160" i="3" s="1"/>
  <c r="AE161" i="3" s="1"/>
  <c r="AE162" i="3" s="1"/>
  <c r="AS175" i="3"/>
  <c r="AC75" i="3"/>
  <c r="AC76" i="3" s="1"/>
  <c r="AC77" i="3" s="1"/>
  <c r="AC78" i="3" s="1"/>
  <c r="AC79" i="3" s="1"/>
  <c r="AC80" i="3" s="1"/>
  <c r="AC81" i="3" s="1"/>
  <c r="AC82" i="3" s="1"/>
  <c r="AC83" i="3" s="1"/>
  <c r="AC84" i="3" s="1"/>
  <c r="AC85" i="3" s="1"/>
  <c r="AC86" i="3" s="1"/>
  <c r="AD75" i="3" s="1"/>
  <c r="AD76" i="3" s="1"/>
  <c r="AD77" i="3" s="1"/>
  <c r="AD78" i="3" s="1"/>
  <c r="AD79" i="3" s="1"/>
  <c r="AD80" i="3" s="1"/>
  <c r="AD81" i="3" s="1"/>
  <c r="AD82" i="3" s="1"/>
  <c r="AD83" i="3" s="1"/>
  <c r="AD84" i="3" s="1"/>
  <c r="AD85" i="3" s="1"/>
  <c r="AD86" i="3" s="1"/>
  <c r="AE75" i="3" s="1"/>
  <c r="AE76" i="3" s="1"/>
  <c r="AE77" i="3" s="1"/>
  <c r="AE78" i="3" s="1"/>
  <c r="AE79" i="3" s="1"/>
  <c r="AE80" i="3" s="1"/>
  <c r="AE81" i="3" s="1"/>
  <c r="AE82" i="3" s="1"/>
  <c r="AE83" i="3" s="1"/>
  <c r="AE84" i="3" s="1"/>
  <c r="AE85" i="3" s="1"/>
  <c r="AE86" i="3" s="1"/>
  <c r="AO175" i="3"/>
  <c r="AL175" i="3"/>
  <c r="AC15" i="3"/>
  <c r="AC16" i="3" s="1"/>
  <c r="AC17" i="3" s="1"/>
  <c r="AC18" i="3" s="1"/>
  <c r="AC19" i="3" s="1"/>
  <c r="AC20" i="3" s="1"/>
  <c r="AC21" i="3" s="1"/>
  <c r="AC22" i="3" s="1"/>
  <c r="AC23" i="3" s="1"/>
  <c r="AC24" i="3" s="1"/>
  <c r="AC25" i="3" s="1"/>
  <c r="AC26" i="3" s="1"/>
  <c r="AD15" i="3" s="1"/>
  <c r="AD16" i="3" s="1"/>
  <c r="AD17" i="3" s="1"/>
  <c r="AD18" i="3" s="1"/>
  <c r="AD19" i="3" s="1"/>
  <c r="AD20" i="3" s="1"/>
  <c r="AD21" i="3" s="1"/>
  <c r="AD22" i="3" s="1"/>
  <c r="AD23" i="3" s="1"/>
  <c r="AD24" i="3" s="1"/>
  <c r="AD25" i="3" s="1"/>
  <c r="AD26" i="3" s="1"/>
  <c r="AE15" i="3" s="1"/>
  <c r="AE16" i="3" s="1"/>
  <c r="AE17" i="3" s="1"/>
  <c r="AE18" i="3" s="1"/>
  <c r="AE19" i="3" s="1"/>
  <c r="AE20" i="3" s="1"/>
  <c r="AE21" i="3" s="1"/>
  <c r="AE22" i="3" s="1"/>
  <c r="AE23" i="3" s="1"/>
  <c r="AE24" i="3" s="1"/>
  <c r="AE25" i="3" s="1"/>
  <c r="AE26" i="3" s="1"/>
  <c r="AB29" i="3"/>
  <c r="AB30" i="3" s="1"/>
  <c r="AB31" i="3" s="1"/>
  <c r="AC37" i="3"/>
  <c r="AC38" i="3" s="1"/>
  <c r="AC39" i="3" s="1"/>
  <c r="AC40" i="3" s="1"/>
  <c r="AC41" i="3" s="1"/>
  <c r="AC42" i="3" s="1"/>
  <c r="AC43" i="3" s="1"/>
  <c r="AC44" i="3" s="1"/>
  <c r="AC45" i="3" s="1"/>
  <c r="AC46" i="3" s="1"/>
  <c r="AC47" i="3" s="1"/>
  <c r="AC48" i="3" s="1"/>
  <c r="AD37" i="3" s="1"/>
  <c r="AD38" i="3" s="1"/>
  <c r="AD39" i="3" s="1"/>
  <c r="AD40" i="3" s="1"/>
  <c r="AD41" i="3" s="1"/>
  <c r="AD42" i="3" s="1"/>
  <c r="AD43" i="3" s="1"/>
  <c r="AD44" i="3" s="1"/>
  <c r="AD45" i="3" s="1"/>
  <c r="AD46" i="3" s="1"/>
  <c r="AD47" i="3" s="1"/>
  <c r="AD48" i="3" s="1"/>
  <c r="AE37" i="3" s="1"/>
  <c r="AE38" i="3" s="1"/>
  <c r="AE39" i="3" s="1"/>
  <c r="AE40" i="3" s="1"/>
  <c r="AE41" i="3" s="1"/>
  <c r="AE42" i="3" s="1"/>
  <c r="AE43" i="3" s="1"/>
  <c r="AE44" i="3" s="1"/>
  <c r="AE45" i="3" s="1"/>
  <c r="AE46" i="3" s="1"/>
  <c r="AE47" i="3" s="1"/>
  <c r="AE48" i="3" s="1"/>
  <c r="AM175" i="3"/>
  <c r="AC56" i="2"/>
  <c r="AC57" i="2" s="1"/>
  <c r="AC58" i="2" s="1"/>
  <c r="AC59" i="2" s="1"/>
  <c r="AC60" i="2" s="1"/>
  <c r="AC61" i="2" s="1"/>
  <c r="AC62" i="2" s="1"/>
  <c r="AC63" i="2" s="1"/>
  <c r="AC64" i="2" s="1"/>
  <c r="AC65" i="2" s="1"/>
  <c r="AC66" i="2" s="1"/>
  <c r="AC67" i="2" s="1"/>
  <c r="AD56" i="2" s="1"/>
  <c r="AD57" i="2" s="1"/>
  <c r="AD58" i="2" s="1"/>
  <c r="AD59" i="2" s="1"/>
  <c r="AD60" i="2" s="1"/>
  <c r="AD61" i="2" s="1"/>
  <c r="AD62" i="2" s="1"/>
  <c r="AD63" i="2" s="1"/>
  <c r="AD64" i="2" s="1"/>
  <c r="AD65" i="2" s="1"/>
  <c r="AD66" i="2" s="1"/>
  <c r="AD67" i="2" s="1"/>
  <c r="AE56" i="2" s="1"/>
  <c r="AE57" i="2" s="1"/>
  <c r="AE58" i="2" s="1"/>
  <c r="AE59" i="2" s="1"/>
  <c r="AE60" i="2" s="1"/>
  <c r="AE61" i="2" s="1"/>
  <c r="AE62" i="2" s="1"/>
  <c r="AE63" i="2" s="1"/>
  <c r="AE64" i="2" s="1"/>
  <c r="AE65" i="2" s="1"/>
  <c r="AE66" i="2" s="1"/>
  <c r="AE67" i="2" s="1"/>
  <c r="AN173" i="2"/>
  <c r="AC151" i="2"/>
  <c r="AC152" i="2" s="1"/>
  <c r="AC153" i="2" s="1"/>
  <c r="AC154" i="2" s="1"/>
  <c r="AC155" i="2" s="1"/>
  <c r="AC156" i="2" s="1"/>
  <c r="AC157" i="2" s="1"/>
  <c r="AC158" i="2" s="1"/>
  <c r="AC159" i="2" s="1"/>
  <c r="AC160" i="2" s="1"/>
  <c r="AC161" i="2" s="1"/>
  <c r="AC162" i="2" s="1"/>
  <c r="AD151" i="2" s="1"/>
  <c r="AD152" i="2" s="1"/>
  <c r="AD153" i="2" s="1"/>
  <c r="AD154" i="2" s="1"/>
  <c r="AD155" i="2" s="1"/>
  <c r="AD156" i="2" s="1"/>
  <c r="AD157" i="2" s="1"/>
  <c r="AD158" i="2" s="1"/>
  <c r="AD159" i="2" s="1"/>
  <c r="AD160" i="2" s="1"/>
  <c r="AD161" i="2" s="1"/>
  <c r="AD162" i="2" s="1"/>
  <c r="AE151" i="2" s="1"/>
  <c r="AE152" i="2" s="1"/>
  <c r="AE153" i="2" s="1"/>
  <c r="AE154" i="2" s="1"/>
  <c r="AE155" i="2" s="1"/>
  <c r="AE156" i="2" s="1"/>
  <c r="AE157" i="2" s="1"/>
  <c r="AE158" i="2" s="1"/>
  <c r="AE159" i="2" s="1"/>
  <c r="AE160" i="2" s="1"/>
  <c r="AE161" i="2" s="1"/>
  <c r="AE162" i="2" s="1"/>
  <c r="AS173" i="2"/>
  <c r="AC37" i="2"/>
  <c r="AC38" i="2" s="1"/>
  <c r="AC39" i="2" s="1"/>
  <c r="AC40" i="2" s="1"/>
  <c r="AC41" i="2" s="1"/>
  <c r="AC42" i="2" s="1"/>
  <c r="AC43" i="2" s="1"/>
  <c r="AC44" i="2" s="1"/>
  <c r="AC45" i="2" s="1"/>
  <c r="AC46" i="2" s="1"/>
  <c r="AC47" i="2" s="1"/>
  <c r="AC48" i="2" s="1"/>
  <c r="AD37" i="2" s="1"/>
  <c r="AD38" i="2" s="1"/>
  <c r="AD39" i="2" s="1"/>
  <c r="AD40" i="2" s="1"/>
  <c r="AD41" i="2" s="1"/>
  <c r="AD42" i="2" s="1"/>
  <c r="AD43" i="2" s="1"/>
  <c r="AD44" i="2" s="1"/>
  <c r="AD45" i="2" s="1"/>
  <c r="AD46" i="2" s="1"/>
  <c r="AD47" i="2" s="1"/>
  <c r="AD48" i="2" s="1"/>
  <c r="AE37" i="2" s="1"/>
  <c r="AE38" i="2" s="1"/>
  <c r="AE39" i="2" s="1"/>
  <c r="AE40" i="2" s="1"/>
  <c r="AE41" i="2" s="1"/>
  <c r="AE42" i="2" s="1"/>
  <c r="AE43" i="2" s="1"/>
  <c r="AE44" i="2" s="1"/>
  <c r="AE45" i="2" s="1"/>
  <c r="AE46" i="2" s="1"/>
  <c r="AE47" i="2" s="1"/>
  <c r="AE48" i="2" s="1"/>
  <c r="AM173" i="2"/>
  <c r="AC15" i="1"/>
  <c r="AC16" i="1" s="1"/>
  <c r="AC17" i="1" s="1"/>
  <c r="AC18" i="1" s="1"/>
  <c r="AC19" i="1" s="1"/>
  <c r="AC20" i="1" s="1"/>
  <c r="AC21" i="1" s="1"/>
  <c r="AC22" i="1" s="1"/>
  <c r="AC23" i="1" s="1"/>
  <c r="AC24" i="1" s="1"/>
  <c r="AC25" i="1" s="1"/>
  <c r="AC26" i="1" s="1"/>
  <c r="AD15" i="1" s="1"/>
  <c r="AD16" i="1" s="1"/>
  <c r="AD17" i="1" s="1"/>
  <c r="AD18" i="1" s="1"/>
  <c r="AD19" i="1" s="1"/>
  <c r="AD20" i="1" s="1"/>
  <c r="AD21" i="1" s="1"/>
  <c r="AD22" i="1" s="1"/>
  <c r="AD23" i="1" s="1"/>
  <c r="AD24" i="1" s="1"/>
  <c r="AD25" i="1" s="1"/>
  <c r="AD26" i="1" s="1"/>
  <c r="AE15" i="1" s="1"/>
  <c r="AE16" i="1" s="1"/>
  <c r="AE17" i="1" s="1"/>
  <c r="AE18" i="1" s="1"/>
  <c r="AE19" i="1" s="1"/>
  <c r="AE20" i="1" s="1"/>
  <c r="AE21" i="1" s="1"/>
  <c r="AE22" i="1" s="1"/>
  <c r="AE23" i="1" s="1"/>
  <c r="AE24" i="1" s="1"/>
  <c r="AE25" i="1" s="1"/>
  <c r="AE26" i="1" s="1"/>
</calcChain>
</file>

<file path=xl/sharedStrings.xml><?xml version="1.0" encoding="utf-8"?>
<sst xmlns="http://schemas.openxmlformats.org/spreadsheetml/2006/main" count="2890" uniqueCount="101">
  <si>
    <t>Cost of a Financial Advisor</t>
  </si>
  <si>
    <t>0 - 250,000</t>
  </si>
  <si>
    <t>1,000,000 - 2,000,000</t>
  </si>
  <si>
    <t>2,000,000 - 6,000,000</t>
  </si>
  <si>
    <t>6,000,000+</t>
  </si>
  <si>
    <t>250,000 - 500,000</t>
  </si>
  <si>
    <t>500,000 - 1,000,000</t>
  </si>
  <si>
    <t>Scenario 1</t>
  </si>
  <si>
    <t>Assume 7% annual return on investments</t>
  </si>
  <si>
    <t>Assume I save $4K/mo</t>
  </si>
  <si>
    <t>They calculate their fee based on the daily closing value of your account, averaged over each month x the monthly portion of your annual rate.</t>
  </si>
  <si>
    <t>Ex. 1.  If daily average closing value of my account is $12,000 and the monthly fee is 0.146% (1.75%/12) then my fee for the month is (12,000 * 0.00146) = $17.52</t>
  </si>
  <si>
    <t>Ex. 2.  If the following month I have $16,000 in my account, the fee for that month is 16,000 x 0.00146 = 23.36</t>
  </si>
  <si>
    <t>Ex. 3.  What is the cost of all of this?  You might think it is 17.52 + 23.36 = $40.88.  You would be wrong!  You've also lost out on the interest you would have gained on that 17.52 and 23.36.  And the compounded interest on that interest.  And the compounded interest on the interest of the interest.  You get the idea.   So what does that actually look like in real numbers?</t>
  </si>
  <si>
    <t>Assume 4% annual return on investments</t>
  </si>
  <si>
    <t>Y1</t>
  </si>
  <si>
    <t>Y2</t>
  </si>
  <si>
    <t>Y3</t>
  </si>
  <si>
    <t>Y4</t>
  </si>
  <si>
    <t>Y5</t>
  </si>
  <si>
    <t>Y6</t>
  </si>
  <si>
    <t>Y7</t>
  </si>
  <si>
    <t>Y8</t>
  </si>
  <si>
    <t>Y9</t>
  </si>
  <si>
    <t>Y10</t>
  </si>
  <si>
    <t>Y11</t>
  </si>
  <si>
    <t>Y12</t>
  </si>
  <si>
    <t>Y13</t>
  </si>
  <si>
    <t>Y14</t>
  </si>
  <si>
    <t>Y15</t>
  </si>
  <si>
    <t>Y16</t>
  </si>
  <si>
    <t>Y17</t>
  </si>
  <si>
    <t>Y18</t>
  </si>
  <si>
    <t>Y19</t>
  </si>
  <si>
    <t>Y20</t>
  </si>
  <si>
    <t>Y21</t>
  </si>
  <si>
    <t>Y22</t>
  </si>
  <si>
    <t>Y23</t>
  </si>
  <si>
    <t>Y24</t>
  </si>
  <si>
    <t>Y25</t>
  </si>
  <si>
    <t>J</t>
  </si>
  <si>
    <t>F</t>
  </si>
  <si>
    <t>M</t>
  </si>
  <si>
    <t>A</t>
  </si>
  <si>
    <t>S</t>
  </si>
  <si>
    <t>O</t>
  </si>
  <si>
    <t>N</t>
  </si>
  <si>
    <t>D</t>
  </si>
  <si>
    <t>Assume I don't invest anything.  It just sits there in a cash account.  What would be the raw dollar cost of the financial advisor.  (i.e. lost opportunity of compounding not realised)</t>
  </si>
  <si>
    <t>After saving $4K/mo x 25 years you should have (4000x12x25) = 1,200,000</t>
  </si>
  <si>
    <t xml:space="preserve">1.2M - 1,024,631 = $175,369. </t>
  </si>
  <si>
    <t>Average = 7,014.76/yr x 25yrs</t>
  </si>
  <si>
    <t>Scenario 2</t>
  </si>
  <si>
    <t>Let's see what happens if you actually invest your money, get a return, and have an opportunity cost of your advisor's fee being compounded annually</t>
  </si>
  <si>
    <t>Assume 4K/mo invested</t>
  </si>
  <si>
    <t>Scenario 3</t>
  </si>
  <si>
    <t>Assume 5% annual return on investments</t>
  </si>
  <si>
    <t>Scenario 4</t>
  </si>
  <si>
    <t>Assume 6% annual return on investments</t>
  </si>
  <si>
    <t>Scenario 5</t>
  </si>
  <si>
    <t>Scenario 6</t>
  </si>
  <si>
    <t>Assume 8% annual return on investments</t>
  </si>
  <si>
    <t>Scenario 7</t>
  </si>
  <si>
    <t>Assume 9% annual return on investments</t>
  </si>
  <si>
    <t>Scenario 8</t>
  </si>
  <si>
    <t>Assume 10% annual return on investments</t>
  </si>
  <si>
    <t>WITHOUT AN ADVISOR</t>
  </si>
  <si>
    <t>Y26</t>
  </si>
  <si>
    <t>Y27</t>
  </si>
  <si>
    <t>Y28</t>
  </si>
  <si>
    <t>Assume I save $5K/mo</t>
  </si>
  <si>
    <t>4K/mo</t>
  </si>
  <si>
    <t>5K/mo</t>
  </si>
  <si>
    <t>6K/mo</t>
  </si>
  <si>
    <t>7K/mo</t>
  </si>
  <si>
    <t>8K/mo</t>
  </si>
  <si>
    <t>Assume I save $8K/mo</t>
  </si>
  <si>
    <t>Assume 8k/mo invested</t>
  </si>
  <si>
    <t>Assume 7K/mo invested</t>
  </si>
  <si>
    <t>Assume 6K/mo invested</t>
  </si>
  <si>
    <t>Assume 5K/mo invested</t>
  </si>
  <si>
    <t>Assume I save $6K/mo</t>
  </si>
  <si>
    <t>Assume I save $7K/mo</t>
  </si>
  <si>
    <t>After saving $5K/mo x 25 yrs you should have:</t>
  </si>
  <si>
    <t>You actually have:</t>
  </si>
  <si>
    <t>Your advisor cost you:</t>
  </si>
  <si>
    <t>Avg cost/year:</t>
  </si>
  <si>
    <t>After saving $6K/mo x 25 yrs you should have:</t>
  </si>
  <si>
    <t>Because you are your own advisor!</t>
  </si>
  <si>
    <t>After saving $7K/mo x 25 yrs you should have:</t>
  </si>
  <si>
    <t>After saving $8K/mo x 25 yrs you should have:</t>
  </si>
  <si>
    <t>with</t>
  </si>
  <si>
    <t xml:space="preserve">W/O </t>
  </si>
  <si>
    <t>Portfolio Value After 20 years</t>
  </si>
  <si>
    <t>Portfolio Value After 25 years</t>
  </si>
  <si>
    <t>Actual cost of an Advisor</t>
  </si>
  <si>
    <t>25 YEARS</t>
  </si>
  <si>
    <t>20 YEARS</t>
  </si>
  <si>
    <t>Actual Cost as a percent of Investments over 20 years</t>
  </si>
  <si>
    <t>Actual Cost as a percent of Investments over 25 years</t>
  </si>
  <si>
    <t>my old advisors fee for AUM: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</si>
</sst>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7">
    <xf numFmtId="0" fontId="0" fillId="0" borderId="0" xfId="0"/>
    <xf numFmtId="10" fontId="0" fillId="0" borderId="0" xfId="0" applyNumberFormat="1"/>
    <xf numFmtId="0" fontId="0" fillId="0" borderId="0" xfId="0" applyAlignment="1">
      <alignment horizontal="right"/>
    </xf>
    <xf numFmtId="0" fontId="1" fillId="0" borderId="0" xfId="0" applyFont="1"/>
    <xf numFmtId="9" fontId="0" fillId="0" borderId="0" xfId="0" applyNumberFormat="1"/>
    <xf numFmtId="164" fontId="0" fillId="0" borderId="0" xfId="0" applyNumberFormat="1" applyAlignment="1">
      <alignment horizontal="right"/>
    </xf>
    <xf numFmtId="2" fontId="1" fillId="0" borderId="0" xfId="0" applyNumberFormat="1" applyFont="1"/>
    <xf numFmtId="4" fontId="0" fillId="0" borderId="0" xfId="0" applyNumberFormat="1"/>
    <xf numFmtId="4" fontId="0" fillId="2" borderId="0" xfId="0" applyNumberFormat="1" applyFill="1"/>
    <xf numFmtId="10" fontId="0" fillId="2" borderId="0" xfId="0" applyNumberFormat="1" applyFill="1"/>
    <xf numFmtId="4" fontId="0" fillId="0" borderId="1" xfId="0" applyNumberFormat="1" applyBorder="1"/>
    <xf numFmtId="4" fontId="0" fillId="0" borderId="2" xfId="0" applyNumberFormat="1" applyBorder="1"/>
    <xf numFmtId="4" fontId="2" fillId="0" borderId="2" xfId="0" applyNumberFormat="1" applyFont="1" applyBorder="1"/>
    <xf numFmtId="4" fontId="0" fillId="0" borderId="3" xfId="0" applyNumberFormat="1" applyBorder="1"/>
    <xf numFmtId="4" fontId="0" fillId="0" borderId="4" xfId="0" applyNumberFormat="1" applyBorder="1"/>
    <xf numFmtId="4" fontId="0" fillId="0" borderId="5" xfId="0" applyNumberFormat="1" applyBorder="1"/>
    <xf numFmtId="4" fontId="0" fillId="0" borderId="6" xfId="0" applyNumberFormat="1" applyBorder="1"/>
    <xf numFmtId="4" fontId="0" fillId="0" borderId="7" xfId="0" applyNumberFormat="1" applyBorder="1"/>
    <xf numFmtId="4" fontId="0" fillId="0" borderId="8" xfId="0" applyNumberFormat="1" applyBorder="1"/>
    <xf numFmtId="4" fontId="0" fillId="0" borderId="9" xfId="0" applyNumberFormat="1" applyBorder="1"/>
    <xf numFmtId="4" fontId="0" fillId="0" borderId="10" xfId="0" applyNumberFormat="1" applyBorder="1"/>
    <xf numFmtId="4" fontId="2" fillId="0" borderId="10" xfId="0" applyNumberFormat="1" applyFont="1" applyBorder="1"/>
    <xf numFmtId="4" fontId="0" fillId="0" borderId="11" xfId="0" applyNumberFormat="1" applyBorder="1"/>
    <xf numFmtId="10" fontId="0" fillId="0" borderId="5" xfId="0" applyNumberFormat="1" applyBorder="1"/>
    <xf numFmtId="10" fontId="0" fillId="0" borderId="7" xfId="0" applyNumberFormat="1" applyBorder="1"/>
    <xf numFmtId="10" fontId="0" fillId="0" borderId="8" xfId="0" applyNumberFormat="1" applyBorder="1"/>
    <xf numFmtId="9" fontId="0" fillId="0" borderId="5"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A0C0-D8E6-4866-B03D-2A0E4F0115DA}">
  <dimension ref="A1:BJ193"/>
  <sheetViews>
    <sheetView topLeftCell="J13" zoomScaleNormal="100" workbookViewId="0">
      <selection activeCell="M13" sqref="M13"/>
    </sheetView>
  </sheetViews>
  <sheetFormatPr defaultRowHeight="14.4" x14ac:dyDescent="0.3"/>
  <cols>
    <col min="1" max="1" width="22.6640625" bestFit="1" customWidth="1"/>
  </cols>
  <sheetData>
    <row r="1" spans="1:62" x14ac:dyDescent="0.3">
      <c r="A1" t="s">
        <v>0</v>
      </c>
    </row>
    <row r="2" spans="1:62" x14ac:dyDescent="0.3">
      <c r="A2" t="s">
        <v>100</v>
      </c>
    </row>
    <row r="3" spans="1:62" x14ac:dyDescent="0.3">
      <c r="A3" t="s">
        <v>1</v>
      </c>
      <c r="B3" s="1">
        <v>1.7500000000000002E-2</v>
      </c>
    </row>
    <row r="4" spans="1:62" x14ac:dyDescent="0.3">
      <c r="A4" t="s">
        <v>5</v>
      </c>
      <c r="B4" s="1">
        <v>1.4999999999999999E-2</v>
      </c>
      <c r="D4" t="s">
        <v>10</v>
      </c>
    </row>
    <row r="5" spans="1:62" x14ac:dyDescent="0.3">
      <c r="A5" t="s">
        <v>6</v>
      </c>
      <c r="B5" s="1">
        <v>1.2500000000000001E-2</v>
      </c>
      <c r="D5" t="s">
        <v>11</v>
      </c>
    </row>
    <row r="6" spans="1:62" x14ac:dyDescent="0.3">
      <c r="A6" t="s">
        <v>2</v>
      </c>
      <c r="B6" s="1">
        <v>0.01</v>
      </c>
      <c r="D6" t="s">
        <v>12</v>
      </c>
    </row>
    <row r="7" spans="1:62" x14ac:dyDescent="0.3">
      <c r="A7" t="s">
        <v>3</v>
      </c>
      <c r="B7" s="1">
        <v>0.01</v>
      </c>
      <c r="D7" t="s">
        <v>13</v>
      </c>
    </row>
    <row r="8" spans="1:62" x14ac:dyDescent="0.3">
      <c r="A8" t="s">
        <v>4</v>
      </c>
      <c r="B8" s="1">
        <v>7.4999999999999997E-3</v>
      </c>
    </row>
    <row r="10" spans="1:62" x14ac:dyDescent="0.3">
      <c r="D10" t="s">
        <v>7</v>
      </c>
      <c r="AI10" t="s">
        <v>7</v>
      </c>
      <c r="AJ10" t="s">
        <v>66</v>
      </c>
    </row>
    <row r="11" spans="1:62" x14ac:dyDescent="0.3">
      <c r="D11" t="s">
        <v>48</v>
      </c>
      <c r="AI11" t="s">
        <v>48</v>
      </c>
    </row>
    <row r="12" spans="1:62" x14ac:dyDescent="0.3">
      <c r="D12" t="s">
        <v>9</v>
      </c>
      <c r="AI12" t="s">
        <v>9</v>
      </c>
    </row>
    <row r="13" spans="1:62" x14ac:dyDescent="0.3">
      <c r="D13" t="s">
        <v>15</v>
      </c>
      <c r="E13" t="s">
        <v>16</v>
      </c>
      <c r="F13" t="s">
        <v>17</v>
      </c>
      <c r="G13" t="s">
        <v>18</v>
      </c>
      <c r="H13" t="s">
        <v>19</v>
      </c>
      <c r="I13" t="s">
        <v>20</v>
      </c>
      <c r="J13" t="s">
        <v>21</v>
      </c>
      <c r="K13" t="s">
        <v>22</v>
      </c>
      <c r="L13" t="s">
        <v>23</v>
      </c>
      <c r="M13" t="s">
        <v>24</v>
      </c>
      <c r="N13" t="s">
        <v>25</v>
      </c>
      <c r="O13" t="s">
        <v>26</v>
      </c>
      <c r="P13" t="s">
        <v>27</v>
      </c>
      <c r="Q13" t="s">
        <v>28</v>
      </c>
      <c r="R13" t="s">
        <v>29</v>
      </c>
      <c r="S13" t="s">
        <v>30</v>
      </c>
      <c r="T13" t="s">
        <v>31</v>
      </c>
      <c r="U13" t="s">
        <v>32</v>
      </c>
      <c r="V13" t="s">
        <v>33</v>
      </c>
      <c r="W13" t="s">
        <v>34</v>
      </c>
      <c r="X13" t="s">
        <v>35</v>
      </c>
      <c r="Y13" t="s">
        <v>36</v>
      </c>
      <c r="Z13" t="s">
        <v>37</v>
      </c>
      <c r="AA13" t="s">
        <v>38</v>
      </c>
      <c r="AB13" t="s">
        <v>39</v>
      </c>
      <c r="AC13" t="s">
        <v>67</v>
      </c>
      <c r="AD13" t="s">
        <v>68</v>
      </c>
      <c r="AE13" t="s">
        <v>69</v>
      </c>
      <c r="AI13" t="s">
        <v>15</v>
      </c>
      <c r="AJ13" t="s">
        <v>16</v>
      </c>
      <c r="AK13" t="s">
        <v>17</v>
      </c>
      <c r="AL13" t="s">
        <v>18</v>
      </c>
      <c r="AM13" t="s">
        <v>19</v>
      </c>
      <c r="AN13" t="s">
        <v>20</v>
      </c>
      <c r="AO13" t="s">
        <v>21</v>
      </c>
      <c r="AP13" t="s">
        <v>22</v>
      </c>
      <c r="AQ13" t="s">
        <v>23</v>
      </c>
      <c r="AR13" t="s">
        <v>24</v>
      </c>
      <c r="AS13" t="s">
        <v>25</v>
      </c>
      <c r="AT13" t="s">
        <v>26</v>
      </c>
      <c r="AU13" t="s">
        <v>27</v>
      </c>
      <c r="AV13" t="s">
        <v>28</v>
      </c>
      <c r="AW13" t="s">
        <v>29</v>
      </c>
      <c r="AX13" t="s">
        <v>30</v>
      </c>
      <c r="AY13" t="s">
        <v>31</v>
      </c>
      <c r="AZ13" t="s">
        <v>32</v>
      </c>
      <c r="BA13" t="s">
        <v>33</v>
      </c>
      <c r="BB13" t="s">
        <v>34</v>
      </c>
      <c r="BC13" t="s">
        <v>35</v>
      </c>
      <c r="BD13" t="s">
        <v>36</v>
      </c>
      <c r="BE13" t="s">
        <v>37</v>
      </c>
      <c r="BF13" t="s">
        <v>38</v>
      </c>
      <c r="BG13" t="s">
        <v>39</v>
      </c>
      <c r="BH13" t="s">
        <v>67</v>
      </c>
      <c r="BI13" t="s">
        <v>68</v>
      </c>
      <c r="BJ13" t="s">
        <v>69</v>
      </c>
    </row>
    <row r="14" spans="1:62" x14ac:dyDescent="0.3">
      <c r="D14">
        <v>0</v>
      </c>
      <c r="AI14">
        <v>0</v>
      </c>
    </row>
    <row r="15" spans="1:62" x14ac:dyDescent="0.3">
      <c r="C15" t="s">
        <v>40</v>
      </c>
      <c r="D15">
        <f t="shared" ref="D15:D26" si="0">(D14+4000)-(0.00146*(D14+4000))</f>
        <v>3994.16</v>
      </c>
      <c r="E15">
        <f>(D26+4000)-(0.00146*(D26+4000))</f>
        <v>51471.651184914001</v>
      </c>
      <c r="F15">
        <f>(E26+4000)-(0.00146*(E26+4000))</f>
        <v>98123.983723726589</v>
      </c>
      <c r="G15">
        <f>(F26+4000)-(0.00146*(F26+4000))</f>
        <v>143965.498871088</v>
      </c>
      <c r="H15">
        <f>(G26+4000)-(0.00146*(G26+4000))</f>
        <v>189010.28863068807</v>
      </c>
      <c r="I15">
        <f>(H26+4000)-(0.00146*(H26+4000))</f>
        <v>233272.2000872374</v>
      </c>
      <c r="J15">
        <f t="shared" ref="J15:O15" si="1">(I26+4000)-(0.00125*(I26+4000))</f>
        <v>277207.35122074786</v>
      </c>
      <c r="K15">
        <f t="shared" si="1"/>
        <v>320689.49110894243</v>
      </c>
      <c r="L15">
        <f t="shared" si="1"/>
        <v>363523.8643632012</v>
      </c>
      <c r="M15">
        <f t="shared" si="1"/>
        <v>405720.12095965497</v>
      </c>
      <c r="N15">
        <f t="shared" si="1"/>
        <v>447287.76711581153</v>
      </c>
      <c r="O15">
        <f t="shared" si="1"/>
        <v>488236.1674321717</v>
      </c>
      <c r="P15">
        <f t="shared" ref="P15:AB15" si="2">(O26+4000)-(0.00104*(O26+4000))</f>
        <v>529545.45699999633</v>
      </c>
      <c r="Q15">
        <f t="shared" si="2"/>
        <v>570651.1550155977</v>
      </c>
      <c r="R15">
        <f t="shared" si="2"/>
        <v>611246.77812621405</v>
      </c>
      <c r="S15">
        <f t="shared" si="2"/>
        <v>651338.65578059002</v>
      </c>
      <c r="T15">
        <f t="shared" si="2"/>
        <v>690933.03888621845</v>
      </c>
      <c r="U15">
        <f t="shared" si="2"/>
        <v>730036.10078394844</v>
      </c>
      <c r="V15">
        <f t="shared" si="2"/>
        <v>768653.93821049819</v>
      </c>
      <c r="W15">
        <f t="shared" si="2"/>
        <v>806792.57224902639</v>
      </c>
      <c r="X15">
        <f t="shared" si="2"/>
        <v>844457.94926790544</v>
      </c>
      <c r="Y15">
        <f t="shared" si="2"/>
        <v>881655.94184784789</v>
      </c>
      <c r="Z15">
        <f t="shared" si="2"/>
        <v>918392.34969752654</v>
      </c>
      <c r="AA15">
        <f t="shared" si="2"/>
        <v>954672.90055783361</v>
      </c>
      <c r="AB15">
        <f t="shared" si="2"/>
        <v>990503.25109491916</v>
      </c>
      <c r="AC15">
        <f>(AB26+4000)-(0.000833*(AB26+4000))</f>
        <v>1027774.0245773686</v>
      </c>
      <c r="AD15">
        <f>(AC26+4000)-(0.000833*(AC26+4000))</f>
        <v>1065288.2297687528</v>
      </c>
      <c r="AE15">
        <f>(AD26+4000)-(0.000833*(AD26+4000))</f>
        <v>1102429.1562294133</v>
      </c>
      <c r="AH15" t="s">
        <v>40</v>
      </c>
      <c r="AI15">
        <f t="shared" ref="AI15:AI26" si="3">(AI14+4000)-0</f>
        <v>4000</v>
      </c>
      <c r="AJ15">
        <f t="shared" ref="AJ15:BJ15" si="4">(AI26+4000)-0</f>
        <v>52000</v>
      </c>
      <c r="AK15">
        <f t="shared" si="4"/>
        <v>100000</v>
      </c>
      <c r="AL15">
        <f t="shared" si="4"/>
        <v>148000</v>
      </c>
      <c r="AM15">
        <f t="shared" si="4"/>
        <v>196000</v>
      </c>
      <c r="AN15">
        <f t="shared" si="4"/>
        <v>244000</v>
      </c>
      <c r="AO15">
        <f t="shared" si="4"/>
        <v>292000</v>
      </c>
      <c r="AP15">
        <f t="shared" si="4"/>
        <v>340000</v>
      </c>
      <c r="AQ15">
        <f t="shared" si="4"/>
        <v>388000</v>
      </c>
      <c r="AR15">
        <f t="shared" si="4"/>
        <v>436000</v>
      </c>
      <c r="AS15">
        <f t="shared" si="4"/>
        <v>484000</v>
      </c>
      <c r="AT15">
        <f t="shared" si="4"/>
        <v>532000</v>
      </c>
      <c r="AU15">
        <f t="shared" si="4"/>
        <v>580000</v>
      </c>
      <c r="AV15">
        <f t="shared" si="4"/>
        <v>628000</v>
      </c>
      <c r="AW15">
        <f t="shared" si="4"/>
        <v>676000</v>
      </c>
      <c r="AX15">
        <f t="shared" si="4"/>
        <v>724000</v>
      </c>
      <c r="AY15">
        <f t="shared" si="4"/>
        <v>772000</v>
      </c>
      <c r="AZ15">
        <f t="shared" si="4"/>
        <v>820000</v>
      </c>
      <c r="BA15">
        <f t="shared" si="4"/>
        <v>868000</v>
      </c>
      <c r="BB15">
        <f t="shared" si="4"/>
        <v>916000</v>
      </c>
      <c r="BC15">
        <f t="shared" si="4"/>
        <v>964000</v>
      </c>
      <c r="BD15">
        <f t="shared" si="4"/>
        <v>1012000</v>
      </c>
      <c r="BE15">
        <f t="shared" si="4"/>
        <v>1060000</v>
      </c>
      <c r="BF15">
        <f t="shared" si="4"/>
        <v>1108000</v>
      </c>
      <c r="BG15">
        <f t="shared" si="4"/>
        <v>1156000</v>
      </c>
      <c r="BH15">
        <f t="shared" si="4"/>
        <v>1204000</v>
      </c>
      <c r="BI15">
        <f t="shared" si="4"/>
        <v>1252000</v>
      </c>
      <c r="BJ15">
        <f t="shared" si="4"/>
        <v>1300000</v>
      </c>
    </row>
    <row r="16" spans="1:62" x14ac:dyDescent="0.3">
      <c r="A16">
        <f>0.0175/12</f>
        <v>1.4583333333333334E-3</v>
      </c>
      <c r="B16">
        <v>1.75</v>
      </c>
      <c r="C16" t="s">
        <v>41</v>
      </c>
      <c r="D16">
        <f t="shared" si="0"/>
        <v>7982.4885263999995</v>
      </c>
      <c r="E16">
        <f t="shared" ref="E16:I19" si="5">(E15+4000)-(0.00146*(E15+4000))</f>
        <v>55390.662574184025</v>
      </c>
      <c r="F16">
        <f t="shared" si="5"/>
        <v>101974.88270748995</v>
      </c>
      <c r="G16">
        <f t="shared" si="5"/>
        <v>147749.4692427362</v>
      </c>
      <c r="H16">
        <f t="shared" si="5"/>
        <v>192728.49360928725</v>
      </c>
      <c r="I16">
        <f t="shared" si="5"/>
        <v>236925.78267511004</v>
      </c>
      <c r="J16">
        <f t="shared" ref="J16:O18" si="6">(J15+4000)-(0.00125*(J15+4000))</f>
        <v>280855.84203172196</v>
      </c>
      <c r="K16">
        <f t="shared" si="6"/>
        <v>324283.62924505625</v>
      </c>
      <c r="L16">
        <f t="shared" si="6"/>
        <v>367064.45953274722</v>
      </c>
      <c r="M16">
        <f t="shared" si="6"/>
        <v>409207.97080845543</v>
      </c>
      <c r="N16">
        <f t="shared" si="6"/>
        <v>450723.65740691678</v>
      </c>
      <c r="O16">
        <f t="shared" si="6"/>
        <v>491620.87222288147</v>
      </c>
      <c r="P16">
        <f t="shared" ref="P16:AB18" si="7">(P15+4000)-(0.00104*(P15+4000))</f>
        <v>532990.56972471636</v>
      </c>
      <c r="Q16">
        <f t="shared" si="7"/>
        <v>574053.51781438151</v>
      </c>
      <c r="R16">
        <f t="shared" si="7"/>
        <v>614606.92147696274</v>
      </c>
      <c r="S16">
        <f t="shared" si="7"/>
        <v>654657.10357857822</v>
      </c>
      <c r="T16">
        <f t="shared" si="7"/>
        <v>694210.30852577672</v>
      </c>
      <c r="U16">
        <f t="shared" si="7"/>
        <v>733272.70323913312</v>
      </c>
      <c r="V16">
        <f t="shared" si="7"/>
        <v>771850.37811475922</v>
      </c>
      <c r="W16">
        <f t="shared" si="7"/>
        <v>809949.34797388734</v>
      </c>
      <c r="X16">
        <f t="shared" si="7"/>
        <v>847575.55300066678</v>
      </c>
      <c r="Y16">
        <f t="shared" si="7"/>
        <v>884734.8596683261</v>
      </c>
      <c r="Z16">
        <f t="shared" si="7"/>
        <v>921433.06165384117</v>
      </c>
      <c r="AA16">
        <f t="shared" si="7"/>
        <v>957675.8807412535</v>
      </c>
      <c r="AB16">
        <f t="shared" si="7"/>
        <v>993468.96771378047</v>
      </c>
      <c r="AC16">
        <f t="shared" ref="AC16:AC26" si="8">(AC15+4000)-(0.000833*(AC15+4000))</f>
        <v>1030914.5568148957</v>
      </c>
      <c r="AD16">
        <f t="shared" ref="AD16:AD26" si="9">(AD15+4000)-(0.000833*(AD15+4000))</f>
        <v>1068397.5126733554</v>
      </c>
      <c r="AE16">
        <f t="shared" ref="AE16:AE26" si="10">(AE15+4000)-(0.000833*(AE15+4000))</f>
        <v>1105507.5007422743</v>
      </c>
      <c r="AH16" t="s">
        <v>41</v>
      </c>
      <c r="AI16">
        <f t="shared" si="3"/>
        <v>8000</v>
      </c>
      <c r="AJ16">
        <f t="shared" ref="AJ16:AJ26" si="11">(AJ15+4000)-0</f>
        <v>56000</v>
      </c>
      <c r="AK16">
        <f t="shared" ref="AK16:AK26" si="12">(AK15+4000)-0</f>
        <v>104000</v>
      </c>
      <c r="AL16">
        <f t="shared" ref="AL16:AL26" si="13">(AL15+4000)-0</f>
        <v>152000</v>
      </c>
      <c r="AM16">
        <f t="shared" ref="AM16:AM26" si="14">(AM15+4000)-0</f>
        <v>200000</v>
      </c>
      <c r="AN16">
        <f t="shared" ref="AN16:AN26" si="15">(AN15+4000)-0</f>
        <v>248000</v>
      </c>
      <c r="AO16">
        <f t="shared" ref="AO16:AO26" si="16">(AO15+4000)-0</f>
        <v>296000</v>
      </c>
      <c r="AP16">
        <f t="shared" ref="AP16:AP26" si="17">(AP15+4000)-0</f>
        <v>344000</v>
      </c>
      <c r="AQ16">
        <f t="shared" ref="AQ16:AQ26" si="18">(AQ15+4000)-0</f>
        <v>392000</v>
      </c>
      <c r="AR16">
        <f t="shared" ref="AR16:AR26" si="19">(AR15+4000)-0</f>
        <v>440000</v>
      </c>
      <c r="AS16">
        <f t="shared" ref="AS16:AS26" si="20">(AS15+4000)-0</f>
        <v>488000</v>
      </c>
      <c r="AT16">
        <f t="shared" ref="AT16:AT26" si="21">(AT15+4000)-0</f>
        <v>536000</v>
      </c>
      <c r="AU16">
        <f t="shared" ref="AU16:AU26" si="22">(AU15+4000)-0</f>
        <v>584000</v>
      </c>
      <c r="AV16">
        <f t="shared" ref="AV16:AV26" si="23">(AV15+4000)-0</f>
        <v>632000</v>
      </c>
      <c r="AW16">
        <f t="shared" ref="AW16:AW26" si="24">(AW15+4000)-0</f>
        <v>680000</v>
      </c>
      <c r="AX16">
        <f t="shared" ref="AX16:AX26" si="25">(AX15+4000)-0</f>
        <v>728000</v>
      </c>
      <c r="AY16">
        <f t="shared" ref="AY16:AY26" si="26">(AY15+4000)-0</f>
        <v>776000</v>
      </c>
      <c r="AZ16">
        <f t="shared" ref="AZ16:AZ26" si="27">(AZ15+4000)-0</f>
        <v>824000</v>
      </c>
      <c r="BA16">
        <f t="shared" ref="BA16:BA26" si="28">(BA15+4000)-0</f>
        <v>872000</v>
      </c>
      <c r="BB16">
        <f t="shared" ref="BB16:BB26" si="29">(BB15+4000)-0</f>
        <v>920000</v>
      </c>
      <c r="BC16">
        <f t="shared" ref="BC16:BC26" si="30">(BC15+4000)-0</f>
        <v>968000</v>
      </c>
      <c r="BD16">
        <f t="shared" ref="BD16:BD26" si="31">(BD15+4000)-0</f>
        <v>1016000</v>
      </c>
      <c r="BE16">
        <f t="shared" ref="BE16:BE26" si="32">(BE15+4000)-0</f>
        <v>1064000</v>
      </c>
      <c r="BF16">
        <f t="shared" ref="BF16:BF26" si="33">(BF15+4000)-0</f>
        <v>1112000</v>
      </c>
      <c r="BG16">
        <f t="shared" ref="BG16:BG26" si="34">(BG15+4000)-0</f>
        <v>1160000</v>
      </c>
      <c r="BH16">
        <f t="shared" ref="BH16:BH26" si="35">(BH15+4000)-0</f>
        <v>1208000</v>
      </c>
      <c r="BI16">
        <f t="shared" ref="BI16:BI26" si="36">(BI15+4000)-0</f>
        <v>1256000</v>
      </c>
      <c r="BJ16">
        <f t="shared" ref="BJ16:BJ26" si="37">(BJ15+4000)-0</f>
        <v>1304000</v>
      </c>
    </row>
    <row r="17" spans="1:62" x14ac:dyDescent="0.3">
      <c r="A17">
        <f>0.015/12</f>
        <v>1.25E-3</v>
      </c>
      <c r="B17">
        <v>1.5</v>
      </c>
      <c r="C17" t="s">
        <v>42</v>
      </c>
      <c r="D17">
        <f t="shared" si="0"/>
        <v>11964.994093151456</v>
      </c>
      <c r="E17">
        <f t="shared" si="5"/>
        <v>59303.952206825714</v>
      </c>
      <c r="F17">
        <f t="shared" si="5"/>
        <v>105820.15937873701</v>
      </c>
      <c r="G17">
        <f t="shared" si="5"/>
        <v>151527.91501764182</v>
      </c>
      <c r="H17">
        <f t="shared" si="5"/>
        <v>196441.27000861769</v>
      </c>
      <c r="I17">
        <f t="shared" si="5"/>
        <v>240574.03103240437</v>
      </c>
      <c r="J17">
        <f t="shared" si="6"/>
        <v>284499.7722291823</v>
      </c>
      <c r="K17">
        <f t="shared" si="6"/>
        <v>327873.2747084999</v>
      </c>
      <c r="L17">
        <f t="shared" si="6"/>
        <v>370600.6289583313</v>
      </c>
      <c r="M17">
        <f t="shared" si="6"/>
        <v>412691.46084494487</v>
      </c>
      <c r="N17">
        <f t="shared" si="6"/>
        <v>454155.25283515814</v>
      </c>
      <c r="O17">
        <f t="shared" si="6"/>
        <v>495001.34613260289</v>
      </c>
      <c r="P17">
        <f t="shared" si="7"/>
        <v>536432.0995322027</v>
      </c>
      <c r="Q17">
        <f t="shared" si="7"/>
        <v>577452.34215585457</v>
      </c>
      <c r="R17">
        <f t="shared" si="7"/>
        <v>617963.57027862675</v>
      </c>
      <c r="S17">
        <f t="shared" si="7"/>
        <v>657972.10019085649</v>
      </c>
      <c r="T17">
        <f t="shared" si="7"/>
        <v>697484.16980490997</v>
      </c>
      <c r="U17">
        <f t="shared" si="7"/>
        <v>736505.9396277644</v>
      </c>
      <c r="V17">
        <f t="shared" si="7"/>
        <v>775043.49372151983</v>
      </c>
      <c r="W17">
        <f t="shared" si="7"/>
        <v>813102.84065199445</v>
      </c>
      <c r="X17">
        <f t="shared" si="7"/>
        <v>850689.91442554607</v>
      </c>
      <c r="Y17">
        <f t="shared" si="7"/>
        <v>887810.57541427109</v>
      </c>
      <c r="Z17">
        <f t="shared" si="7"/>
        <v>924470.61126972118</v>
      </c>
      <c r="AA17">
        <f t="shared" si="7"/>
        <v>960675.73782528262</v>
      </c>
      <c r="AB17">
        <f t="shared" si="7"/>
        <v>996431.59998735809</v>
      </c>
      <c r="AC17">
        <f t="shared" si="8"/>
        <v>1034052.4729890689</v>
      </c>
      <c r="AD17">
        <f t="shared" si="9"/>
        <v>1071504.2055452985</v>
      </c>
      <c r="AE17">
        <f t="shared" si="10"/>
        <v>1108583.2809941559</v>
      </c>
      <c r="AH17" t="s">
        <v>42</v>
      </c>
      <c r="AI17">
        <f t="shared" si="3"/>
        <v>12000</v>
      </c>
      <c r="AJ17">
        <f t="shared" si="11"/>
        <v>60000</v>
      </c>
      <c r="AK17">
        <f t="shared" si="12"/>
        <v>108000</v>
      </c>
      <c r="AL17">
        <f t="shared" si="13"/>
        <v>156000</v>
      </c>
      <c r="AM17">
        <f t="shared" si="14"/>
        <v>204000</v>
      </c>
      <c r="AN17">
        <f t="shared" si="15"/>
        <v>252000</v>
      </c>
      <c r="AO17">
        <f t="shared" si="16"/>
        <v>300000</v>
      </c>
      <c r="AP17">
        <f t="shared" si="17"/>
        <v>348000</v>
      </c>
      <c r="AQ17">
        <f t="shared" si="18"/>
        <v>396000</v>
      </c>
      <c r="AR17">
        <f t="shared" si="19"/>
        <v>444000</v>
      </c>
      <c r="AS17">
        <f t="shared" si="20"/>
        <v>492000</v>
      </c>
      <c r="AT17">
        <f t="shared" si="21"/>
        <v>540000</v>
      </c>
      <c r="AU17">
        <f t="shared" si="22"/>
        <v>588000</v>
      </c>
      <c r="AV17">
        <f t="shared" si="23"/>
        <v>636000</v>
      </c>
      <c r="AW17">
        <f t="shared" si="24"/>
        <v>684000</v>
      </c>
      <c r="AX17">
        <f t="shared" si="25"/>
        <v>732000</v>
      </c>
      <c r="AY17">
        <f t="shared" si="26"/>
        <v>780000</v>
      </c>
      <c r="AZ17">
        <f t="shared" si="27"/>
        <v>828000</v>
      </c>
      <c r="BA17">
        <f t="shared" si="28"/>
        <v>876000</v>
      </c>
      <c r="BB17">
        <f t="shared" si="29"/>
        <v>924000</v>
      </c>
      <c r="BC17">
        <f t="shared" si="30"/>
        <v>972000</v>
      </c>
      <c r="BD17">
        <f t="shared" si="31"/>
        <v>1020000</v>
      </c>
      <c r="BE17">
        <f t="shared" si="32"/>
        <v>1068000</v>
      </c>
      <c r="BF17">
        <f t="shared" si="33"/>
        <v>1116000</v>
      </c>
      <c r="BG17">
        <f t="shared" si="34"/>
        <v>1164000</v>
      </c>
      <c r="BH17">
        <f t="shared" si="35"/>
        <v>1212000</v>
      </c>
      <c r="BI17">
        <f t="shared" si="36"/>
        <v>1260000</v>
      </c>
      <c r="BJ17">
        <f t="shared" si="37"/>
        <v>1308000</v>
      </c>
    </row>
    <row r="18" spans="1:62" x14ac:dyDescent="0.3">
      <c r="A18">
        <f>0.0125/12</f>
        <v>1.0416666666666667E-3</v>
      </c>
      <c r="B18">
        <v>1.25</v>
      </c>
      <c r="C18" t="s">
        <v>43</v>
      </c>
      <c r="D18">
        <f t="shared" si="0"/>
        <v>15941.685201775455</v>
      </c>
      <c r="E18">
        <f t="shared" si="5"/>
        <v>63211.528436603745</v>
      </c>
      <c r="F18">
        <f t="shared" si="5"/>
        <v>109659.82194604405</v>
      </c>
      <c r="G18">
        <f t="shared" si="5"/>
        <v>155300.84426171606</v>
      </c>
      <c r="H18">
        <f t="shared" si="5"/>
        <v>200148.6257544051</v>
      </c>
      <c r="I18">
        <f t="shared" si="5"/>
        <v>244216.95294709704</v>
      </c>
      <c r="J18">
        <f t="shared" si="6"/>
        <v>288139.14751389582</v>
      </c>
      <c r="K18">
        <f t="shared" si="6"/>
        <v>331458.43311511428</v>
      </c>
      <c r="L18">
        <f t="shared" si="6"/>
        <v>374132.37817213341</v>
      </c>
      <c r="M18">
        <f t="shared" si="6"/>
        <v>416170.59651888866</v>
      </c>
      <c r="N18">
        <f t="shared" si="6"/>
        <v>457582.5587691142</v>
      </c>
      <c r="O18">
        <f t="shared" si="6"/>
        <v>498377.59444993711</v>
      </c>
      <c r="P18">
        <f t="shared" si="7"/>
        <v>539870.05014868919</v>
      </c>
      <c r="Q18">
        <f t="shared" si="7"/>
        <v>580847.63172001252</v>
      </c>
      <c r="R18">
        <f t="shared" si="7"/>
        <v>621316.728165537</v>
      </c>
      <c r="S18">
        <f t="shared" si="7"/>
        <v>661283.64920665801</v>
      </c>
      <c r="T18">
        <f t="shared" si="7"/>
        <v>700754.6262683128</v>
      </c>
      <c r="U18">
        <f t="shared" si="7"/>
        <v>739735.81345055148</v>
      </c>
      <c r="V18">
        <f t="shared" si="7"/>
        <v>778233.28848804941</v>
      </c>
      <c r="W18">
        <f t="shared" si="7"/>
        <v>816253.05369771633</v>
      </c>
      <c r="X18">
        <f t="shared" si="7"/>
        <v>853801.03691454348</v>
      </c>
      <c r="Y18">
        <f t="shared" si="7"/>
        <v>890883.09241584025</v>
      </c>
      <c r="Z18">
        <f t="shared" si="7"/>
        <v>927505.00183400069</v>
      </c>
      <c r="AA18">
        <f t="shared" si="7"/>
        <v>963672.47505794431</v>
      </c>
      <c r="AB18">
        <f t="shared" si="7"/>
        <v>999391.15112337121</v>
      </c>
      <c r="AC18">
        <f t="shared" si="8"/>
        <v>1037187.7752790691</v>
      </c>
      <c r="AD18">
        <f t="shared" si="9"/>
        <v>1074608.3105420794</v>
      </c>
      <c r="AE18">
        <f t="shared" si="10"/>
        <v>1111656.4991210878</v>
      </c>
      <c r="AH18" t="s">
        <v>43</v>
      </c>
      <c r="AI18">
        <f t="shared" si="3"/>
        <v>16000</v>
      </c>
      <c r="AJ18">
        <f t="shared" si="11"/>
        <v>64000</v>
      </c>
      <c r="AK18">
        <f t="shared" si="12"/>
        <v>112000</v>
      </c>
      <c r="AL18">
        <f t="shared" si="13"/>
        <v>160000</v>
      </c>
      <c r="AM18">
        <f t="shared" si="14"/>
        <v>208000</v>
      </c>
      <c r="AN18">
        <f t="shared" si="15"/>
        <v>256000</v>
      </c>
      <c r="AO18">
        <f t="shared" si="16"/>
        <v>304000</v>
      </c>
      <c r="AP18">
        <f t="shared" si="17"/>
        <v>352000</v>
      </c>
      <c r="AQ18">
        <f t="shared" si="18"/>
        <v>400000</v>
      </c>
      <c r="AR18">
        <f t="shared" si="19"/>
        <v>448000</v>
      </c>
      <c r="AS18">
        <f t="shared" si="20"/>
        <v>496000</v>
      </c>
      <c r="AT18">
        <f t="shared" si="21"/>
        <v>544000</v>
      </c>
      <c r="AU18">
        <f t="shared" si="22"/>
        <v>592000</v>
      </c>
      <c r="AV18">
        <f t="shared" si="23"/>
        <v>640000</v>
      </c>
      <c r="AW18">
        <f t="shared" si="24"/>
        <v>688000</v>
      </c>
      <c r="AX18">
        <f t="shared" si="25"/>
        <v>736000</v>
      </c>
      <c r="AY18">
        <f t="shared" si="26"/>
        <v>784000</v>
      </c>
      <c r="AZ18">
        <f t="shared" si="27"/>
        <v>832000</v>
      </c>
      <c r="BA18">
        <f t="shared" si="28"/>
        <v>880000</v>
      </c>
      <c r="BB18">
        <f t="shared" si="29"/>
        <v>928000</v>
      </c>
      <c r="BC18">
        <f t="shared" si="30"/>
        <v>976000</v>
      </c>
      <c r="BD18">
        <f t="shared" si="31"/>
        <v>1024000</v>
      </c>
      <c r="BE18">
        <f t="shared" si="32"/>
        <v>1072000</v>
      </c>
      <c r="BF18">
        <f t="shared" si="33"/>
        <v>1120000</v>
      </c>
      <c r="BG18">
        <f t="shared" si="34"/>
        <v>1168000</v>
      </c>
      <c r="BH18">
        <f t="shared" si="35"/>
        <v>1216000</v>
      </c>
      <c r="BI18">
        <f t="shared" si="36"/>
        <v>1264000</v>
      </c>
      <c r="BJ18">
        <f t="shared" si="37"/>
        <v>1312000</v>
      </c>
    </row>
    <row r="19" spans="1:62" x14ac:dyDescent="0.3">
      <c r="A19">
        <f>0.01/12</f>
        <v>8.3333333333333339E-4</v>
      </c>
      <c r="B19">
        <v>1</v>
      </c>
      <c r="C19" t="s">
        <v>42</v>
      </c>
      <c r="D19">
        <f t="shared" si="0"/>
        <v>19912.570341380866</v>
      </c>
      <c r="E19">
        <f t="shared" si="5"/>
        <v>67113.399605086306</v>
      </c>
      <c r="F19">
        <f t="shared" si="5"/>
        <v>113493.87860600282</v>
      </c>
      <c r="G19">
        <f t="shared" si="5"/>
        <v>159068.26502909395</v>
      </c>
      <c r="H19">
        <f t="shared" si="5"/>
        <v>203850.56876080367</v>
      </c>
      <c r="I19">
        <f t="shared" si="5"/>
        <v>247854.55619579428</v>
      </c>
      <c r="J19">
        <f t="shared" ref="J19:N26" si="38">(J18+4000)-(0.00125*(J18+4000))</f>
        <v>291773.97357950342</v>
      </c>
      <c r="K19">
        <f t="shared" si="38"/>
        <v>335039.1100737204</v>
      </c>
      <c r="L19">
        <f t="shared" si="38"/>
        <v>377659.71269941825</v>
      </c>
      <c r="M19">
        <f t="shared" si="38"/>
        <v>419645.38327324006</v>
      </c>
      <c r="N19">
        <f t="shared" si="38"/>
        <v>461005.58057065279</v>
      </c>
      <c r="O19">
        <f t="shared" ref="O19:AA26" si="39">(O18+4000)-(0.00104*(O18+4000))</f>
        <v>501855.1217517092</v>
      </c>
      <c r="P19">
        <f t="shared" si="39"/>
        <v>543304.42529653455</v>
      </c>
      <c r="Q19">
        <f t="shared" si="39"/>
        <v>584239.39018302376</v>
      </c>
      <c r="R19">
        <f t="shared" si="39"/>
        <v>624666.39876824489</v>
      </c>
      <c r="S19">
        <f t="shared" si="39"/>
        <v>664591.75421148306</v>
      </c>
      <c r="T19">
        <f t="shared" si="39"/>
        <v>704021.6814569938</v>
      </c>
      <c r="U19">
        <f t="shared" si="39"/>
        <v>742962.32820456289</v>
      </c>
      <c r="V19">
        <f t="shared" si="39"/>
        <v>781419.76586802187</v>
      </c>
      <c r="W19">
        <f t="shared" si="39"/>
        <v>819399.99052187067</v>
      </c>
      <c r="X19">
        <f t="shared" si="39"/>
        <v>856908.9238361523</v>
      </c>
      <c r="Y19">
        <f t="shared" si="39"/>
        <v>893952.41399972781</v>
      </c>
      <c r="Z19">
        <f t="shared" si="39"/>
        <v>930536.23663209332</v>
      </c>
      <c r="AA19">
        <f t="shared" si="39"/>
        <v>966666.09568388399</v>
      </c>
      <c r="AB19">
        <f t="shared" ref="AB19:AB26" si="40">(AB18+4000)-(0.000833*(AB18+4000))</f>
        <v>1002555.3262944855</v>
      </c>
      <c r="AC19">
        <f t="shared" si="8"/>
        <v>1040320.4658622616</v>
      </c>
      <c r="AD19">
        <f t="shared" si="9"/>
        <v>1077709.8298193978</v>
      </c>
      <c r="AE19">
        <f t="shared" si="10"/>
        <v>1114727.1572573199</v>
      </c>
      <c r="AH19" t="s">
        <v>42</v>
      </c>
      <c r="AI19">
        <f t="shared" si="3"/>
        <v>20000</v>
      </c>
      <c r="AJ19">
        <f t="shared" si="11"/>
        <v>68000</v>
      </c>
      <c r="AK19">
        <f t="shared" si="12"/>
        <v>116000</v>
      </c>
      <c r="AL19">
        <f t="shared" si="13"/>
        <v>164000</v>
      </c>
      <c r="AM19">
        <f t="shared" si="14"/>
        <v>212000</v>
      </c>
      <c r="AN19">
        <f t="shared" si="15"/>
        <v>260000</v>
      </c>
      <c r="AO19">
        <f t="shared" si="16"/>
        <v>308000</v>
      </c>
      <c r="AP19">
        <f t="shared" si="17"/>
        <v>356000</v>
      </c>
      <c r="AQ19">
        <f t="shared" si="18"/>
        <v>404000</v>
      </c>
      <c r="AR19">
        <f t="shared" si="19"/>
        <v>452000</v>
      </c>
      <c r="AS19">
        <f t="shared" si="20"/>
        <v>500000</v>
      </c>
      <c r="AT19">
        <f t="shared" si="21"/>
        <v>548000</v>
      </c>
      <c r="AU19">
        <f t="shared" si="22"/>
        <v>596000</v>
      </c>
      <c r="AV19">
        <f t="shared" si="23"/>
        <v>644000</v>
      </c>
      <c r="AW19">
        <f t="shared" si="24"/>
        <v>692000</v>
      </c>
      <c r="AX19">
        <f t="shared" si="25"/>
        <v>740000</v>
      </c>
      <c r="AY19">
        <f t="shared" si="26"/>
        <v>788000</v>
      </c>
      <c r="AZ19">
        <f t="shared" si="27"/>
        <v>836000</v>
      </c>
      <c r="BA19">
        <f t="shared" si="28"/>
        <v>884000</v>
      </c>
      <c r="BB19">
        <f t="shared" si="29"/>
        <v>932000</v>
      </c>
      <c r="BC19">
        <f t="shared" si="30"/>
        <v>980000</v>
      </c>
      <c r="BD19">
        <f t="shared" si="31"/>
        <v>1028000</v>
      </c>
      <c r="BE19">
        <f t="shared" si="32"/>
        <v>1076000</v>
      </c>
      <c r="BF19">
        <f t="shared" si="33"/>
        <v>1124000</v>
      </c>
      <c r="BG19">
        <f t="shared" si="34"/>
        <v>1172000</v>
      </c>
      <c r="BH19">
        <f t="shared" si="35"/>
        <v>1220000</v>
      </c>
      <c r="BI19">
        <f t="shared" si="36"/>
        <v>1268000</v>
      </c>
      <c r="BJ19">
        <f t="shared" si="37"/>
        <v>1316000</v>
      </c>
    </row>
    <row r="20" spans="1:62" x14ac:dyDescent="0.3">
      <c r="C20" t="s">
        <v>40</v>
      </c>
      <c r="D20">
        <f t="shared" si="0"/>
        <v>23877.657988682451</v>
      </c>
      <c r="E20">
        <f t="shared" ref="E20:H26" si="41">(E19+4000)-(0.00146*(E19+4000))</f>
        <v>71009.574041662883</v>
      </c>
      <c r="F20">
        <f t="shared" si="41"/>
        <v>117322.33754323806</v>
      </c>
      <c r="G20">
        <f t="shared" si="41"/>
        <v>162830.18536215147</v>
      </c>
      <c r="H20">
        <f t="shared" si="41"/>
        <v>207547.10693041291</v>
      </c>
      <c r="I20">
        <f t="shared" ref="I20:I26" si="42">(I19+4000)-(0.00125*(I19+4000))</f>
        <v>251539.73800054955</v>
      </c>
      <c r="J20">
        <f t="shared" si="38"/>
        <v>295404.25611252902</v>
      </c>
      <c r="K20">
        <f t="shared" si="38"/>
        <v>338615.31118612824</v>
      </c>
      <c r="L20">
        <f t="shared" si="38"/>
        <v>381182.63805854396</v>
      </c>
      <c r="M20">
        <f t="shared" si="38"/>
        <v>423115.8265441485</v>
      </c>
      <c r="N20">
        <f t="shared" si="38"/>
        <v>464424.32359493949</v>
      </c>
      <c r="O20">
        <f t="shared" si="39"/>
        <v>505329.03242508741</v>
      </c>
      <c r="P20">
        <f t="shared" si="39"/>
        <v>546735.22869422613</v>
      </c>
      <c r="Q20">
        <f t="shared" si="39"/>
        <v>587627.62121723336</v>
      </c>
      <c r="R20">
        <f t="shared" si="39"/>
        <v>628012.58571352588</v>
      </c>
      <c r="S20">
        <f t="shared" si="39"/>
        <v>667896.41878710315</v>
      </c>
      <c r="T20">
        <f t="shared" si="39"/>
        <v>707285.3389082785</v>
      </c>
      <c r="U20">
        <f t="shared" si="39"/>
        <v>746185.48738323012</v>
      </c>
      <c r="V20">
        <f t="shared" si="39"/>
        <v>784602.92931151914</v>
      </c>
      <c r="W20">
        <f t="shared" si="39"/>
        <v>822543.65453172789</v>
      </c>
      <c r="X20">
        <f t="shared" si="39"/>
        <v>860013.57855536265</v>
      </c>
      <c r="Y20">
        <f t="shared" si="39"/>
        <v>897018.54348916805</v>
      </c>
      <c r="Z20">
        <f t="shared" si="39"/>
        <v>933564.318945996</v>
      </c>
      <c r="AA20">
        <f t="shared" si="39"/>
        <v>969656.6029443728</v>
      </c>
      <c r="AB20">
        <f t="shared" si="40"/>
        <v>1005716.8657076822</v>
      </c>
      <c r="AC20">
        <f t="shared" si="8"/>
        <v>1043450.5469141983</v>
      </c>
      <c r="AD20">
        <f t="shared" si="9"/>
        <v>1080808.7655311583</v>
      </c>
      <c r="AE20">
        <f t="shared" si="10"/>
        <v>1117795.2575353244</v>
      </c>
      <c r="AH20" t="s">
        <v>40</v>
      </c>
      <c r="AI20">
        <f t="shared" si="3"/>
        <v>24000</v>
      </c>
      <c r="AJ20">
        <f t="shared" si="11"/>
        <v>72000</v>
      </c>
      <c r="AK20">
        <f t="shared" si="12"/>
        <v>120000</v>
      </c>
      <c r="AL20">
        <f t="shared" si="13"/>
        <v>168000</v>
      </c>
      <c r="AM20">
        <f t="shared" si="14"/>
        <v>216000</v>
      </c>
      <c r="AN20">
        <f t="shared" si="15"/>
        <v>264000</v>
      </c>
      <c r="AO20">
        <f t="shared" si="16"/>
        <v>312000</v>
      </c>
      <c r="AP20">
        <f t="shared" si="17"/>
        <v>360000</v>
      </c>
      <c r="AQ20">
        <f t="shared" si="18"/>
        <v>408000</v>
      </c>
      <c r="AR20">
        <f t="shared" si="19"/>
        <v>456000</v>
      </c>
      <c r="AS20">
        <f t="shared" si="20"/>
        <v>504000</v>
      </c>
      <c r="AT20">
        <f t="shared" si="21"/>
        <v>552000</v>
      </c>
      <c r="AU20">
        <f t="shared" si="22"/>
        <v>600000</v>
      </c>
      <c r="AV20">
        <f t="shared" si="23"/>
        <v>648000</v>
      </c>
      <c r="AW20">
        <f t="shared" si="24"/>
        <v>696000</v>
      </c>
      <c r="AX20">
        <f t="shared" si="25"/>
        <v>744000</v>
      </c>
      <c r="AY20">
        <f t="shared" si="26"/>
        <v>792000</v>
      </c>
      <c r="AZ20">
        <f t="shared" si="27"/>
        <v>840000</v>
      </c>
      <c r="BA20">
        <f t="shared" si="28"/>
        <v>888000</v>
      </c>
      <c r="BB20">
        <f t="shared" si="29"/>
        <v>936000</v>
      </c>
      <c r="BC20">
        <f t="shared" si="30"/>
        <v>984000</v>
      </c>
      <c r="BD20">
        <f t="shared" si="31"/>
        <v>1032000</v>
      </c>
      <c r="BE20">
        <f t="shared" si="32"/>
        <v>1080000</v>
      </c>
      <c r="BF20">
        <f t="shared" si="33"/>
        <v>1128000</v>
      </c>
      <c r="BG20">
        <f t="shared" si="34"/>
        <v>1176000</v>
      </c>
      <c r="BH20">
        <f t="shared" si="35"/>
        <v>1224000</v>
      </c>
      <c r="BI20">
        <f t="shared" si="36"/>
        <v>1272000</v>
      </c>
      <c r="BJ20">
        <f t="shared" si="37"/>
        <v>1320000</v>
      </c>
    </row>
    <row r="21" spans="1:62" x14ac:dyDescent="0.3">
      <c r="C21" t="s">
        <v>40</v>
      </c>
      <c r="D21">
        <f t="shared" si="0"/>
        <v>27836.956608018976</v>
      </c>
      <c r="E21">
        <f t="shared" si="41"/>
        <v>74900.06006356205</v>
      </c>
      <c r="F21">
        <f t="shared" si="41"/>
        <v>121145.20693042493</v>
      </c>
      <c r="G21">
        <f t="shared" si="41"/>
        <v>166586.61329152272</v>
      </c>
      <c r="H21">
        <f t="shared" si="41"/>
        <v>211238.2481542945</v>
      </c>
      <c r="I21">
        <f t="shared" si="42"/>
        <v>255220.31332804885</v>
      </c>
      <c r="J21">
        <f t="shared" si="38"/>
        <v>299030.00079238834</v>
      </c>
      <c r="K21">
        <f t="shared" si="38"/>
        <v>342187.0420471456</v>
      </c>
      <c r="L21">
        <f t="shared" si="38"/>
        <v>384701.1597609708</v>
      </c>
      <c r="M21">
        <f t="shared" si="38"/>
        <v>426581.93176096829</v>
      </c>
      <c r="N21">
        <f t="shared" si="38"/>
        <v>467838.79319044581</v>
      </c>
      <c r="O21">
        <f t="shared" si="39"/>
        <v>508799.33023136534</v>
      </c>
      <c r="P21">
        <f t="shared" si="39"/>
        <v>550162.46405638417</v>
      </c>
      <c r="Q21">
        <f t="shared" si="39"/>
        <v>591012.3284911674</v>
      </c>
      <c r="R21">
        <f t="shared" si="39"/>
        <v>631355.29262438382</v>
      </c>
      <c r="S21">
        <f t="shared" si="39"/>
        <v>671197.64651156461</v>
      </c>
      <c r="T21">
        <f t="shared" si="39"/>
        <v>710545.60215581395</v>
      </c>
      <c r="U21">
        <f t="shared" si="39"/>
        <v>749405.29447635158</v>
      </c>
      <c r="V21">
        <f t="shared" si="39"/>
        <v>787782.7822650352</v>
      </c>
      <c r="W21">
        <f t="shared" si="39"/>
        <v>825684.04913101485</v>
      </c>
      <c r="X21">
        <f t="shared" si="39"/>
        <v>863115.00443366508</v>
      </c>
      <c r="Y21">
        <f t="shared" si="39"/>
        <v>900081.48420393933</v>
      </c>
      <c r="Z21">
        <f t="shared" si="39"/>
        <v>936589.25205429213</v>
      </c>
      <c r="AA21">
        <f t="shared" si="39"/>
        <v>972644.0000773106</v>
      </c>
      <c r="AB21">
        <f t="shared" si="40"/>
        <v>1008875.7715585477</v>
      </c>
      <c r="AC21">
        <f t="shared" si="8"/>
        <v>1046578.0206086187</v>
      </c>
      <c r="AD21">
        <f t="shared" si="9"/>
        <v>1083905.1198294708</v>
      </c>
      <c r="AE21">
        <f t="shared" si="10"/>
        <v>1120860.8020857975</v>
      </c>
      <c r="AH21" t="s">
        <v>40</v>
      </c>
      <c r="AI21">
        <f t="shared" si="3"/>
        <v>28000</v>
      </c>
      <c r="AJ21">
        <f t="shared" si="11"/>
        <v>76000</v>
      </c>
      <c r="AK21">
        <f t="shared" si="12"/>
        <v>124000</v>
      </c>
      <c r="AL21">
        <f t="shared" si="13"/>
        <v>172000</v>
      </c>
      <c r="AM21">
        <f t="shared" si="14"/>
        <v>220000</v>
      </c>
      <c r="AN21">
        <f t="shared" si="15"/>
        <v>268000</v>
      </c>
      <c r="AO21">
        <f t="shared" si="16"/>
        <v>316000</v>
      </c>
      <c r="AP21">
        <f t="shared" si="17"/>
        <v>364000</v>
      </c>
      <c r="AQ21">
        <f t="shared" si="18"/>
        <v>412000</v>
      </c>
      <c r="AR21">
        <f t="shared" si="19"/>
        <v>460000</v>
      </c>
      <c r="AS21">
        <f t="shared" si="20"/>
        <v>508000</v>
      </c>
      <c r="AT21">
        <f t="shared" si="21"/>
        <v>556000</v>
      </c>
      <c r="AU21">
        <f t="shared" si="22"/>
        <v>604000</v>
      </c>
      <c r="AV21">
        <f t="shared" si="23"/>
        <v>652000</v>
      </c>
      <c r="AW21">
        <f t="shared" si="24"/>
        <v>700000</v>
      </c>
      <c r="AX21">
        <f t="shared" si="25"/>
        <v>748000</v>
      </c>
      <c r="AY21">
        <f t="shared" si="26"/>
        <v>796000</v>
      </c>
      <c r="AZ21">
        <f t="shared" si="27"/>
        <v>844000</v>
      </c>
      <c r="BA21">
        <f t="shared" si="28"/>
        <v>892000</v>
      </c>
      <c r="BB21">
        <f t="shared" si="29"/>
        <v>940000</v>
      </c>
      <c r="BC21">
        <f t="shared" si="30"/>
        <v>988000</v>
      </c>
      <c r="BD21">
        <f t="shared" si="31"/>
        <v>1036000</v>
      </c>
      <c r="BE21">
        <f t="shared" si="32"/>
        <v>1084000</v>
      </c>
      <c r="BF21">
        <f t="shared" si="33"/>
        <v>1132000</v>
      </c>
      <c r="BG21">
        <f t="shared" si="34"/>
        <v>1180000</v>
      </c>
      <c r="BH21">
        <f t="shared" si="35"/>
        <v>1228000</v>
      </c>
      <c r="BI21">
        <f t="shared" si="36"/>
        <v>1276000</v>
      </c>
      <c r="BJ21">
        <f t="shared" si="37"/>
        <v>1324000</v>
      </c>
    </row>
    <row r="22" spans="1:62" x14ac:dyDescent="0.3">
      <c r="C22" t="s">
        <v>43</v>
      </c>
      <c r="D22">
        <f t="shared" si="0"/>
        <v>31790.474651371267</v>
      </c>
      <c r="E22">
        <f t="shared" si="41"/>
        <v>78784.865975869252</v>
      </c>
      <c r="F22">
        <f t="shared" si="41"/>
        <v>124962.49492830651</v>
      </c>
      <c r="G22">
        <f t="shared" si="41"/>
        <v>170337.55683611709</v>
      </c>
      <c r="H22">
        <f t="shared" si="41"/>
        <v>214924.00031198922</v>
      </c>
      <c r="I22">
        <f t="shared" si="42"/>
        <v>258896.28793638881</v>
      </c>
      <c r="J22">
        <f t="shared" si="38"/>
        <v>302651.21329139784</v>
      </c>
      <c r="K22">
        <f t="shared" si="38"/>
        <v>345754.30824458669</v>
      </c>
      <c r="L22">
        <f t="shared" si="38"/>
        <v>388215.2833112696</v>
      </c>
      <c r="M22">
        <f t="shared" si="38"/>
        <v>430043.7043462671</v>
      </c>
      <c r="N22">
        <f t="shared" si="38"/>
        <v>471248.99469895777</v>
      </c>
      <c r="O22">
        <f t="shared" si="39"/>
        <v>512266.01892792474</v>
      </c>
      <c r="P22">
        <f t="shared" si="39"/>
        <v>553586.13509376557</v>
      </c>
      <c r="Q22">
        <f t="shared" si="39"/>
        <v>594393.51566953654</v>
      </c>
      <c r="R22">
        <f t="shared" si="39"/>
        <v>634694.52312005451</v>
      </c>
      <c r="S22">
        <f t="shared" si="39"/>
        <v>674495.44095919258</v>
      </c>
      <c r="T22">
        <f t="shared" si="39"/>
        <v>713802.47472957196</v>
      </c>
      <c r="U22">
        <f t="shared" si="39"/>
        <v>752621.75297009619</v>
      </c>
      <c r="V22">
        <f t="shared" si="39"/>
        <v>790959.32817147952</v>
      </c>
      <c r="W22">
        <f t="shared" si="39"/>
        <v>828821.17771991855</v>
      </c>
      <c r="X22">
        <f t="shared" si="39"/>
        <v>866213.20482905407</v>
      </c>
      <c r="Y22">
        <f t="shared" si="39"/>
        <v>903141.23946036724</v>
      </c>
      <c r="Z22">
        <f t="shared" si="39"/>
        <v>939611.03923215566</v>
      </c>
      <c r="AA22">
        <f t="shared" si="39"/>
        <v>975628.29031723016</v>
      </c>
      <c r="AB22">
        <f t="shared" si="40"/>
        <v>1012032.0460408395</v>
      </c>
      <c r="AC22">
        <f t="shared" si="8"/>
        <v>1049702.8891174519</v>
      </c>
      <c r="AD22">
        <f t="shared" si="9"/>
        <v>1086998.8948646528</v>
      </c>
      <c r="AE22">
        <f t="shared" si="10"/>
        <v>1123923.79303766</v>
      </c>
      <c r="AH22" t="s">
        <v>43</v>
      </c>
      <c r="AI22">
        <f t="shared" si="3"/>
        <v>32000</v>
      </c>
      <c r="AJ22">
        <f t="shared" si="11"/>
        <v>80000</v>
      </c>
      <c r="AK22">
        <f t="shared" si="12"/>
        <v>128000</v>
      </c>
      <c r="AL22">
        <f t="shared" si="13"/>
        <v>176000</v>
      </c>
      <c r="AM22">
        <f t="shared" si="14"/>
        <v>224000</v>
      </c>
      <c r="AN22">
        <f t="shared" si="15"/>
        <v>272000</v>
      </c>
      <c r="AO22">
        <f t="shared" si="16"/>
        <v>320000</v>
      </c>
      <c r="AP22">
        <f t="shared" si="17"/>
        <v>368000</v>
      </c>
      <c r="AQ22">
        <f t="shared" si="18"/>
        <v>416000</v>
      </c>
      <c r="AR22">
        <f t="shared" si="19"/>
        <v>464000</v>
      </c>
      <c r="AS22">
        <f t="shared" si="20"/>
        <v>512000</v>
      </c>
      <c r="AT22">
        <f t="shared" si="21"/>
        <v>560000</v>
      </c>
      <c r="AU22">
        <f t="shared" si="22"/>
        <v>608000</v>
      </c>
      <c r="AV22">
        <f t="shared" si="23"/>
        <v>656000</v>
      </c>
      <c r="AW22">
        <f t="shared" si="24"/>
        <v>704000</v>
      </c>
      <c r="AX22">
        <f t="shared" si="25"/>
        <v>752000</v>
      </c>
      <c r="AY22">
        <f t="shared" si="26"/>
        <v>800000</v>
      </c>
      <c r="AZ22">
        <f t="shared" si="27"/>
        <v>848000</v>
      </c>
      <c r="BA22">
        <f t="shared" si="28"/>
        <v>896000</v>
      </c>
      <c r="BB22">
        <f t="shared" si="29"/>
        <v>944000</v>
      </c>
      <c r="BC22">
        <f t="shared" si="30"/>
        <v>992000</v>
      </c>
      <c r="BD22">
        <f t="shared" si="31"/>
        <v>1040000</v>
      </c>
      <c r="BE22">
        <f t="shared" si="32"/>
        <v>1088000</v>
      </c>
      <c r="BF22">
        <f t="shared" si="33"/>
        <v>1136000</v>
      </c>
      <c r="BG22">
        <f t="shared" si="34"/>
        <v>1184000</v>
      </c>
      <c r="BH22">
        <f t="shared" si="35"/>
        <v>1232000</v>
      </c>
      <c r="BI22">
        <f t="shared" si="36"/>
        <v>1280000</v>
      </c>
      <c r="BJ22">
        <f t="shared" si="37"/>
        <v>1328000</v>
      </c>
    </row>
    <row r="23" spans="1:62" x14ac:dyDescent="0.3">
      <c r="C23" t="s">
        <v>44</v>
      </c>
      <c r="D23">
        <f t="shared" si="0"/>
        <v>35738.220558380264</v>
      </c>
      <c r="E23">
        <f t="shared" si="41"/>
        <v>82664.000071544477</v>
      </c>
      <c r="F23">
        <f t="shared" si="41"/>
        <v>128774.20968571118</v>
      </c>
      <c r="G23">
        <f t="shared" si="41"/>
        <v>174083.02400313635</v>
      </c>
      <c r="H23">
        <f t="shared" si="41"/>
        <v>218604.37127153372</v>
      </c>
      <c r="I23">
        <f t="shared" si="42"/>
        <v>262567.66757646832</v>
      </c>
      <c r="J23">
        <f t="shared" si="38"/>
        <v>306267.89927478362</v>
      </c>
      <c r="K23">
        <f t="shared" si="38"/>
        <v>349317.11535928096</v>
      </c>
      <c r="L23">
        <f t="shared" si="38"/>
        <v>391725.01420713053</v>
      </c>
      <c r="M23">
        <f t="shared" si="38"/>
        <v>433501.14971583424</v>
      </c>
      <c r="N23">
        <f t="shared" si="38"/>
        <v>474654.93345558405</v>
      </c>
      <c r="O23">
        <f t="shared" si="39"/>
        <v>515729.10226823972</v>
      </c>
      <c r="P23">
        <f t="shared" si="39"/>
        <v>557006.24551326805</v>
      </c>
      <c r="Q23">
        <f t="shared" si="39"/>
        <v>597771.18641324027</v>
      </c>
      <c r="R23">
        <f t="shared" si="39"/>
        <v>638030.28081600962</v>
      </c>
      <c r="S23">
        <f t="shared" si="39"/>
        <v>677789.80570059502</v>
      </c>
      <c r="T23">
        <f t="shared" si="39"/>
        <v>717055.96015585319</v>
      </c>
      <c r="U23">
        <f t="shared" si="39"/>
        <v>755834.86634700734</v>
      </c>
      <c r="V23">
        <f t="shared" si="39"/>
        <v>794132.57047018118</v>
      </c>
      <c r="W23">
        <f t="shared" si="39"/>
        <v>831955.04369508987</v>
      </c>
      <c r="X23">
        <f t="shared" si="39"/>
        <v>869308.18309603189</v>
      </c>
      <c r="Y23">
        <f t="shared" si="39"/>
        <v>906197.81257132848</v>
      </c>
      <c r="Z23">
        <f t="shared" si="39"/>
        <v>942629.68375135423</v>
      </c>
      <c r="AA23">
        <f t="shared" si="39"/>
        <v>978609.47689530021</v>
      </c>
      <c r="AB23">
        <f t="shared" si="40"/>
        <v>1015185.6913464875</v>
      </c>
      <c r="AC23">
        <f t="shared" si="8"/>
        <v>1052825.1546108171</v>
      </c>
      <c r="AD23">
        <f t="shared" si="9"/>
        <v>1090090.0927852306</v>
      </c>
      <c r="AE23">
        <f t="shared" si="10"/>
        <v>1126984.2325180597</v>
      </c>
      <c r="AH23" t="s">
        <v>44</v>
      </c>
      <c r="AI23">
        <f t="shared" si="3"/>
        <v>36000</v>
      </c>
      <c r="AJ23">
        <f t="shared" si="11"/>
        <v>84000</v>
      </c>
      <c r="AK23">
        <f t="shared" si="12"/>
        <v>132000</v>
      </c>
      <c r="AL23">
        <f t="shared" si="13"/>
        <v>180000</v>
      </c>
      <c r="AM23">
        <f t="shared" si="14"/>
        <v>228000</v>
      </c>
      <c r="AN23">
        <f t="shared" si="15"/>
        <v>276000</v>
      </c>
      <c r="AO23">
        <f t="shared" si="16"/>
        <v>324000</v>
      </c>
      <c r="AP23">
        <f t="shared" si="17"/>
        <v>372000</v>
      </c>
      <c r="AQ23">
        <f t="shared" si="18"/>
        <v>420000</v>
      </c>
      <c r="AR23">
        <f t="shared" si="19"/>
        <v>468000</v>
      </c>
      <c r="AS23">
        <f t="shared" si="20"/>
        <v>516000</v>
      </c>
      <c r="AT23">
        <f t="shared" si="21"/>
        <v>564000</v>
      </c>
      <c r="AU23">
        <f t="shared" si="22"/>
        <v>612000</v>
      </c>
      <c r="AV23">
        <f t="shared" si="23"/>
        <v>660000</v>
      </c>
      <c r="AW23">
        <f t="shared" si="24"/>
        <v>708000</v>
      </c>
      <c r="AX23">
        <f t="shared" si="25"/>
        <v>756000</v>
      </c>
      <c r="AY23">
        <f t="shared" si="26"/>
        <v>804000</v>
      </c>
      <c r="AZ23">
        <f t="shared" si="27"/>
        <v>852000</v>
      </c>
      <c r="BA23">
        <f t="shared" si="28"/>
        <v>900000</v>
      </c>
      <c r="BB23">
        <f t="shared" si="29"/>
        <v>948000</v>
      </c>
      <c r="BC23">
        <f t="shared" si="30"/>
        <v>996000</v>
      </c>
      <c r="BD23">
        <f t="shared" si="31"/>
        <v>1044000</v>
      </c>
      <c r="BE23">
        <f t="shared" si="32"/>
        <v>1092000</v>
      </c>
      <c r="BF23">
        <f t="shared" si="33"/>
        <v>1140000</v>
      </c>
      <c r="BG23">
        <f t="shared" si="34"/>
        <v>1188000</v>
      </c>
      <c r="BH23">
        <f t="shared" si="35"/>
        <v>1236000</v>
      </c>
      <c r="BI23">
        <f t="shared" si="36"/>
        <v>1284000</v>
      </c>
      <c r="BJ23">
        <f t="shared" si="37"/>
        <v>1332000</v>
      </c>
    </row>
    <row r="24" spans="1:62" x14ac:dyDescent="0.3">
      <c r="C24" t="s">
        <v>45</v>
      </c>
      <c r="D24">
        <f t="shared" si="0"/>
        <v>39680.202756365026</v>
      </c>
      <c r="E24">
        <f t="shared" si="41"/>
        <v>86537.470631440025</v>
      </c>
      <c r="F24">
        <f t="shared" si="41"/>
        <v>132580.35933957004</v>
      </c>
      <c r="G24">
        <f t="shared" si="41"/>
        <v>177823.02278809177</v>
      </c>
      <c r="H24">
        <f t="shared" si="41"/>
        <v>222279.36888947728</v>
      </c>
      <c r="I24">
        <f t="shared" si="42"/>
        <v>266234.45799199771</v>
      </c>
      <c r="J24">
        <f t="shared" si="38"/>
        <v>309880.06440069014</v>
      </c>
      <c r="K24">
        <f t="shared" si="38"/>
        <v>352875.46896508185</v>
      </c>
      <c r="L24">
        <f t="shared" si="38"/>
        <v>395230.35793937161</v>
      </c>
      <c r="M24">
        <f t="shared" si="38"/>
        <v>436954.27327868942</v>
      </c>
      <c r="N24">
        <f t="shared" si="38"/>
        <v>478056.61478876456</v>
      </c>
      <c r="O24">
        <f t="shared" si="39"/>
        <v>519188.58400188072</v>
      </c>
      <c r="P24">
        <f t="shared" si="39"/>
        <v>560422.79901793425</v>
      </c>
      <c r="Q24">
        <f t="shared" si="39"/>
        <v>601145.34437937045</v>
      </c>
      <c r="R24">
        <f t="shared" si="39"/>
        <v>641362.56932396092</v>
      </c>
      <c r="S24">
        <f t="shared" si="39"/>
        <v>681080.7443026664</v>
      </c>
      <c r="T24">
        <f t="shared" si="39"/>
        <v>720306.06195729109</v>
      </c>
      <c r="U24">
        <f t="shared" si="39"/>
        <v>759044.63808600639</v>
      </c>
      <c r="V24">
        <f t="shared" si="39"/>
        <v>797302.51259689219</v>
      </c>
      <c r="W24">
        <f t="shared" si="39"/>
        <v>835085.65044964699</v>
      </c>
      <c r="X24">
        <f t="shared" si="39"/>
        <v>872399.94258561207</v>
      </c>
      <c r="Y24">
        <f t="shared" si="39"/>
        <v>909251.2068462543</v>
      </c>
      <c r="Z24">
        <f t="shared" si="39"/>
        <v>945645.18888025277</v>
      </c>
      <c r="AA24">
        <f t="shared" si="39"/>
        <v>981587.56303932914</v>
      </c>
      <c r="AB24">
        <f t="shared" si="40"/>
        <v>1018336.7096655959</v>
      </c>
      <c r="AC24">
        <f t="shared" si="8"/>
        <v>1055944.8192570263</v>
      </c>
      <c r="AD24">
        <f t="shared" si="9"/>
        <v>1093178.7157379405</v>
      </c>
      <c r="AE24">
        <f t="shared" si="10"/>
        <v>1130042.1226523721</v>
      </c>
      <c r="AH24" t="s">
        <v>45</v>
      </c>
      <c r="AI24">
        <f t="shared" si="3"/>
        <v>40000</v>
      </c>
      <c r="AJ24">
        <f t="shared" si="11"/>
        <v>88000</v>
      </c>
      <c r="AK24">
        <f t="shared" si="12"/>
        <v>136000</v>
      </c>
      <c r="AL24">
        <f t="shared" si="13"/>
        <v>184000</v>
      </c>
      <c r="AM24">
        <f t="shared" si="14"/>
        <v>232000</v>
      </c>
      <c r="AN24">
        <f t="shared" si="15"/>
        <v>280000</v>
      </c>
      <c r="AO24">
        <f t="shared" si="16"/>
        <v>328000</v>
      </c>
      <c r="AP24">
        <f t="shared" si="17"/>
        <v>376000</v>
      </c>
      <c r="AQ24">
        <f t="shared" si="18"/>
        <v>424000</v>
      </c>
      <c r="AR24">
        <f t="shared" si="19"/>
        <v>472000</v>
      </c>
      <c r="AS24">
        <f t="shared" si="20"/>
        <v>520000</v>
      </c>
      <c r="AT24">
        <f t="shared" si="21"/>
        <v>568000</v>
      </c>
      <c r="AU24">
        <f t="shared" si="22"/>
        <v>616000</v>
      </c>
      <c r="AV24">
        <f t="shared" si="23"/>
        <v>664000</v>
      </c>
      <c r="AW24">
        <f t="shared" si="24"/>
        <v>712000</v>
      </c>
      <c r="AX24">
        <f t="shared" si="25"/>
        <v>760000</v>
      </c>
      <c r="AY24">
        <f t="shared" si="26"/>
        <v>808000</v>
      </c>
      <c r="AZ24">
        <f t="shared" si="27"/>
        <v>856000</v>
      </c>
      <c r="BA24">
        <f t="shared" si="28"/>
        <v>904000</v>
      </c>
      <c r="BB24">
        <f t="shared" si="29"/>
        <v>952000</v>
      </c>
      <c r="BC24">
        <f t="shared" si="30"/>
        <v>1000000</v>
      </c>
      <c r="BD24">
        <f t="shared" si="31"/>
        <v>1048000</v>
      </c>
      <c r="BE24">
        <f t="shared" si="32"/>
        <v>1096000</v>
      </c>
      <c r="BF24">
        <f t="shared" si="33"/>
        <v>1144000</v>
      </c>
      <c r="BG24">
        <f t="shared" si="34"/>
        <v>1192000</v>
      </c>
      <c r="BH24">
        <f t="shared" si="35"/>
        <v>1240000</v>
      </c>
      <c r="BI24">
        <f t="shared" si="36"/>
        <v>1288000</v>
      </c>
      <c r="BJ24">
        <f t="shared" si="37"/>
        <v>1336000</v>
      </c>
    </row>
    <row r="25" spans="1:62" x14ac:dyDescent="0.3">
      <c r="C25" t="s">
        <v>46</v>
      </c>
      <c r="D25">
        <f t="shared" si="0"/>
        <v>43616.429660340735</v>
      </c>
      <c r="E25">
        <f t="shared" si="41"/>
        <v>90405.285924318116</v>
      </c>
      <c r="F25">
        <f t="shared" si="41"/>
        <v>136380.95201493427</v>
      </c>
      <c r="G25">
        <f t="shared" si="41"/>
        <v>181557.56117482117</v>
      </c>
      <c r="H25">
        <f t="shared" si="41"/>
        <v>225949.00101089865</v>
      </c>
      <c r="I25">
        <f t="shared" si="42"/>
        <v>269896.66491950769</v>
      </c>
      <c r="J25">
        <f t="shared" si="38"/>
        <v>313487.71432018926</v>
      </c>
      <c r="K25">
        <f t="shared" si="38"/>
        <v>356429.37462887552</v>
      </c>
      <c r="L25">
        <f t="shared" si="38"/>
        <v>398731.31999194738</v>
      </c>
      <c r="M25">
        <f t="shared" si="38"/>
        <v>440403.08043709106</v>
      </c>
      <c r="N25">
        <f t="shared" si="38"/>
        <v>481454.04402027861</v>
      </c>
      <c r="O25">
        <f t="shared" si="39"/>
        <v>522644.46787451877</v>
      </c>
      <c r="P25">
        <f t="shared" si="39"/>
        <v>563835.79930695554</v>
      </c>
      <c r="Q25">
        <f t="shared" si="39"/>
        <v>604515.9932212159</v>
      </c>
      <c r="R25">
        <f t="shared" si="39"/>
        <v>644691.39225186396</v>
      </c>
      <c r="S25">
        <f t="shared" si="39"/>
        <v>684368.26032859157</v>
      </c>
      <c r="T25">
        <f t="shared" si="39"/>
        <v>723552.78365285555</v>
      </c>
      <c r="U25">
        <f t="shared" si="39"/>
        <v>762251.07166239689</v>
      </c>
      <c r="V25">
        <f t="shared" si="39"/>
        <v>800469.15798379143</v>
      </c>
      <c r="W25">
        <f t="shared" si="39"/>
        <v>838213.00137317937</v>
      </c>
      <c r="X25">
        <f t="shared" si="39"/>
        <v>875488.48664532299</v>
      </c>
      <c r="Y25">
        <f t="shared" si="39"/>
        <v>912301.42559113423</v>
      </c>
      <c r="Z25">
        <f t="shared" si="39"/>
        <v>948657.55788381735</v>
      </c>
      <c r="AA25">
        <f t="shared" si="39"/>
        <v>984562.55197376828</v>
      </c>
      <c r="AB25">
        <f t="shared" si="40"/>
        <v>1021485.1031864445</v>
      </c>
      <c r="AC25">
        <f t="shared" si="8"/>
        <v>1059061.8852225852</v>
      </c>
      <c r="AD25">
        <f t="shared" si="9"/>
        <v>1096264.7658677308</v>
      </c>
      <c r="AE25">
        <f t="shared" si="10"/>
        <v>1133097.4655642028</v>
      </c>
      <c r="AH25" t="s">
        <v>46</v>
      </c>
      <c r="AI25">
        <f t="shared" si="3"/>
        <v>44000</v>
      </c>
      <c r="AJ25">
        <f t="shared" si="11"/>
        <v>92000</v>
      </c>
      <c r="AK25">
        <f t="shared" si="12"/>
        <v>140000</v>
      </c>
      <c r="AL25">
        <f t="shared" si="13"/>
        <v>188000</v>
      </c>
      <c r="AM25">
        <f t="shared" si="14"/>
        <v>236000</v>
      </c>
      <c r="AN25">
        <f t="shared" si="15"/>
        <v>284000</v>
      </c>
      <c r="AO25">
        <f t="shared" si="16"/>
        <v>332000</v>
      </c>
      <c r="AP25">
        <f t="shared" si="17"/>
        <v>380000</v>
      </c>
      <c r="AQ25">
        <f t="shared" si="18"/>
        <v>428000</v>
      </c>
      <c r="AR25">
        <f t="shared" si="19"/>
        <v>476000</v>
      </c>
      <c r="AS25">
        <f t="shared" si="20"/>
        <v>524000</v>
      </c>
      <c r="AT25">
        <f t="shared" si="21"/>
        <v>572000</v>
      </c>
      <c r="AU25">
        <f t="shared" si="22"/>
        <v>620000</v>
      </c>
      <c r="AV25">
        <f t="shared" si="23"/>
        <v>668000</v>
      </c>
      <c r="AW25">
        <f t="shared" si="24"/>
        <v>716000</v>
      </c>
      <c r="AX25">
        <f t="shared" si="25"/>
        <v>764000</v>
      </c>
      <c r="AY25">
        <f t="shared" si="26"/>
        <v>812000</v>
      </c>
      <c r="AZ25">
        <f t="shared" si="27"/>
        <v>860000</v>
      </c>
      <c r="BA25">
        <f t="shared" si="28"/>
        <v>908000</v>
      </c>
      <c r="BB25">
        <f t="shared" si="29"/>
        <v>956000</v>
      </c>
      <c r="BC25">
        <f t="shared" si="30"/>
        <v>1004000</v>
      </c>
      <c r="BD25">
        <f t="shared" si="31"/>
        <v>1052000</v>
      </c>
      <c r="BE25">
        <f t="shared" si="32"/>
        <v>1100000</v>
      </c>
      <c r="BF25">
        <f t="shared" si="33"/>
        <v>1148000</v>
      </c>
      <c r="BG25">
        <f t="shared" si="34"/>
        <v>1196000</v>
      </c>
      <c r="BH25">
        <f t="shared" si="35"/>
        <v>1244000</v>
      </c>
      <c r="BI25">
        <f t="shared" si="36"/>
        <v>1292000</v>
      </c>
      <c r="BJ25">
        <f t="shared" si="37"/>
        <v>1340000</v>
      </c>
    </row>
    <row r="26" spans="1:62" x14ac:dyDescent="0.3">
      <c r="C26" t="s">
        <v>47</v>
      </c>
      <c r="D26">
        <f t="shared" si="0"/>
        <v>47546.909673036636</v>
      </c>
      <c r="E26">
        <f t="shared" si="41"/>
        <v>94267.454206868613</v>
      </c>
      <c r="F26">
        <f t="shared" si="41"/>
        <v>140175.99582499248</v>
      </c>
      <c r="G26">
        <f t="shared" si="41"/>
        <v>185286.64713550592</v>
      </c>
      <c r="H26">
        <f t="shared" si="41"/>
        <v>229613.27546942275</v>
      </c>
      <c r="I26">
        <f t="shared" si="42"/>
        <v>273554.29408835829</v>
      </c>
      <c r="J26">
        <f t="shared" si="38"/>
        <v>317090.85467728903</v>
      </c>
      <c r="K26">
        <f t="shared" si="38"/>
        <v>359978.83791058941</v>
      </c>
      <c r="L26">
        <f t="shared" si="38"/>
        <v>402227.90584195743</v>
      </c>
      <c r="M26">
        <f t="shared" si="38"/>
        <v>443847.57658654469</v>
      </c>
      <c r="N26">
        <f t="shared" si="38"/>
        <v>484847.22646525328</v>
      </c>
      <c r="O26">
        <f t="shared" si="39"/>
        <v>526096.75762792933</v>
      </c>
      <c r="P26">
        <f t="shared" si="39"/>
        <v>567245.25007567636</v>
      </c>
      <c r="Q26">
        <f t="shared" si="39"/>
        <v>607883.13658826589</v>
      </c>
      <c r="R26">
        <f t="shared" si="39"/>
        <v>648016.75320392207</v>
      </c>
      <c r="S26">
        <f t="shared" si="39"/>
        <v>687652.3573378498</v>
      </c>
      <c r="T26">
        <f t="shared" si="39"/>
        <v>726796.12875785655</v>
      </c>
      <c r="U26">
        <f t="shared" si="39"/>
        <v>765454.17054786801</v>
      </c>
      <c r="V26">
        <f t="shared" si="39"/>
        <v>803632.51005948824</v>
      </c>
      <c r="W26" s="3">
        <f t="shared" si="39"/>
        <v>841337.09985175123</v>
      </c>
      <c r="X26">
        <f t="shared" si="39"/>
        <v>878573.8186192119</v>
      </c>
      <c r="Y26">
        <f t="shared" si="39"/>
        <v>915348.4721085194</v>
      </c>
      <c r="Z26">
        <f t="shared" si="39"/>
        <v>951666.79402361822</v>
      </c>
      <c r="AA26">
        <f t="shared" si="39"/>
        <v>987534.44691971561</v>
      </c>
      <c r="AB26" s="3">
        <f t="shared" si="40"/>
        <v>1024630.8740954902</v>
      </c>
      <c r="AC26">
        <f t="shared" si="8"/>
        <v>1062176.3546721947</v>
      </c>
      <c r="AD26">
        <f t="shared" si="9"/>
        <v>1099348.245317763</v>
      </c>
      <c r="AE26">
        <f t="shared" si="10"/>
        <v>1136150.2633753878</v>
      </c>
      <c r="AH26" t="s">
        <v>47</v>
      </c>
      <c r="AI26">
        <f t="shared" si="3"/>
        <v>48000</v>
      </c>
      <c r="AJ26">
        <f t="shared" si="11"/>
        <v>96000</v>
      </c>
      <c r="AK26">
        <f t="shared" si="12"/>
        <v>144000</v>
      </c>
      <c r="AL26">
        <f t="shared" si="13"/>
        <v>192000</v>
      </c>
      <c r="AM26">
        <f t="shared" si="14"/>
        <v>240000</v>
      </c>
      <c r="AN26">
        <f t="shared" si="15"/>
        <v>288000</v>
      </c>
      <c r="AO26">
        <f t="shared" si="16"/>
        <v>336000</v>
      </c>
      <c r="AP26">
        <f t="shared" si="17"/>
        <v>384000</v>
      </c>
      <c r="AQ26">
        <f t="shared" si="18"/>
        <v>432000</v>
      </c>
      <c r="AR26">
        <f t="shared" si="19"/>
        <v>480000</v>
      </c>
      <c r="AS26">
        <f t="shared" si="20"/>
        <v>528000</v>
      </c>
      <c r="AT26">
        <f t="shared" si="21"/>
        <v>576000</v>
      </c>
      <c r="AU26">
        <f t="shared" si="22"/>
        <v>624000</v>
      </c>
      <c r="AV26">
        <f t="shared" si="23"/>
        <v>672000</v>
      </c>
      <c r="AW26">
        <f t="shared" si="24"/>
        <v>720000</v>
      </c>
      <c r="AX26">
        <f t="shared" si="25"/>
        <v>768000</v>
      </c>
      <c r="AY26">
        <f t="shared" si="26"/>
        <v>816000</v>
      </c>
      <c r="AZ26">
        <f t="shared" si="27"/>
        <v>864000</v>
      </c>
      <c r="BA26">
        <f t="shared" si="28"/>
        <v>912000</v>
      </c>
      <c r="BB26" s="3">
        <f t="shared" si="29"/>
        <v>960000</v>
      </c>
      <c r="BC26">
        <f t="shared" si="30"/>
        <v>1008000</v>
      </c>
      <c r="BD26">
        <f t="shared" si="31"/>
        <v>1056000</v>
      </c>
      <c r="BE26">
        <f t="shared" si="32"/>
        <v>1104000</v>
      </c>
      <c r="BF26">
        <f t="shared" si="33"/>
        <v>1152000</v>
      </c>
      <c r="BG26" s="3">
        <f t="shared" si="34"/>
        <v>1200000</v>
      </c>
      <c r="BH26">
        <f t="shared" si="35"/>
        <v>1248000</v>
      </c>
      <c r="BI26">
        <f t="shared" si="36"/>
        <v>1296000</v>
      </c>
      <c r="BJ26">
        <f t="shared" si="37"/>
        <v>1344000</v>
      </c>
    </row>
    <row r="28" spans="1:62" x14ac:dyDescent="0.3">
      <c r="AB28" s="2" t="s">
        <v>49</v>
      </c>
      <c r="BG28" s="2" t="s">
        <v>49</v>
      </c>
    </row>
    <row r="29" spans="1:62" x14ac:dyDescent="0.3">
      <c r="AB29" s="2" t="s">
        <v>50</v>
      </c>
      <c r="BG29" s="2" t="s">
        <v>50</v>
      </c>
    </row>
    <row r="30" spans="1:62" x14ac:dyDescent="0.3">
      <c r="AB30" s="2" t="s">
        <v>51</v>
      </c>
      <c r="BG30" s="2" t="s">
        <v>51</v>
      </c>
    </row>
    <row r="31" spans="1:62" x14ac:dyDescent="0.3">
      <c r="AB31" s="2" t="s">
        <v>53</v>
      </c>
      <c r="BG31" s="2" t="s">
        <v>53</v>
      </c>
    </row>
    <row r="32" spans="1:62" x14ac:dyDescent="0.3">
      <c r="D32" t="s">
        <v>52</v>
      </c>
      <c r="AI32" t="s">
        <v>52</v>
      </c>
      <c r="AJ32" t="s">
        <v>66</v>
      </c>
    </row>
    <row r="33" spans="1:62" x14ac:dyDescent="0.3">
      <c r="D33" t="s">
        <v>14</v>
      </c>
      <c r="AI33" t="s">
        <v>14</v>
      </c>
    </row>
    <row r="34" spans="1:62" x14ac:dyDescent="0.3">
      <c r="D34" t="s">
        <v>54</v>
      </c>
      <c r="AI34" t="s">
        <v>54</v>
      </c>
    </row>
    <row r="35" spans="1:62" x14ac:dyDescent="0.3">
      <c r="D35" t="s">
        <v>15</v>
      </c>
      <c r="E35" t="s">
        <v>16</v>
      </c>
      <c r="F35" t="s">
        <v>17</v>
      </c>
      <c r="G35" t="s">
        <v>18</v>
      </c>
      <c r="H35" t="s">
        <v>19</v>
      </c>
      <c r="I35" t="s">
        <v>20</v>
      </c>
      <c r="J35" t="s">
        <v>21</v>
      </c>
      <c r="K35" t="s">
        <v>22</v>
      </c>
      <c r="L35" t="s">
        <v>23</v>
      </c>
      <c r="M35" t="s">
        <v>24</v>
      </c>
      <c r="N35" t="s">
        <v>25</v>
      </c>
      <c r="O35" t="s">
        <v>26</v>
      </c>
      <c r="P35" t="s">
        <v>27</v>
      </c>
      <c r="Q35" t="s">
        <v>28</v>
      </c>
      <c r="R35" t="s">
        <v>29</v>
      </c>
      <c r="S35" t="s">
        <v>30</v>
      </c>
      <c r="T35" t="s">
        <v>31</v>
      </c>
      <c r="U35" t="s">
        <v>32</v>
      </c>
      <c r="V35" t="s">
        <v>33</v>
      </c>
      <c r="W35" t="s">
        <v>34</v>
      </c>
      <c r="X35" t="s">
        <v>35</v>
      </c>
      <c r="Y35" t="s">
        <v>36</v>
      </c>
      <c r="Z35" t="s">
        <v>37</v>
      </c>
      <c r="AA35" t="s">
        <v>38</v>
      </c>
      <c r="AB35" t="s">
        <v>39</v>
      </c>
      <c r="AC35" t="s">
        <v>67</v>
      </c>
      <c r="AD35" t="s">
        <v>68</v>
      </c>
      <c r="AE35" t="s">
        <v>69</v>
      </c>
      <c r="AI35" t="s">
        <v>15</v>
      </c>
      <c r="AJ35" t="s">
        <v>16</v>
      </c>
      <c r="AK35" t="s">
        <v>17</v>
      </c>
      <c r="AL35" t="s">
        <v>18</v>
      </c>
      <c r="AM35" t="s">
        <v>19</v>
      </c>
      <c r="AN35" t="s">
        <v>20</v>
      </c>
      <c r="AO35" t="s">
        <v>21</v>
      </c>
      <c r="AP35" t="s">
        <v>22</v>
      </c>
      <c r="AQ35" t="s">
        <v>23</v>
      </c>
      <c r="AR35" t="s">
        <v>24</v>
      </c>
      <c r="AS35" t="s">
        <v>25</v>
      </c>
      <c r="AT35" t="s">
        <v>26</v>
      </c>
      <c r="AU35" t="s">
        <v>27</v>
      </c>
      <c r="AV35" t="s">
        <v>28</v>
      </c>
      <c r="AW35" t="s">
        <v>29</v>
      </c>
      <c r="AX35" t="s">
        <v>30</v>
      </c>
      <c r="AY35" t="s">
        <v>31</v>
      </c>
      <c r="AZ35" t="s">
        <v>32</v>
      </c>
      <c r="BA35" t="s">
        <v>33</v>
      </c>
      <c r="BB35" t="s">
        <v>34</v>
      </c>
      <c r="BC35" t="s">
        <v>35</v>
      </c>
      <c r="BD35" t="s">
        <v>36</v>
      </c>
      <c r="BE35" t="s">
        <v>37</v>
      </c>
      <c r="BF35" t="s">
        <v>38</v>
      </c>
      <c r="BG35" t="s">
        <v>39</v>
      </c>
      <c r="BH35" t="s">
        <v>67</v>
      </c>
      <c r="BI35" t="s">
        <v>68</v>
      </c>
      <c r="BJ35" t="s">
        <v>69</v>
      </c>
    </row>
    <row r="36" spans="1:62" x14ac:dyDescent="0.3">
      <c r="D36">
        <v>0</v>
      </c>
      <c r="AI36">
        <v>0</v>
      </c>
    </row>
    <row r="37" spans="1:62" x14ac:dyDescent="0.3">
      <c r="D37">
        <f t="shared" ref="D37:D48" si="43">(D36+4000)*1.00328-(0.00146*(D36+4000))</f>
        <v>4007.2799999999997</v>
      </c>
      <c r="E37">
        <f>(D48+4000)*1.00328-(0.00146*(D48+4000))</f>
        <v>52667.327080890354</v>
      </c>
      <c r="F37">
        <f>(E48+4000)*1.00328-(0.00146*(E48+4000))</f>
        <v>102400.81237380327</v>
      </c>
      <c r="G37">
        <f>(F48+4000)*1.00328-(0.00146*(F48+4000))</f>
        <v>153231.41587216567</v>
      </c>
      <c r="H37">
        <f>(G48+4000)*1.00328-(0.00146*(G48+4000))</f>
        <v>205183.33994887865</v>
      </c>
      <c r="I37">
        <f>(H48+4000)*1.00328-(0.00125*(H48+4000))</f>
        <v>258388.77313596004</v>
      </c>
      <c r="J37">
        <f>(I48+4000)*1.00328-(0.00125*(I48+4000))</f>
        <v>313391.97611163638</v>
      </c>
      <c r="K37">
        <f>(J48+4000)*1.00328-(0.00125*(J48+4000))</f>
        <v>369750.11854136712</v>
      </c>
      <c r="L37">
        <f>(K48+4000)*1.00328-(0.00125*(K48+4000))</f>
        <v>427496.57777092204</v>
      </c>
      <c r="M37">
        <f>(L48+4000)*1.00328-(0.00125*(L48+4000))</f>
        <v>486665.55335787282</v>
      </c>
      <c r="N37">
        <f t="shared" ref="N37:T37" si="44">(M48+4000)*1.00328-(0.00104*(M48+4000))</f>
        <v>548402.09877008246</v>
      </c>
      <c r="O37">
        <f t="shared" si="44"/>
        <v>612030.7721887537</v>
      </c>
      <c r="P37">
        <f t="shared" si="44"/>
        <v>677391.0138509419</v>
      </c>
      <c r="Q37">
        <f t="shared" si="44"/>
        <v>744529.94604320242</v>
      </c>
      <c r="R37">
        <f t="shared" si="44"/>
        <v>813495.97342135198</v>
      </c>
      <c r="S37">
        <f t="shared" si="44"/>
        <v>884338.81790841324</v>
      </c>
      <c r="T37">
        <f t="shared" si="44"/>
        <v>957109.55454225955</v>
      </c>
      <c r="U37">
        <f t="shared" ref="U37:AE37" si="45">(T48+4000)*1.00328-(0.00125*(T48+4000))</f>
        <v>1032697.7861977511</v>
      </c>
      <c r="V37">
        <f t="shared" si="45"/>
        <v>1106775.1843960464</v>
      </c>
      <c r="W37">
        <f t="shared" si="45"/>
        <v>1182677.3924970843</v>
      </c>
      <c r="X37">
        <f t="shared" si="45"/>
        <v>1260449.3625545558</v>
      </c>
      <c r="Y37">
        <f t="shared" si="45"/>
        <v>1340137.1539633221</v>
      </c>
      <c r="Z37">
        <f t="shared" si="45"/>
        <v>1421787.9607374656</v>
      </c>
      <c r="AA37">
        <f t="shared" si="45"/>
        <v>1505450.1394603048</v>
      </c>
      <c r="AB37">
        <f t="shared" si="45"/>
        <v>1591173.237922925</v>
      </c>
      <c r="AC37">
        <f t="shared" si="45"/>
        <v>1679008.0244681856</v>
      </c>
      <c r="AD37">
        <f t="shared" si="45"/>
        <v>1769006.5180575845</v>
      </c>
      <c r="AE37">
        <f t="shared" si="45"/>
        <v>1861222.0190787809</v>
      </c>
      <c r="AI37">
        <f t="shared" ref="AI37:AI48" si="46">(AI36+4000)*1.00328-0</f>
        <v>4013.12</v>
      </c>
      <c r="AJ37">
        <f t="shared" ref="AJ37:BJ37" si="47">(AI48+4000)*1.00328-0</f>
        <v>53209.726453206851</v>
      </c>
      <c r="AK37">
        <f t="shared" si="47"/>
        <v>104378.02836287051</v>
      </c>
      <c r="AL37">
        <f t="shared" si="47"/>
        <v>157597.04709353799</v>
      </c>
      <c r="AM37">
        <f t="shared" si="47"/>
        <v>212948.97101814701</v>
      </c>
      <c r="AN37">
        <f t="shared" si="47"/>
        <v>270519.28244499373</v>
      </c>
      <c r="AO37">
        <f t="shared" si="47"/>
        <v>330396.88963166246</v>
      </c>
      <c r="AP37">
        <f t="shared" si="47"/>
        <v>392674.26408979436</v>
      </c>
      <c r="AQ37">
        <f t="shared" si="47"/>
        <v>457447.58339273895</v>
      </c>
      <c r="AR37">
        <f t="shared" si="47"/>
        <v>524816.8797066327</v>
      </c>
      <c r="AS37">
        <f t="shared" si="47"/>
        <v>594886.19427428825</v>
      </c>
      <c r="AT37">
        <f t="shared" si="47"/>
        <v>667763.73809046939</v>
      </c>
      <c r="AU37">
        <f t="shared" si="47"/>
        <v>743562.05901668908</v>
      </c>
      <c r="AV37">
        <f t="shared" si="47"/>
        <v>822398.21559361427</v>
      </c>
      <c r="AW37">
        <f t="shared" si="47"/>
        <v>904393.95781950257</v>
      </c>
      <c r="AX37">
        <f t="shared" si="47"/>
        <v>989675.91517385445</v>
      </c>
      <c r="AY37">
        <f t="shared" si="47"/>
        <v>1078375.7921766532</v>
      </c>
      <c r="AZ37">
        <f t="shared" si="47"/>
        <v>1170630.5717852046</v>
      </c>
      <c r="BA37">
        <f t="shared" si="47"/>
        <v>1266582.7269426896</v>
      </c>
      <c r="BB37">
        <f t="shared" si="47"/>
        <v>1366380.4406051338</v>
      </c>
      <c r="BC37">
        <f t="shared" si="47"/>
        <v>1470177.8345865891</v>
      </c>
      <c r="BD37">
        <f t="shared" si="47"/>
        <v>1578135.2075759452</v>
      </c>
      <c r="BE37">
        <f t="shared" si="47"/>
        <v>1690419.2826929491</v>
      </c>
      <c r="BF37">
        <f t="shared" si="47"/>
        <v>1807203.4649657421</v>
      </c>
      <c r="BG37">
        <f t="shared" si="47"/>
        <v>1928668.1091275541</v>
      </c>
      <c r="BH37">
        <f t="shared" si="47"/>
        <v>2055000.7981461145</v>
      </c>
      <c r="BI37">
        <f t="shared" si="47"/>
        <v>2186396.6329159332</v>
      </c>
      <c r="BJ37">
        <f t="shared" si="47"/>
        <v>2323058.533560832</v>
      </c>
    </row>
    <row r="38" spans="1:62" x14ac:dyDescent="0.3">
      <c r="D38">
        <f t="shared" si="43"/>
        <v>8021.8532495999989</v>
      </c>
      <c r="E38">
        <f t="shared" ref="E38:E47" si="48">(E37+4000)*1.00328-(0.00146*(E37+4000))</f>
        <v>56770.46161617757</v>
      </c>
      <c r="F38">
        <f t="shared" ref="F38:F47" si="49">(F37+4000)*1.00328-(0.00146*(F37+4000))</f>
        <v>106594.4618523236</v>
      </c>
      <c r="G38">
        <f t="shared" ref="G38:G47" si="50">(G37+4000)*1.00328-(0.00146*(G37+4000))</f>
        <v>157517.57704905301</v>
      </c>
      <c r="H38">
        <f t="shared" ref="H38:H47" si="51">(H37+4000)*1.00328-(0.00146*(H37+4000))</f>
        <v>209564.05362758561</v>
      </c>
      <c r="I38">
        <f t="shared" ref="I38:M39" si="52">(I37+4000)*1.00328-(0.00125*(I37+4000))</f>
        <v>262921.42234542599</v>
      </c>
      <c r="J38">
        <f t="shared" si="52"/>
        <v>318036.28182314301</v>
      </c>
      <c r="K38">
        <f t="shared" si="52"/>
        <v>374508.83128200611</v>
      </c>
      <c r="L38">
        <f t="shared" si="52"/>
        <v>432372.51582379697</v>
      </c>
      <c r="M38">
        <f t="shared" si="52"/>
        <v>491661.60443118931</v>
      </c>
      <c r="N38">
        <f t="shared" ref="N38:T43" si="53">(N37+4000)*1.00328-(0.00104*(N37+4000))</f>
        <v>553639.4794713275</v>
      </c>
      <c r="O38">
        <f t="shared" si="53"/>
        <v>617410.68111845653</v>
      </c>
      <c r="P38">
        <f t="shared" si="53"/>
        <v>682917.32972196804</v>
      </c>
      <c r="Q38">
        <f t="shared" si="53"/>
        <v>750206.65312233916</v>
      </c>
      <c r="R38">
        <f t="shared" si="53"/>
        <v>819327.16440181585</v>
      </c>
      <c r="S38">
        <f t="shared" si="53"/>
        <v>890328.69686052797</v>
      </c>
      <c r="T38">
        <f t="shared" si="53"/>
        <v>963262.4399444341</v>
      </c>
      <c r="U38">
        <f t="shared" ref="U38:U48" si="54">(U37+4000)*1.00328-(0.00125*(U37+4000))</f>
        <v>1038802.2827037325</v>
      </c>
      <c r="V38">
        <f t="shared" ref="V38:V48" si="55">(V37+4000)*1.00328-(0.00125*(V37+4000))</f>
        <v>1113030.0580203703</v>
      </c>
      <c r="W38">
        <f t="shared" ref="W38:W48" si="56">(W37+4000)*1.00328-(0.00125*(W37+4000))</f>
        <v>1189086.3476038533</v>
      </c>
      <c r="X38">
        <f t="shared" ref="X38:X48" si="57">(X37+4000)*1.00328-(0.00125*(X37+4000))</f>
        <v>1267016.1947605414</v>
      </c>
      <c r="Y38">
        <f t="shared" ref="Y38:Y48" si="58">(Y37+4000)*1.00328-(0.00125*(Y37+4000))</f>
        <v>1346865.7523858675</v>
      </c>
      <c r="Z38">
        <f t="shared" ref="Z38:Z48" si="59">(Z37+4000)*1.00328-(0.00125*(Z37+4000))</f>
        <v>1428682.3102977627</v>
      </c>
      <c r="AA38">
        <f t="shared" ref="AA38:AA48" si="60">(AA37+4000)*1.00328-(0.00125*(AA37+4000))</f>
        <v>1512514.3232434092</v>
      </c>
      <c r="AB38">
        <f t="shared" ref="AB38:AB48" si="61">(AB37+4000)*1.00328-(0.00125*(AB37+4000))</f>
        <v>1598411.4395959084</v>
      </c>
      <c r="AC38">
        <f t="shared" ref="AC38:AC48" si="62">(AC37+4000)*1.00328-(0.00125*(AC37+4000))</f>
        <v>1686424.5307578559</v>
      </c>
      <c r="AD38">
        <f t="shared" ref="AD38:AD48" si="63">(AD37+4000)*1.00328-(0.00125*(AD37+4000))</f>
        <v>1776605.7212892415</v>
      </c>
      <c r="AE38">
        <f t="shared" ref="AE38:AE48" si="64">(AE37+4000)*1.00328-(0.00125*(AE37+4000))</f>
        <v>1869008.4197775107</v>
      </c>
      <c r="AI38">
        <f t="shared" si="46"/>
        <v>8039.4030335999996</v>
      </c>
      <c r="AJ38">
        <f t="shared" ref="AJ38:AJ48" si="65">(AJ37+4000)*1.00328-0</f>
        <v>57397.37435597337</v>
      </c>
      <c r="AK38">
        <f t="shared" ref="AK38:AK48" si="66">(AK37+4000)*1.00328-0</f>
        <v>108733.50829590071</v>
      </c>
      <c r="AL38">
        <f t="shared" ref="AL38:AL48" si="67">(AL37+4000)*1.00328-0</f>
        <v>162127.08540800479</v>
      </c>
      <c r="AM38">
        <f t="shared" ref="AM38:AM48" si="68">(AM37+4000)*1.00328-0</f>
        <v>217660.56364308653</v>
      </c>
      <c r="AN38">
        <f t="shared" ref="AN38:AN48" si="69">(AN37+4000)*1.00328-0</f>
        <v>275419.70569141331</v>
      </c>
      <c r="AO38">
        <f t="shared" ref="AO38:AO48" si="70">(AO37+4000)*1.00328-0</f>
        <v>335493.71142965427</v>
      </c>
      <c r="AP38">
        <f t="shared" ref="AP38:AP48" si="71">(AP37+4000)*1.00328-0</f>
        <v>397975.35567600885</v>
      </c>
      <c r="AQ38">
        <f t="shared" ref="AQ38:AQ48" si="72">(AQ37+4000)*1.00328-0</f>
        <v>462961.13146626711</v>
      </c>
      <c r="AR38">
        <f t="shared" ref="AR38:AR48" si="73">(AR37+4000)*1.00328-0</f>
        <v>530551.39907207037</v>
      </c>
      <c r="AS38">
        <f t="shared" ref="AS38:AS48" si="74">(AS37+4000)*1.00328-0</f>
        <v>600850.54099150794</v>
      </c>
      <c r="AT38">
        <f t="shared" ref="AT38:AT48" si="75">(AT37+4000)*1.00328-0</f>
        <v>673967.12315140606</v>
      </c>
      <c r="AU38">
        <f t="shared" ref="AU38:AU48" si="76">(AU37+4000)*1.00328-0</f>
        <v>750014.06257026375</v>
      </c>
      <c r="AV38">
        <f t="shared" ref="AV38:AV48" si="77">(AV37+4000)*1.00328-0</f>
        <v>829108.80174076126</v>
      </c>
      <c r="AW38">
        <f t="shared" ref="AW38:AW48" si="78">(AW37+4000)*1.00328-0</f>
        <v>911373.49000115052</v>
      </c>
      <c r="AX38">
        <f t="shared" ref="AX38:AX48" si="79">(AX37+4000)*1.00328-0</f>
        <v>996935.17217562464</v>
      </c>
      <c r="AY38">
        <f t="shared" ref="AY38:AY48" si="80">(AY37+4000)*1.00328-0</f>
        <v>1085925.9847749926</v>
      </c>
      <c r="AZ38">
        <f t="shared" ref="AZ38:AZ48" si="81">(AZ37+4000)*1.00328-0</f>
        <v>1178483.3600606599</v>
      </c>
      <c r="BA38">
        <f t="shared" ref="BA38:BA48" si="82">(BA37+4000)*1.00328-0</f>
        <v>1274750.2382870617</v>
      </c>
      <c r="BB38">
        <f t="shared" ref="BB38:BB48" si="83">(BB37+4000)*1.00328-0</f>
        <v>1374875.2884503186</v>
      </c>
      <c r="BC38">
        <f t="shared" ref="BC38:BC48" si="84">(BC37+4000)*1.00328-0</f>
        <v>1479013.1378840331</v>
      </c>
      <c r="BD38">
        <f t="shared" ref="BD38:BD48" si="85">(BD37+4000)*1.00328-0</f>
        <v>1587324.6110567942</v>
      </c>
      <c r="BE38">
        <f t="shared" ref="BE38:BE48" si="86">(BE37+4000)*1.00328-0</f>
        <v>1699976.9779401817</v>
      </c>
      <c r="BF38">
        <f t="shared" ref="BF38:BF48" si="87">(BF37+4000)*1.00328-0</f>
        <v>1817144.2123308296</v>
      </c>
      <c r="BG38">
        <f t="shared" ref="BG38:BG48" si="88">(BG37+4000)*1.00328-0</f>
        <v>1939007.2605254925</v>
      </c>
      <c r="BH38">
        <f t="shared" ref="BH38:BH48" si="89">(BH37+4000)*1.00328-0</f>
        <v>2065754.3207640336</v>
      </c>
      <c r="BI38">
        <f t="shared" ref="BI38:BI48" si="90">(BI37+4000)*1.00328-0</f>
        <v>2197581.1338718971</v>
      </c>
      <c r="BJ38">
        <f t="shared" ref="BJ38:BJ48" si="91">(BJ37+4000)*1.00328-0</f>
        <v>2334691.2855509114</v>
      </c>
    </row>
    <row r="39" spans="1:62" x14ac:dyDescent="0.3">
      <c r="A39">
        <f>0.0175/12</f>
        <v>1.4583333333333334E-3</v>
      </c>
      <c r="B39">
        <v>1.75</v>
      </c>
      <c r="D39">
        <f t="shared" si="43"/>
        <v>12043.73302251427</v>
      </c>
      <c r="E39">
        <f t="shared" si="48"/>
        <v>60881.063856319015</v>
      </c>
      <c r="F39">
        <f t="shared" si="49"/>
        <v>110795.74377289483</v>
      </c>
      <c r="G39">
        <f t="shared" si="50"/>
        <v>161811.53903928227</v>
      </c>
      <c r="H39">
        <f t="shared" si="51"/>
        <v>213952.74020518782</v>
      </c>
      <c r="I39">
        <f t="shared" si="52"/>
        <v>267463.27283278719</v>
      </c>
      <c r="J39">
        <f t="shared" si="52"/>
        <v>322690.01547524397</v>
      </c>
      <c r="K39">
        <f t="shared" si="52"/>
        <v>379277.20420950855</v>
      </c>
      <c r="L39">
        <f t="shared" si="52"/>
        <v>437258.35203091928</v>
      </c>
      <c r="M39">
        <f t="shared" si="52"/>
        <v>496667.79748818459</v>
      </c>
      <c r="N39">
        <f t="shared" si="53"/>
        <v>558888.59190534323</v>
      </c>
      <c r="O39">
        <f t="shared" si="53"/>
        <v>622802.64104416186</v>
      </c>
      <c r="P39">
        <f t="shared" si="53"/>
        <v>688456.02454054519</v>
      </c>
      <c r="Q39">
        <f t="shared" si="53"/>
        <v>755896.07602533314</v>
      </c>
      <c r="R39">
        <f t="shared" si="53"/>
        <v>825171.41725007584</v>
      </c>
      <c r="S39">
        <f t="shared" si="53"/>
        <v>896331.99314149551</v>
      </c>
      <c r="T39">
        <f t="shared" si="53"/>
        <v>969429.10780990962</v>
      </c>
      <c r="U39">
        <f t="shared" si="54"/>
        <v>1044919.1713376209</v>
      </c>
      <c r="V39">
        <f t="shared" si="55"/>
        <v>1119297.6290381516</v>
      </c>
      <c r="W39">
        <f t="shared" si="56"/>
        <v>1195508.3128894891</v>
      </c>
      <c r="X39">
        <f t="shared" si="57"/>
        <v>1273596.3576359053</v>
      </c>
      <c r="Y39">
        <f t="shared" si="58"/>
        <v>1353608.0098632106</v>
      </c>
      <c r="Z39">
        <f t="shared" si="59"/>
        <v>1435590.6553876672</v>
      </c>
      <c r="AA39">
        <f t="shared" si="60"/>
        <v>1519592.8473195932</v>
      </c>
      <c r="AB39">
        <f t="shared" si="61"/>
        <v>1605664.334818288</v>
      </c>
      <c r="AC39">
        <f t="shared" si="62"/>
        <v>1693856.0925552943</v>
      </c>
      <c r="AD39">
        <f t="shared" si="63"/>
        <v>1784220.3509034584</v>
      </c>
      <c r="AE39">
        <f t="shared" si="64"/>
        <v>1876810.6268696589</v>
      </c>
      <c r="AI39">
        <f t="shared" si="46"/>
        <v>12078.892275550206</v>
      </c>
      <c r="AJ39">
        <f t="shared" si="65"/>
        <v>61598.757743860959</v>
      </c>
      <c r="AK39">
        <f t="shared" si="66"/>
        <v>113103.27420311126</v>
      </c>
      <c r="AL39">
        <f t="shared" si="67"/>
        <v>166671.98224814303</v>
      </c>
      <c r="AM39">
        <f t="shared" si="68"/>
        <v>222387.61029183585</v>
      </c>
      <c r="AN39">
        <f t="shared" si="69"/>
        <v>280336.20232608111</v>
      </c>
      <c r="AO39">
        <f t="shared" si="70"/>
        <v>340607.25080314354</v>
      </c>
      <c r="AP39">
        <f t="shared" si="71"/>
        <v>403293.83484262612</v>
      </c>
      <c r="AQ39">
        <f t="shared" si="72"/>
        <v>468492.76397747645</v>
      </c>
      <c r="AR39">
        <f t="shared" si="73"/>
        <v>536304.72766102676</v>
      </c>
      <c r="AS39">
        <f t="shared" si="74"/>
        <v>606834.45076596003</v>
      </c>
      <c r="AT39">
        <f t="shared" si="75"/>
        <v>680190.85531534266</v>
      </c>
      <c r="AU39">
        <f t="shared" si="76"/>
        <v>756487.22869549412</v>
      </c>
      <c r="AV39">
        <f t="shared" si="77"/>
        <v>835841.39861047093</v>
      </c>
      <c r="AW39">
        <f t="shared" si="78"/>
        <v>918375.91504835431</v>
      </c>
      <c r="AX39">
        <f t="shared" si="79"/>
        <v>1004218.2395403606</v>
      </c>
      <c r="AY39">
        <f t="shared" si="80"/>
        <v>1093500.9420050546</v>
      </c>
      <c r="AZ39">
        <f t="shared" si="81"/>
        <v>1186361.9054816589</v>
      </c>
      <c r="BA39">
        <f t="shared" si="82"/>
        <v>1282944.5390686432</v>
      </c>
      <c r="BB39">
        <f t="shared" si="83"/>
        <v>1383397.9993964357</v>
      </c>
      <c r="BC39">
        <f t="shared" si="84"/>
        <v>1487877.4209762928</v>
      </c>
      <c r="BD39">
        <f t="shared" si="85"/>
        <v>1596544.1557810605</v>
      </c>
      <c r="BE39">
        <f t="shared" si="86"/>
        <v>1709566.0224278255</v>
      </c>
      <c r="BF39">
        <f t="shared" si="87"/>
        <v>1827117.5653472745</v>
      </c>
      <c r="BG39">
        <f t="shared" si="88"/>
        <v>1949380.3243400161</v>
      </c>
      <c r="BH39">
        <f t="shared" si="89"/>
        <v>2076543.1149361394</v>
      </c>
      <c r="BI39">
        <f t="shared" si="90"/>
        <v>2208802.3199909967</v>
      </c>
      <c r="BJ39">
        <f t="shared" si="91"/>
        <v>2346362.1929675182</v>
      </c>
    </row>
    <row r="40" spans="1:62" x14ac:dyDescent="0.3">
      <c r="A40">
        <f>0.015/12</f>
        <v>1.25E-3</v>
      </c>
      <c r="B40">
        <v>1.5</v>
      </c>
      <c r="D40">
        <f t="shared" si="43"/>
        <v>16072.932616615246</v>
      </c>
      <c r="E40">
        <f t="shared" si="48"/>
        <v>64999.147392537518</v>
      </c>
      <c r="F40">
        <f t="shared" si="49"/>
        <v>115004.6720265615</v>
      </c>
      <c r="G40">
        <f t="shared" si="50"/>
        <v>166113.31604033377</v>
      </c>
      <c r="H40">
        <f t="shared" si="51"/>
        <v>218349.41419236123</v>
      </c>
      <c r="I40">
        <f t="shared" ref="I40:I48" si="92">(I39+4000)*1.00328-(0.00125*(I39+4000))</f>
        <v>272014.34327663772</v>
      </c>
      <c r="J40">
        <f t="shared" ref="J40:J48" si="93">(J39+4000)*1.00328-(0.00125*(J39+4000))</f>
        <v>327353.19620665867</v>
      </c>
      <c r="K40">
        <f t="shared" ref="K40:K48" si="94">(K39+4000)*1.00328-(0.00125*(K39+4000))</f>
        <v>384055.25693405385</v>
      </c>
      <c r="L40">
        <f t="shared" ref="L40:L48" si="95">(L39+4000)*1.00328-(0.00125*(L39+4000))</f>
        <v>442154.10648554203</v>
      </c>
      <c r="M40">
        <f t="shared" ref="M40:M48" si="96">(M39+4000)*1.00328-(0.00104*(M39+4000))</f>
        <v>501789.29335455812</v>
      </c>
      <c r="N40">
        <f t="shared" si="53"/>
        <v>564149.46235121111</v>
      </c>
      <c r="O40">
        <f t="shared" si="53"/>
        <v>628206.67896010075</v>
      </c>
      <c r="P40">
        <f t="shared" si="53"/>
        <v>694007.12603551603</v>
      </c>
      <c r="Q40">
        <f t="shared" si="53"/>
        <v>761598.24323562987</v>
      </c>
      <c r="R40">
        <f t="shared" si="53"/>
        <v>831028.76122471597</v>
      </c>
      <c r="S40">
        <f t="shared" si="53"/>
        <v>902348.73680613248</v>
      </c>
      <c r="T40">
        <f t="shared" si="53"/>
        <v>975609.58901140385</v>
      </c>
      <c r="U40">
        <f t="shared" si="54"/>
        <v>1051048.4772554361</v>
      </c>
      <c r="V40">
        <f t="shared" si="55"/>
        <v>1125577.9232250988</v>
      </c>
      <c r="W40">
        <f t="shared" si="56"/>
        <v>1201943.3147646547</v>
      </c>
      <c r="X40">
        <f t="shared" si="57"/>
        <v>1280189.8782419059</v>
      </c>
      <c r="Y40">
        <f t="shared" si="58"/>
        <v>1360363.9541232327</v>
      </c>
      <c r="Z40">
        <f t="shared" si="59"/>
        <v>1442513.024418104</v>
      </c>
      <c r="AA40">
        <f t="shared" si="60"/>
        <v>1526685.7407996519</v>
      </c>
      <c r="AB40">
        <f t="shared" si="61"/>
        <v>1612931.9534179689</v>
      </c>
      <c r="AC40">
        <f t="shared" si="62"/>
        <v>1701302.7404231816</v>
      </c>
      <c r="AD40">
        <f t="shared" si="63"/>
        <v>1791850.4382157924</v>
      </c>
      <c r="AE40">
        <f t="shared" si="64"/>
        <v>1884628.6724422043</v>
      </c>
      <c r="AI40">
        <f t="shared" si="46"/>
        <v>16131.63104221401</v>
      </c>
      <c r="AJ40">
        <f t="shared" si="65"/>
        <v>65813.921669260817</v>
      </c>
      <c r="AK40">
        <f t="shared" si="66"/>
        <v>117487.37294249746</v>
      </c>
      <c r="AL40">
        <f t="shared" si="67"/>
        <v>171231.78634991692</v>
      </c>
      <c r="AM40">
        <f t="shared" si="68"/>
        <v>227130.16165359307</v>
      </c>
      <c r="AN40">
        <f t="shared" si="69"/>
        <v>285268.82506971067</v>
      </c>
      <c r="AO40">
        <f t="shared" si="70"/>
        <v>345737.56258577784</v>
      </c>
      <c r="AP40">
        <f t="shared" si="71"/>
        <v>408629.75862090994</v>
      </c>
      <c r="AQ40">
        <f t="shared" si="72"/>
        <v>474042.54024332255</v>
      </c>
      <c r="AR40">
        <f t="shared" si="73"/>
        <v>542076.92716775485</v>
      </c>
      <c r="AS40">
        <f t="shared" si="74"/>
        <v>612837.98776447237</v>
      </c>
      <c r="AT40">
        <f t="shared" si="75"/>
        <v>686435.001320777</v>
      </c>
      <c r="AU40">
        <f t="shared" si="76"/>
        <v>762981.62680561526</v>
      </c>
      <c r="AV40">
        <f t="shared" si="77"/>
        <v>842596.07839791325</v>
      </c>
      <c r="AW40">
        <f t="shared" si="78"/>
        <v>925401.30804971291</v>
      </c>
      <c r="AX40">
        <f t="shared" si="79"/>
        <v>1011525.1953660529</v>
      </c>
      <c r="AY40">
        <f t="shared" si="80"/>
        <v>1101100.7450948311</v>
      </c>
      <c r="AZ40">
        <f t="shared" si="81"/>
        <v>1194266.2925316386</v>
      </c>
      <c r="BA40">
        <f t="shared" si="82"/>
        <v>1291165.7171567883</v>
      </c>
      <c r="BB40">
        <f t="shared" si="83"/>
        <v>1391948.6648344558</v>
      </c>
      <c r="BC40">
        <f t="shared" si="84"/>
        <v>1496770.7789170949</v>
      </c>
      <c r="BD40">
        <f t="shared" si="85"/>
        <v>1605793.9406120223</v>
      </c>
      <c r="BE40">
        <f t="shared" si="86"/>
        <v>1719186.5189813888</v>
      </c>
      <c r="BF40">
        <f t="shared" si="87"/>
        <v>1837123.6309616135</v>
      </c>
      <c r="BG40">
        <f t="shared" si="88"/>
        <v>1959787.4118038514</v>
      </c>
      <c r="BH40">
        <f t="shared" si="89"/>
        <v>2087367.2963531299</v>
      </c>
      <c r="BI40">
        <f t="shared" si="90"/>
        <v>2220060.3116005673</v>
      </c>
      <c r="BJ40">
        <f t="shared" si="91"/>
        <v>2358071.3809604514</v>
      </c>
    </row>
    <row r="41" spans="1:62" x14ac:dyDescent="0.3">
      <c r="A41">
        <f>0.0125/12</f>
        <v>1.0416666666666667E-3</v>
      </c>
      <c r="B41">
        <v>1.25</v>
      </c>
      <c r="D41">
        <f t="shared" si="43"/>
        <v>20109.465353977484</v>
      </c>
      <c r="E41">
        <f t="shared" si="48"/>
        <v>69124.725840791929</v>
      </c>
      <c r="F41">
        <f t="shared" si="49"/>
        <v>119221.26052964984</v>
      </c>
      <c r="G41">
        <f t="shared" si="50"/>
        <v>170422.92227552715</v>
      </c>
      <c r="H41">
        <f t="shared" si="51"/>
        <v>222754.09012619132</v>
      </c>
      <c r="I41">
        <f t="shared" si="92"/>
        <v>276574.65239348932</v>
      </c>
      <c r="J41">
        <f t="shared" si="93"/>
        <v>332025.84319495817</v>
      </c>
      <c r="K41">
        <f t="shared" si="94"/>
        <v>388843.00910562999</v>
      </c>
      <c r="L41">
        <f t="shared" si="95"/>
        <v>447059.79932170763</v>
      </c>
      <c r="M41">
        <f t="shared" si="96"/>
        <v>506922.26137167233</v>
      </c>
      <c r="N41">
        <f t="shared" si="53"/>
        <v>569422.1171468778</v>
      </c>
      <c r="O41">
        <f t="shared" si="53"/>
        <v>633622.82192097127</v>
      </c>
      <c r="P41">
        <f t="shared" si="53"/>
        <v>699570.6619978355</v>
      </c>
      <c r="Q41">
        <f t="shared" si="53"/>
        <v>767313.18330047769</v>
      </c>
      <c r="R41">
        <f t="shared" si="53"/>
        <v>836899.22564985929</v>
      </c>
      <c r="S41">
        <f t="shared" si="53"/>
        <v>908378.95797657815</v>
      </c>
      <c r="T41">
        <f t="shared" si="53"/>
        <v>981803.91449078941</v>
      </c>
      <c r="U41">
        <f t="shared" si="54"/>
        <v>1057190.2256642648</v>
      </c>
      <c r="V41">
        <f t="shared" si="55"/>
        <v>1131870.9664092457</v>
      </c>
      <c r="W41">
        <f t="shared" si="56"/>
        <v>1208391.3796936269</v>
      </c>
      <c r="X41">
        <f t="shared" si="57"/>
        <v>1286796.7836947369</v>
      </c>
      <c r="Y41">
        <f t="shared" si="58"/>
        <v>1367133.6129501027</v>
      </c>
      <c r="Z41">
        <f t="shared" si="59"/>
        <v>1449449.4458576727</v>
      </c>
      <c r="AA41">
        <f t="shared" si="60"/>
        <v>1533793.0328534751</v>
      </c>
      <c r="AB41">
        <f t="shared" si="61"/>
        <v>1620214.3252834075</v>
      </c>
      <c r="AC41">
        <f t="shared" si="62"/>
        <v>1708764.5049862405</v>
      </c>
      <c r="AD41">
        <f t="shared" si="63"/>
        <v>1799496.0146053704</v>
      </c>
      <c r="AE41">
        <f t="shared" si="64"/>
        <v>1892462.588647262</v>
      </c>
      <c r="AI41">
        <f t="shared" si="46"/>
        <v>20197.662792032468</v>
      </c>
      <c r="AJ41">
        <f t="shared" si="65"/>
        <v>70042.911332335992</v>
      </c>
      <c r="AK41">
        <f t="shared" si="66"/>
        <v>121885.85152574885</v>
      </c>
      <c r="AL41">
        <f t="shared" si="67"/>
        <v>175806.54660914463</v>
      </c>
      <c r="AM41">
        <f t="shared" si="68"/>
        <v>231888.26858381683</v>
      </c>
      <c r="AN41">
        <f t="shared" si="69"/>
        <v>290217.62681593932</v>
      </c>
      <c r="AO41">
        <f t="shared" si="70"/>
        <v>350884.70179105917</v>
      </c>
      <c r="AP41">
        <f t="shared" si="71"/>
        <v>413983.1842291865</v>
      </c>
      <c r="AQ41">
        <f t="shared" si="72"/>
        <v>479610.5197753206</v>
      </c>
      <c r="AR41">
        <f t="shared" si="73"/>
        <v>547868.05948886508</v>
      </c>
      <c r="AS41">
        <f t="shared" si="74"/>
        <v>618861.21636433981</v>
      </c>
      <c r="AT41">
        <f t="shared" si="75"/>
        <v>692699.62812510913</v>
      </c>
      <c r="AU41">
        <f t="shared" si="76"/>
        <v>769497.32654153765</v>
      </c>
      <c r="AV41">
        <f t="shared" si="77"/>
        <v>849372.91353505838</v>
      </c>
      <c r="AW41">
        <f t="shared" si="78"/>
        <v>932449.74434011593</v>
      </c>
      <c r="AX41">
        <f t="shared" si="79"/>
        <v>1018856.1180068535</v>
      </c>
      <c r="AY41">
        <f t="shared" si="80"/>
        <v>1108725.475538742</v>
      </c>
      <c r="AZ41">
        <f t="shared" si="81"/>
        <v>1202196.6059711424</v>
      </c>
      <c r="BA41">
        <f t="shared" si="82"/>
        <v>1299413.8607090625</v>
      </c>
      <c r="BB41">
        <f t="shared" si="83"/>
        <v>1400527.3764551128</v>
      </c>
      <c r="BC41">
        <f t="shared" si="84"/>
        <v>1505693.3070719428</v>
      </c>
      <c r="BD41">
        <f t="shared" si="85"/>
        <v>1615074.0647372296</v>
      </c>
      <c r="BE41">
        <f t="shared" si="86"/>
        <v>1728838.5707636476</v>
      </c>
      <c r="BF41">
        <f t="shared" si="87"/>
        <v>1847162.5164711676</v>
      </c>
      <c r="BG41">
        <f t="shared" si="88"/>
        <v>1970228.6345145679</v>
      </c>
      <c r="BH41">
        <f t="shared" si="89"/>
        <v>2098226.9810851682</v>
      </c>
      <c r="BI41">
        <f t="shared" si="90"/>
        <v>2231355.2294226172</v>
      </c>
      <c r="BJ41">
        <f t="shared" si="91"/>
        <v>2369818.9750900017</v>
      </c>
    </row>
    <row r="42" spans="1:62" x14ac:dyDescent="0.3">
      <c r="A42">
        <f>0.01/12</f>
        <v>8.3333333333333339E-4</v>
      </c>
      <c r="B42">
        <v>1</v>
      </c>
      <c r="D42">
        <f t="shared" si="43"/>
        <v>24153.344580921723</v>
      </c>
      <c r="E42">
        <f t="shared" si="48"/>
        <v>73257.812841822175</v>
      </c>
      <c r="F42">
        <f t="shared" si="49"/>
        <v>123445.5232238138</v>
      </c>
      <c r="G42">
        <f t="shared" si="50"/>
        <v>174740.37199406858</v>
      </c>
      <c r="H42">
        <f t="shared" si="51"/>
        <v>227166.782570221</v>
      </c>
      <c r="I42">
        <f t="shared" si="92"/>
        <v>281144.21893784811</v>
      </c>
      <c r="J42">
        <f t="shared" si="93"/>
        <v>336707.97565664392</v>
      </c>
      <c r="K42">
        <f t="shared" si="94"/>
        <v>393640.48041411437</v>
      </c>
      <c r="L42">
        <f t="shared" si="95"/>
        <v>451975.45071433071</v>
      </c>
      <c r="M42">
        <f t="shared" si="96"/>
        <v>512066.72723714483</v>
      </c>
      <c r="N42">
        <f t="shared" si="53"/>
        <v>574706.58268928679</v>
      </c>
      <c r="O42">
        <f t="shared" si="53"/>
        <v>639051.09704207419</v>
      </c>
      <c r="P42">
        <f t="shared" si="53"/>
        <v>705146.66028071067</v>
      </c>
      <c r="Q42">
        <f t="shared" si="53"/>
        <v>773040.9248310707</v>
      </c>
      <c r="R42">
        <f t="shared" si="53"/>
        <v>842782.83991531492</v>
      </c>
      <c r="S42">
        <f t="shared" si="53"/>
        <v>914422.68684244563</v>
      </c>
      <c r="T42">
        <f t="shared" si="53"/>
        <v>988012.11525924876</v>
      </c>
      <c r="U42">
        <f t="shared" si="54"/>
        <v>1063344.4418223631</v>
      </c>
      <c r="V42">
        <f t="shared" si="55"/>
        <v>1138176.7844710564</v>
      </c>
      <c r="W42">
        <f t="shared" si="56"/>
        <v>1214852.5341944047</v>
      </c>
      <c r="X42">
        <f t="shared" si="57"/>
        <v>1293417.1011656371</v>
      </c>
      <c r="Y42">
        <f t="shared" si="58"/>
        <v>1373917.0141843914</v>
      </c>
      <c r="Z42">
        <f t="shared" si="59"/>
        <v>1456399.9482327637</v>
      </c>
      <c r="AA42">
        <f t="shared" si="60"/>
        <v>1540914.7527101676</v>
      </c>
      <c r="AB42">
        <f t="shared" si="61"/>
        <v>1627511.4803637327</v>
      </c>
      <c r="AC42">
        <f t="shared" si="62"/>
        <v>1716241.4169313626</v>
      </c>
      <c r="AD42">
        <f t="shared" si="63"/>
        <v>1807157.1115150191</v>
      </c>
      <c r="AE42">
        <f t="shared" si="64"/>
        <v>1900312.4077022159</v>
      </c>
      <c r="AI42">
        <f t="shared" si="46"/>
        <v>24277.031125990332</v>
      </c>
      <c r="AJ42">
        <f t="shared" si="65"/>
        <v>74285.772081506046</v>
      </c>
      <c r="AK42">
        <f t="shared" si="66"/>
        <v>126298.7571187533</v>
      </c>
      <c r="AL42">
        <f t="shared" si="67"/>
        <v>180396.3120820226</v>
      </c>
      <c r="AM42">
        <f t="shared" si="68"/>
        <v>236661.98210477174</v>
      </c>
      <c r="AN42">
        <f t="shared" si="69"/>
        <v>295182.66063189559</v>
      </c>
      <c r="AO42">
        <f t="shared" si="70"/>
        <v>356048.72361293383</v>
      </c>
      <c r="AP42">
        <f t="shared" si="71"/>
        <v>419354.16907345824</v>
      </c>
      <c r="AQ42">
        <f t="shared" si="72"/>
        <v>485196.76228018361</v>
      </c>
      <c r="AR42">
        <f t="shared" si="73"/>
        <v>553678.1867239885</v>
      </c>
      <c r="AS42">
        <f t="shared" si="74"/>
        <v>624904.20115401479</v>
      </c>
      <c r="AT42">
        <f t="shared" si="75"/>
        <v>698984.80290535942</v>
      </c>
      <c r="AU42">
        <f t="shared" si="76"/>
        <v>776034.39777259389</v>
      </c>
      <c r="AV42">
        <f t="shared" si="77"/>
        <v>856171.97669145337</v>
      </c>
      <c r="AW42">
        <f t="shared" si="78"/>
        <v>939521.29950155143</v>
      </c>
      <c r="AX42">
        <f t="shared" si="79"/>
        <v>1026211.0860739159</v>
      </c>
      <c r="AY42">
        <f t="shared" si="80"/>
        <v>1116375.2150985091</v>
      </c>
      <c r="AZ42">
        <f t="shared" si="81"/>
        <v>1210152.9308387276</v>
      </c>
      <c r="BA42">
        <f t="shared" si="82"/>
        <v>1307689.0581721882</v>
      </c>
      <c r="BB42">
        <f t="shared" si="83"/>
        <v>1409134.2262498855</v>
      </c>
      <c r="BC42">
        <f t="shared" si="84"/>
        <v>1514645.1011191388</v>
      </c>
      <c r="BD42">
        <f t="shared" si="85"/>
        <v>1624384.6276695677</v>
      </c>
      <c r="BE42">
        <f t="shared" si="86"/>
        <v>1738522.2812757522</v>
      </c>
      <c r="BF42">
        <f t="shared" si="87"/>
        <v>1857234.329525193</v>
      </c>
      <c r="BG42">
        <f t="shared" si="88"/>
        <v>1980704.1044357757</v>
      </c>
      <c r="BH42">
        <f t="shared" si="89"/>
        <v>2109122.2855831273</v>
      </c>
      <c r="BI42">
        <f t="shared" si="90"/>
        <v>2242687.1945751235</v>
      </c>
      <c r="BJ42">
        <f t="shared" si="91"/>
        <v>2381605.1013282966</v>
      </c>
    </row>
    <row r="43" spans="1:62" x14ac:dyDescent="0.3">
      <c r="D43">
        <f t="shared" si="43"/>
        <v>28204.583668059</v>
      </c>
      <c r="E43">
        <f t="shared" si="48"/>
        <v>77398.422061194287</v>
      </c>
      <c r="F43">
        <f t="shared" si="49"/>
        <v>127677.47407608113</v>
      </c>
      <c r="G43">
        <f t="shared" si="50"/>
        <v>179065.6794710978</v>
      </c>
      <c r="H43">
        <f t="shared" si="51"/>
        <v>231587.5061144988</v>
      </c>
      <c r="I43">
        <f t="shared" si="92"/>
        <v>285723.06170229189</v>
      </c>
      <c r="J43">
        <f t="shared" si="93"/>
        <v>341399.6128472269</v>
      </c>
      <c r="K43">
        <f t="shared" si="94"/>
        <v>398447.69058935501</v>
      </c>
      <c r="L43">
        <f t="shared" si="95"/>
        <v>456901.08087928075</v>
      </c>
      <c r="M43">
        <f t="shared" si="96"/>
        <v>517222.71670615603</v>
      </c>
      <c r="N43">
        <f t="shared" si="53"/>
        <v>580002.88543451077</v>
      </c>
      <c r="O43">
        <f t="shared" si="53"/>
        <v>644491.53149944847</v>
      </c>
      <c r="P43">
        <f t="shared" si="53"/>
        <v>710735.14879973943</v>
      </c>
      <c r="Q43">
        <f t="shared" si="53"/>
        <v>778781.49650269235</v>
      </c>
      <c r="R43">
        <f t="shared" si="53"/>
        <v>848679.63347672508</v>
      </c>
      <c r="S43">
        <f t="shared" si="53"/>
        <v>920479.95366097265</v>
      </c>
      <c r="T43">
        <f t="shared" si="53"/>
        <v>994234.22239742952</v>
      </c>
      <c r="U43">
        <f t="shared" si="54"/>
        <v>1069511.1510392623</v>
      </c>
      <c r="V43">
        <f t="shared" si="55"/>
        <v>1144495.4033435327</v>
      </c>
      <c r="W43">
        <f t="shared" si="56"/>
        <v>1221326.8048388192</v>
      </c>
      <c r="X43">
        <f t="shared" si="57"/>
        <v>1300050.8578810033</v>
      </c>
      <c r="Y43">
        <f t="shared" si="58"/>
        <v>1380714.1857231855</v>
      </c>
      <c r="Z43">
        <f t="shared" si="59"/>
        <v>1463364.560127676</v>
      </c>
      <c r="AA43">
        <f t="shared" si="60"/>
        <v>1548050.9296581689</v>
      </c>
      <c r="AB43">
        <f t="shared" si="61"/>
        <v>1634823.4486688711</v>
      </c>
      <c r="AC43">
        <f t="shared" si="62"/>
        <v>1723733.5070077332</v>
      </c>
      <c r="AD43">
        <f t="shared" si="63"/>
        <v>1814833.7604513944</v>
      </c>
      <c r="AE43">
        <f t="shared" si="64"/>
        <v>1908178.1618898513</v>
      </c>
      <c r="AI43">
        <f t="shared" si="46"/>
        <v>28369.779788083579</v>
      </c>
      <c r="AJ43">
        <f t="shared" si="65"/>
        <v>78542.549413933375</v>
      </c>
      <c r="AK43">
        <f t="shared" si="66"/>
        <v>130726.13704210281</v>
      </c>
      <c r="AL43">
        <f t="shared" si="67"/>
        <v>185001.13198565162</v>
      </c>
      <c r="AM43">
        <f t="shared" si="68"/>
        <v>241451.35340607539</v>
      </c>
      <c r="AN43">
        <f t="shared" si="69"/>
        <v>300163.97975876817</v>
      </c>
      <c r="AO43">
        <f t="shared" si="70"/>
        <v>361229.68342638423</v>
      </c>
      <c r="AP43">
        <f t="shared" si="71"/>
        <v>424742.77074801916</v>
      </c>
      <c r="AQ43">
        <f t="shared" si="72"/>
        <v>490801.32766046259</v>
      </c>
      <c r="AR43">
        <f t="shared" si="73"/>
        <v>559507.37117644318</v>
      </c>
      <c r="AS43">
        <f t="shared" si="74"/>
        <v>630967.00693379994</v>
      </c>
      <c r="AT43">
        <f t="shared" si="75"/>
        <v>705290.59305888892</v>
      </c>
      <c r="AU43">
        <f t="shared" si="76"/>
        <v>782592.91059728793</v>
      </c>
      <c r="AV43">
        <f t="shared" si="77"/>
        <v>862993.34077500133</v>
      </c>
      <c r="AW43">
        <f t="shared" si="78"/>
        <v>946616.04936391651</v>
      </c>
      <c r="AX43">
        <f t="shared" si="79"/>
        <v>1033590.1784362383</v>
      </c>
      <c r="AY43">
        <f t="shared" si="80"/>
        <v>1124050.0458040321</v>
      </c>
      <c r="AZ43">
        <f t="shared" si="81"/>
        <v>1218135.3524518786</v>
      </c>
      <c r="BA43">
        <f t="shared" si="82"/>
        <v>1315991.3982829929</v>
      </c>
      <c r="BB43">
        <f t="shared" si="83"/>
        <v>1417769.3065119851</v>
      </c>
      <c r="BC43">
        <f t="shared" si="84"/>
        <v>1523626.2570508095</v>
      </c>
      <c r="BD43">
        <f t="shared" si="85"/>
        <v>1633725.7292483237</v>
      </c>
      <c r="BE43">
        <f t="shared" si="86"/>
        <v>1748237.7543583366</v>
      </c>
      <c r="BF43">
        <f t="shared" si="87"/>
        <v>1867339.1781260355</v>
      </c>
      <c r="BG43">
        <f t="shared" si="88"/>
        <v>1991213.9338983248</v>
      </c>
      <c r="BH43">
        <f t="shared" si="89"/>
        <v>2120053.3266798398</v>
      </c>
      <c r="BI43">
        <f t="shared" si="90"/>
        <v>2254056.3285733298</v>
      </c>
      <c r="BJ43">
        <f t="shared" si="91"/>
        <v>2393429.8860606533</v>
      </c>
    </row>
    <row r="44" spans="1:62" x14ac:dyDescent="0.3">
      <c r="D44">
        <f t="shared" si="43"/>
        <v>32263.196010334868</v>
      </c>
      <c r="E44">
        <f t="shared" si="48"/>
        <v>81546.56718934566</v>
      </c>
      <c r="F44">
        <f t="shared" si="49"/>
        <v>131917.12707889959</v>
      </c>
      <c r="G44">
        <f t="shared" si="50"/>
        <v>183398.85900773518</v>
      </c>
      <c r="H44">
        <f t="shared" si="51"/>
        <v>236016.27537562718</v>
      </c>
      <c r="I44">
        <f t="shared" si="92"/>
        <v>290311.1995175475</v>
      </c>
      <c r="J44">
        <f t="shared" si="93"/>
        <v>346100.77406130673</v>
      </c>
      <c r="K44">
        <f t="shared" si="94"/>
        <v>403264.65940125141</v>
      </c>
      <c r="L44">
        <f t="shared" si="95"/>
        <v>461836.71007346566</v>
      </c>
      <c r="M44">
        <f t="shared" si="96"/>
        <v>522390.25559157785</v>
      </c>
      <c r="N44">
        <f t="shared" ref="N44:S48" si="97">(N43+4000)*1.00328-(0.00104*(N43+4000))</f>
        <v>585311.051897884</v>
      </c>
      <c r="O44">
        <f t="shared" si="97"/>
        <v>649944.15253000718</v>
      </c>
      <c r="P44">
        <f t="shared" si="97"/>
        <v>716336.15553305077</v>
      </c>
      <c r="Q44">
        <f t="shared" si="97"/>
        <v>784534.92705485842</v>
      </c>
      <c r="R44">
        <f t="shared" si="97"/>
        <v>854589.63585571293</v>
      </c>
      <c r="S44">
        <f t="shared" si="97"/>
        <v>926550.78875717323</v>
      </c>
      <c r="T44">
        <f>(T43+4000)*1.00328-(0.000833*(T43+4000))</f>
        <v>1000676.901539636</v>
      </c>
      <c r="U44">
        <f t="shared" si="54"/>
        <v>1075690.378675872</v>
      </c>
      <c r="V44">
        <f t="shared" si="55"/>
        <v>1150826.8490123199</v>
      </c>
      <c r="W44">
        <f t="shared" si="56"/>
        <v>1227814.2182526418</v>
      </c>
      <c r="X44">
        <f t="shared" si="57"/>
        <v>1306698.0811225015</v>
      </c>
      <c r="Y44">
        <f t="shared" si="58"/>
        <v>1387525.1555202035</v>
      </c>
      <c r="Z44">
        <f t="shared" si="59"/>
        <v>1470343.3101847351</v>
      </c>
      <c r="AA44">
        <f t="shared" si="60"/>
        <v>1555201.5930453751</v>
      </c>
      <c r="AB44">
        <f t="shared" si="61"/>
        <v>1642150.2602696689</v>
      </c>
      <c r="AC44">
        <f t="shared" si="62"/>
        <v>1731240.8060269589</v>
      </c>
      <c r="AD44">
        <f t="shared" si="63"/>
        <v>1822525.9929851107</v>
      </c>
      <c r="AE44">
        <f t="shared" si="64"/>
        <v>1916059.8835584875</v>
      </c>
      <c r="AI44">
        <f t="shared" si="46"/>
        <v>32475.952665788493</v>
      </c>
      <c r="AJ44">
        <f t="shared" si="65"/>
        <v>82813.28897601107</v>
      </c>
      <c r="AK44">
        <f t="shared" si="66"/>
        <v>135168.0387716009</v>
      </c>
      <c r="AL44">
        <f t="shared" si="67"/>
        <v>189621.05569856454</v>
      </c>
      <c r="AM44">
        <f t="shared" si="68"/>
        <v>246256.43384524732</v>
      </c>
      <c r="AN44">
        <f t="shared" si="69"/>
        <v>305161.63761237689</v>
      </c>
      <c r="AO44">
        <f t="shared" si="70"/>
        <v>366427.63678802276</v>
      </c>
      <c r="AP44">
        <f t="shared" si="71"/>
        <v>430149.04703607265</v>
      </c>
      <c r="AQ44">
        <f t="shared" si="72"/>
        <v>496424.27601518889</v>
      </c>
      <c r="AR44">
        <f t="shared" si="73"/>
        <v>565355.67535390193</v>
      </c>
      <c r="AS44">
        <f t="shared" si="74"/>
        <v>637049.6987165428</v>
      </c>
      <c r="AT44">
        <f t="shared" si="75"/>
        <v>711617.06620412203</v>
      </c>
      <c r="AU44">
        <f t="shared" si="76"/>
        <v>789172.93534404703</v>
      </c>
      <c r="AV44">
        <f t="shared" si="77"/>
        <v>869837.07893274329</v>
      </c>
      <c r="AW44">
        <f t="shared" si="78"/>
        <v>953734.07000583014</v>
      </c>
      <c r="AX44">
        <f t="shared" si="79"/>
        <v>1040993.4742215092</v>
      </c>
      <c r="AY44">
        <f t="shared" si="80"/>
        <v>1131750.0499542693</v>
      </c>
      <c r="AZ44">
        <f t="shared" si="81"/>
        <v>1226143.9564079207</v>
      </c>
      <c r="BA44">
        <f t="shared" si="82"/>
        <v>1324320.9700693612</v>
      </c>
      <c r="BB44">
        <f t="shared" si="83"/>
        <v>1426432.7098373445</v>
      </c>
      <c r="BC44">
        <f t="shared" si="84"/>
        <v>1532636.8711739359</v>
      </c>
      <c r="BD44">
        <f t="shared" si="85"/>
        <v>1643097.4696402582</v>
      </c>
      <c r="BE44">
        <f t="shared" si="86"/>
        <v>1757985.0941926318</v>
      </c>
      <c r="BF44">
        <f t="shared" si="87"/>
        <v>1877477.1706302888</v>
      </c>
      <c r="BG44">
        <f t="shared" si="88"/>
        <v>2001758.2356015113</v>
      </c>
      <c r="BH44">
        <f t="shared" si="89"/>
        <v>2131020.2215913497</v>
      </c>
      <c r="BI44">
        <f t="shared" si="90"/>
        <v>2265462.7533310503</v>
      </c>
      <c r="BJ44">
        <f t="shared" si="91"/>
        <v>2405293.4560869322</v>
      </c>
    </row>
    <row r="45" spans="1:62" x14ac:dyDescent="0.3">
      <c r="D45">
        <f t="shared" si="43"/>
        <v>36329.195027073678</v>
      </c>
      <c r="E45">
        <f t="shared" si="48"/>
        <v>85702.261941630262</v>
      </c>
      <c r="F45">
        <f t="shared" si="49"/>
        <v>136164.49625018318</v>
      </c>
      <c r="G45">
        <f t="shared" si="50"/>
        <v>187739.92493112924</v>
      </c>
      <c r="H45">
        <f t="shared" si="51"/>
        <v>240453.10499681081</v>
      </c>
      <c r="I45">
        <f t="shared" si="92"/>
        <v>294908.65125256812</v>
      </c>
      <c r="J45">
        <f t="shared" si="93"/>
        <v>350811.47863265115</v>
      </c>
      <c r="K45">
        <f t="shared" si="94"/>
        <v>408091.40665983589</v>
      </c>
      <c r="L45">
        <f t="shared" si="95"/>
        <v>466782.35859491478</v>
      </c>
      <c r="M45">
        <f t="shared" si="96"/>
        <v>527569.36976410297</v>
      </c>
      <c r="N45">
        <f t="shared" si="97"/>
        <v>590631.10865413526</v>
      </c>
      <c r="O45">
        <f t="shared" si="97"/>
        <v>655408.98743167438</v>
      </c>
      <c r="P45">
        <f t="shared" si="97"/>
        <v>721949.7085214447</v>
      </c>
      <c r="Q45">
        <f t="shared" si="97"/>
        <v>790301.24529146124</v>
      </c>
      <c r="R45">
        <f t="shared" si="97"/>
        <v>860512.87664002972</v>
      </c>
      <c r="S45">
        <f t="shared" si="97"/>
        <v>932635.22252398927</v>
      </c>
      <c r="T45">
        <f>(T44+4000)*1.00328-(0.000833*(T44+4000))</f>
        <v>1007135.3459177035</v>
      </c>
      <c r="U45">
        <f t="shared" si="54"/>
        <v>1081882.150144584</v>
      </c>
      <c r="V45">
        <f t="shared" si="55"/>
        <v>1157171.147515815</v>
      </c>
      <c r="W45">
        <f t="shared" si="56"/>
        <v>1234314.8011156945</v>
      </c>
      <c r="X45">
        <f t="shared" si="57"/>
        <v>1313358.79822718</v>
      </c>
      <c r="Y45">
        <f t="shared" si="58"/>
        <v>1394349.9515859094</v>
      </c>
      <c r="Z45">
        <f t="shared" si="59"/>
        <v>1477336.2271044101</v>
      </c>
      <c r="AA45">
        <f t="shared" si="60"/>
        <v>1562366.7722792572</v>
      </c>
      <c r="AB45">
        <f t="shared" si="61"/>
        <v>1649491.9452980163</v>
      </c>
      <c r="AC45">
        <f t="shared" si="62"/>
        <v>1738763.3448631936</v>
      </c>
      <c r="AD45">
        <f t="shared" si="63"/>
        <v>1830233.8407508705</v>
      </c>
      <c r="AE45">
        <f t="shared" si="64"/>
        <v>1923957.605122111</v>
      </c>
      <c r="AI45">
        <f t="shared" si="46"/>
        <v>36595.593790532279</v>
      </c>
      <c r="AJ45">
        <f t="shared" si="65"/>
        <v>87098.03656385238</v>
      </c>
      <c r="AK45">
        <f t="shared" si="66"/>
        <v>139624.50993877175</v>
      </c>
      <c r="AL45">
        <f t="shared" si="67"/>
        <v>194256.13276125581</v>
      </c>
      <c r="AM45">
        <f t="shared" si="68"/>
        <v>251077.27494825973</v>
      </c>
      <c r="AN45">
        <f t="shared" si="69"/>
        <v>310175.68778374547</v>
      </c>
      <c r="AO45">
        <f t="shared" si="70"/>
        <v>371642.63943668746</v>
      </c>
      <c r="AP45">
        <f t="shared" si="71"/>
        <v>435573.05591035093</v>
      </c>
      <c r="AQ45">
        <f t="shared" si="72"/>
        <v>502065.66764051869</v>
      </c>
      <c r="AR45">
        <f t="shared" si="73"/>
        <v>571223.16196906264</v>
      </c>
      <c r="AS45">
        <f t="shared" si="74"/>
        <v>643152.34172833303</v>
      </c>
      <c r="AT45">
        <f t="shared" si="75"/>
        <v>717964.2901812715</v>
      </c>
      <c r="AU45">
        <f t="shared" si="76"/>
        <v>795774.5425719755</v>
      </c>
      <c r="AV45">
        <f t="shared" si="77"/>
        <v>876703.26455164258</v>
      </c>
      <c r="AW45">
        <f t="shared" si="78"/>
        <v>960875.43775544921</v>
      </c>
      <c r="AX45">
        <f t="shared" si="79"/>
        <v>1048421.0528169557</v>
      </c>
      <c r="AY45">
        <f t="shared" si="80"/>
        <v>1139475.3101181192</v>
      </c>
      <c r="AZ45">
        <f t="shared" si="81"/>
        <v>1234178.8285849385</v>
      </c>
      <c r="BA45">
        <f t="shared" si="82"/>
        <v>1332677.8628511885</v>
      </c>
      <c r="BB45">
        <f t="shared" si="83"/>
        <v>1435124.5291256108</v>
      </c>
      <c r="BC45">
        <f t="shared" si="84"/>
        <v>1541677.0401113865</v>
      </c>
      <c r="BD45">
        <f t="shared" si="85"/>
        <v>1652499.9493406783</v>
      </c>
      <c r="BE45">
        <f t="shared" si="86"/>
        <v>1767764.4053015835</v>
      </c>
      <c r="BF45">
        <f t="shared" si="87"/>
        <v>1887648.4157499559</v>
      </c>
      <c r="BG45">
        <f t="shared" si="88"/>
        <v>2012337.1226142843</v>
      </c>
      <c r="BH45">
        <f t="shared" si="89"/>
        <v>2142023.0879181693</v>
      </c>
      <c r="BI45">
        <f t="shared" si="90"/>
        <v>2276906.5911619761</v>
      </c>
      <c r="BJ45">
        <f t="shared" si="91"/>
        <v>2417195.938622897</v>
      </c>
    </row>
    <row r="46" spans="1:62" x14ac:dyDescent="0.3">
      <c r="D46">
        <f t="shared" si="43"/>
        <v>40402.59416202295</v>
      </c>
      <c r="E46">
        <f t="shared" si="48"/>
        <v>89865.520058364025</v>
      </c>
      <c r="F46">
        <f t="shared" si="49"/>
        <v>140419.59563335849</v>
      </c>
      <c r="G46">
        <f t="shared" si="50"/>
        <v>192088.89159450389</v>
      </c>
      <c r="H46">
        <f t="shared" si="51"/>
        <v>244898.00964790501</v>
      </c>
      <c r="I46">
        <f t="shared" si="92"/>
        <v>299515.43581461086</v>
      </c>
      <c r="J46">
        <f t="shared" si="93"/>
        <v>355531.74593427544</v>
      </c>
      <c r="K46">
        <f t="shared" si="94"/>
        <v>412927.95221535536</v>
      </c>
      <c r="L46">
        <f t="shared" si="95"/>
        <v>471738.0467828624</v>
      </c>
      <c r="M46">
        <f t="shared" si="96"/>
        <v>532760.08515237446</v>
      </c>
      <c r="N46">
        <f t="shared" si="97"/>
        <v>595963.08233752043</v>
      </c>
      <c r="O46">
        <f t="shared" si="97"/>
        <v>660886.06356352125</v>
      </c>
      <c r="P46">
        <f t="shared" si="97"/>
        <v>727575.83586853265</v>
      </c>
      <c r="Q46">
        <f t="shared" si="97"/>
        <v>796080.48008091399</v>
      </c>
      <c r="R46">
        <f t="shared" si="97"/>
        <v>866449.38548370334</v>
      </c>
      <c r="S46">
        <f t="shared" si="97"/>
        <v>938733.28542244295</v>
      </c>
      <c r="T46">
        <f>(T45+4000)*1.00328-(0.000833*(T45+4000))</f>
        <v>1013609.5941091641</v>
      </c>
      <c r="U46">
        <f t="shared" si="54"/>
        <v>1088086.4909093776</v>
      </c>
      <c r="V46">
        <f t="shared" si="55"/>
        <v>1163528.3249452719</v>
      </c>
      <c r="W46">
        <f t="shared" si="56"/>
        <v>1240828.5801619592</v>
      </c>
      <c r="X46">
        <f t="shared" si="57"/>
        <v>1320033.036587581</v>
      </c>
      <c r="Y46">
        <f t="shared" si="58"/>
        <v>1401188.6019876287</v>
      </c>
      <c r="Z46">
        <f t="shared" si="59"/>
        <v>1484343.3396454318</v>
      </c>
      <c r="AA46">
        <f t="shared" si="60"/>
        <v>1569546.496826984</v>
      </c>
      <c r="AB46">
        <f t="shared" si="61"/>
        <v>1656848.5339469712</v>
      </c>
      <c r="AC46">
        <f t="shared" si="62"/>
        <v>1746301.1544532657</v>
      </c>
      <c r="AD46">
        <f t="shared" si="63"/>
        <v>1837957.3354475948</v>
      </c>
      <c r="AE46">
        <f t="shared" si="64"/>
        <v>1931871.3590605089</v>
      </c>
      <c r="AI46">
        <f t="shared" si="46"/>
        <v>40728.747338165223</v>
      </c>
      <c r="AJ46">
        <f t="shared" si="65"/>
        <v>91396.83812378181</v>
      </c>
      <c r="AK46">
        <f t="shared" si="66"/>
        <v>144095.59833137091</v>
      </c>
      <c r="AL46">
        <f t="shared" si="67"/>
        <v>198906.41287671271</v>
      </c>
      <c r="AM46">
        <f t="shared" si="68"/>
        <v>255913.92841009001</v>
      </c>
      <c r="AN46">
        <f t="shared" si="69"/>
        <v>315206.18403967615</v>
      </c>
      <c r="AO46">
        <f t="shared" si="70"/>
        <v>376874.74729403976</v>
      </c>
      <c r="AP46">
        <f t="shared" si="71"/>
        <v>441014.85553373687</v>
      </c>
      <c r="AQ46">
        <f t="shared" si="72"/>
        <v>507725.56303037959</v>
      </c>
      <c r="AR46">
        <f t="shared" si="73"/>
        <v>577109.89394032117</v>
      </c>
      <c r="AS46">
        <f t="shared" si="74"/>
        <v>649275.00140920188</v>
      </c>
      <c r="AT46">
        <f t="shared" si="75"/>
        <v>724332.33305306605</v>
      </c>
      <c r="AU46">
        <f t="shared" si="76"/>
        <v>802397.80307161156</v>
      </c>
      <c r="AV46">
        <f t="shared" si="77"/>
        <v>883591.97125937196</v>
      </c>
      <c r="AW46">
        <f t="shared" si="78"/>
        <v>968040.22919128707</v>
      </c>
      <c r="AX46">
        <f t="shared" si="79"/>
        <v>1055872.9938701955</v>
      </c>
      <c r="AY46">
        <f t="shared" si="80"/>
        <v>1147225.9091353067</v>
      </c>
      <c r="AZ46">
        <f t="shared" si="81"/>
        <v>1242240.0551426972</v>
      </c>
      <c r="BA46">
        <f t="shared" si="82"/>
        <v>1341062.1662413403</v>
      </c>
      <c r="BB46">
        <f t="shared" si="83"/>
        <v>1443844.8575811428</v>
      </c>
      <c r="BC46">
        <f t="shared" si="84"/>
        <v>1550746.8608029517</v>
      </c>
      <c r="BD46">
        <f t="shared" si="85"/>
        <v>1661933.2691745157</v>
      </c>
      <c r="BE46">
        <f t="shared" si="86"/>
        <v>1777575.7925509727</v>
      </c>
      <c r="BF46">
        <f t="shared" si="87"/>
        <v>1897853.0225536157</v>
      </c>
      <c r="BG46">
        <f t="shared" si="88"/>
        <v>2022950.7083764591</v>
      </c>
      <c r="BH46">
        <f t="shared" si="89"/>
        <v>2153062.043646541</v>
      </c>
      <c r="BI46">
        <f t="shared" si="90"/>
        <v>2288387.9647809872</v>
      </c>
      <c r="BJ46">
        <f t="shared" si="91"/>
        <v>2429137.4613015801</v>
      </c>
    </row>
    <row r="47" spans="1:62" x14ac:dyDescent="0.3">
      <c r="D47">
        <f t="shared" si="43"/>
        <v>44483.406883397831</v>
      </c>
      <c r="E47">
        <f t="shared" si="48"/>
        <v>94036.355304870245</v>
      </c>
      <c r="F47">
        <f t="shared" si="49"/>
        <v>144682.43929741118</v>
      </c>
      <c r="G47">
        <f t="shared" si="50"/>
        <v>196445.77337720589</v>
      </c>
      <c r="H47">
        <f t="shared" si="51"/>
        <v>249351.00402546418</v>
      </c>
      <c r="I47">
        <f t="shared" si="92"/>
        <v>304131.57214931451</v>
      </c>
      <c r="J47">
        <f t="shared" si="93"/>
        <v>360261.595378522</v>
      </c>
      <c r="K47">
        <f t="shared" si="94"/>
        <v>417774.31595835253</v>
      </c>
      <c r="L47">
        <f t="shared" si="95"/>
        <v>476703.79501783155</v>
      </c>
      <c r="M47">
        <f t="shared" si="96"/>
        <v>537962.42774311581</v>
      </c>
      <c r="N47">
        <f t="shared" si="97"/>
        <v>601306.99964195641</v>
      </c>
      <c r="O47">
        <f t="shared" si="97"/>
        <v>666375.4083459035</v>
      </c>
      <c r="P47">
        <f t="shared" si="97"/>
        <v>733214.56574087823</v>
      </c>
      <c r="Q47">
        <f t="shared" si="97"/>
        <v>801872.66035629518</v>
      </c>
      <c r="R47">
        <f t="shared" si="97"/>
        <v>872399.19210718677</v>
      </c>
      <c r="S47">
        <f t="shared" si="97"/>
        <v>944845.00798178918</v>
      </c>
      <c r="T47">
        <f>(T46+4000)*1.00328-(0.000833*(T46+4000))</f>
        <v>1020099.6847859492</v>
      </c>
      <c r="U47">
        <f t="shared" si="54"/>
        <v>1094303.4264859236</v>
      </c>
      <c r="V47">
        <f t="shared" si="55"/>
        <v>1169898.4074449108</v>
      </c>
      <c r="W47">
        <f t="shared" si="56"/>
        <v>1247355.5821796879</v>
      </c>
      <c r="X47">
        <f t="shared" si="57"/>
        <v>1326720.8236518537</v>
      </c>
      <c r="Y47">
        <f t="shared" si="58"/>
        <v>1408041.1348496636</v>
      </c>
      <c r="Z47">
        <f t="shared" si="59"/>
        <v>1491364.6766249118</v>
      </c>
      <c r="AA47">
        <f t="shared" si="60"/>
        <v>1576740.7962155426</v>
      </c>
      <c r="AB47">
        <f t="shared" si="61"/>
        <v>1664220.0564708833</v>
      </c>
      <c r="AC47">
        <f t="shared" si="62"/>
        <v>1753854.2657968057</v>
      </c>
      <c r="AD47">
        <f t="shared" si="63"/>
        <v>1845696.5088385534</v>
      </c>
      <c r="AE47">
        <f t="shared" si="64"/>
        <v>1939801.1779194016</v>
      </c>
      <c r="AI47">
        <f t="shared" si="46"/>
        <v>44875.457629434401</v>
      </c>
      <c r="AJ47">
        <f t="shared" si="65"/>
        <v>95709.739752827809</v>
      </c>
      <c r="AK47">
        <f t="shared" si="66"/>
        <v>148581.35189389781</v>
      </c>
      <c r="AL47">
        <f t="shared" si="67"/>
        <v>203571.94591094833</v>
      </c>
      <c r="AM47">
        <f t="shared" si="68"/>
        <v>260766.44609527508</v>
      </c>
      <c r="AN47">
        <f t="shared" si="69"/>
        <v>320253.18032332626</v>
      </c>
      <c r="AO47">
        <f t="shared" si="70"/>
        <v>382124.0164651642</v>
      </c>
      <c r="AP47">
        <f t="shared" si="71"/>
        <v>446474.5042598875</v>
      </c>
      <c r="AQ47">
        <f t="shared" si="72"/>
        <v>513404.02287711919</v>
      </c>
      <c r="AR47">
        <f t="shared" si="73"/>
        <v>583015.93439244537</v>
      </c>
      <c r="AS47">
        <f t="shared" si="74"/>
        <v>655417.74341382401</v>
      </c>
      <c r="AT47">
        <f t="shared" si="75"/>
        <v>730721.26310548012</v>
      </c>
      <c r="AU47">
        <f t="shared" si="76"/>
        <v>809042.78786568646</v>
      </c>
      <c r="AV47">
        <f t="shared" si="77"/>
        <v>890503.27292510262</v>
      </c>
      <c r="AW47">
        <f t="shared" si="78"/>
        <v>975228.52114303445</v>
      </c>
      <c r="AX47">
        <f t="shared" si="79"/>
        <v>1063349.3772900896</v>
      </c>
      <c r="AY47">
        <f t="shared" si="80"/>
        <v>1155001.9301172704</v>
      </c>
      <c r="AZ47">
        <f t="shared" si="81"/>
        <v>1250327.7225235652</v>
      </c>
      <c r="BA47">
        <f t="shared" si="82"/>
        <v>1349473.9701466118</v>
      </c>
      <c r="BB47">
        <f t="shared" si="83"/>
        <v>1452593.7887140089</v>
      </c>
      <c r="BC47">
        <f t="shared" si="84"/>
        <v>1559846.4305063854</v>
      </c>
      <c r="BD47">
        <f t="shared" si="85"/>
        <v>1671397.5302974081</v>
      </c>
      <c r="BE47">
        <f t="shared" si="86"/>
        <v>1787419.3611505397</v>
      </c>
      <c r="BF47">
        <f t="shared" si="87"/>
        <v>1908091.1004675915</v>
      </c>
      <c r="BG47">
        <f t="shared" si="88"/>
        <v>2033599.1066999338</v>
      </c>
      <c r="BH47">
        <f t="shared" si="89"/>
        <v>2164137.2071497017</v>
      </c>
      <c r="BI47">
        <f t="shared" si="90"/>
        <v>2299906.9973054687</v>
      </c>
      <c r="BJ47">
        <f t="shared" si="91"/>
        <v>2441118.1521746493</v>
      </c>
    </row>
    <row r="48" spans="1:62" x14ac:dyDescent="0.3">
      <c r="D48">
        <f t="shared" si="43"/>
        <v>48571.64668392561</v>
      </c>
      <c r="E48">
        <f>(E47+4000)*1.00328-(0.00146*(E47+4000))</f>
        <v>98214.781471525101</v>
      </c>
      <c r="F48">
        <f>(F47+4000)*1.00328-(0.00146*(F47+4000))</f>
        <v>148953.04133693245</v>
      </c>
      <c r="G48">
        <f>(G47+4000)*1.00328-(0.00146*(G47+4000))</f>
        <v>200810.58468475239</v>
      </c>
      <c r="H48">
        <f>(H47+4000)*1.00328-(0.00125*(H47+4000))</f>
        <v>253865.30656363588</v>
      </c>
      <c r="I48">
        <f t="shared" si="92"/>
        <v>308757.07924077759</v>
      </c>
      <c r="J48">
        <f t="shared" si="93"/>
        <v>365001.04641714034</v>
      </c>
      <c r="K48">
        <f t="shared" si="94"/>
        <v>422630.51781974797</v>
      </c>
      <c r="L48">
        <f t="shared" si="95"/>
        <v>481679.62372171774</v>
      </c>
      <c r="M48">
        <f t="shared" si="96"/>
        <v>543176.42358126037</v>
      </c>
      <c r="N48">
        <f t="shared" si="97"/>
        <v>606662.88732115435</v>
      </c>
      <c r="O48">
        <f t="shared" si="97"/>
        <v>671877.04926059826</v>
      </c>
      <c r="P48">
        <f t="shared" si="97"/>
        <v>738865.92636813782</v>
      </c>
      <c r="Q48">
        <f t="shared" si="97"/>
        <v>807677.81511549326</v>
      </c>
      <c r="R48">
        <f t="shared" si="97"/>
        <v>878362.32629750681</v>
      </c>
      <c r="S48">
        <f t="shared" si="97"/>
        <v>950970.4207996683</v>
      </c>
      <c r="T48">
        <f>(T47+4000)*1.00328-(0.000833*(T47+4000))</f>
        <v>1026605.6567146204</v>
      </c>
      <c r="U48">
        <f t="shared" si="54"/>
        <v>1100532.9824416901</v>
      </c>
      <c r="V48">
        <f t="shared" si="55"/>
        <v>1176281.4212120241</v>
      </c>
      <c r="W48" s="3">
        <f t="shared" si="56"/>
        <v>1253895.8340115126</v>
      </c>
      <c r="X48">
        <f t="shared" si="57"/>
        <v>1333422.1869238669</v>
      </c>
      <c r="Y48">
        <f t="shared" si="58"/>
        <v>1414907.5783534083</v>
      </c>
      <c r="Z48">
        <f t="shared" si="59"/>
        <v>1498400.2669184604</v>
      </c>
      <c r="AA48">
        <f t="shared" si="60"/>
        <v>1583949.7000318603</v>
      </c>
      <c r="AB48" s="3">
        <f t="shared" si="61"/>
        <v>1671606.5431855191</v>
      </c>
      <c r="AC48">
        <f t="shared" si="62"/>
        <v>1761422.7099563733</v>
      </c>
      <c r="AD48">
        <f t="shared" si="63"/>
        <v>1853451.3927514956</v>
      </c>
      <c r="AE48">
        <f t="shared" si="64"/>
        <v>1947747.0943105777</v>
      </c>
      <c r="AI48">
        <f t="shared" si="46"/>
        <v>49035.769130458946</v>
      </c>
      <c r="AJ48">
        <f t="shared" si="65"/>
        <v>100036.78769921708</v>
      </c>
      <c r="AK48">
        <f t="shared" si="66"/>
        <v>153081.81872810979</v>
      </c>
      <c r="AL48">
        <f t="shared" si="67"/>
        <v>208252.78189353622</v>
      </c>
      <c r="AM48">
        <f t="shared" si="68"/>
        <v>265634.88003846759</v>
      </c>
      <c r="AN48">
        <f t="shared" si="69"/>
        <v>325316.73075478675</v>
      </c>
      <c r="AO48">
        <f t="shared" si="70"/>
        <v>387390.50323916989</v>
      </c>
      <c r="AP48">
        <f t="shared" si="71"/>
        <v>451952.06063385989</v>
      </c>
      <c r="AQ48">
        <f t="shared" si="72"/>
        <v>519101.10807215609</v>
      </c>
      <c r="AR48">
        <f t="shared" si="73"/>
        <v>588941.34665725252</v>
      </c>
      <c r="AS48">
        <f t="shared" si="74"/>
        <v>661580.63361222134</v>
      </c>
      <c r="AT48">
        <f t="shared" si="75"/>
        <v>737131.14884846611</v>
      </c>
      <c r="AU48">
        <f t="shared" si="76"/>
        <v>815709.56820988585</v>
      </c>
      <c r="AV48">
        <f t="shared" si="77"/>
        <v>897437.2436602969</v>
      </c>
      <c r="AW48">
        <f t="shared" si="78"/>
        <v>982440.39069238352</v>
      </c>
      <c r="AX48">
        <f t="shared" si="79"/>
        <v>1070850.283247601</v>
      </c>
      <c r="AY48">
        <f t="shared" si="80"/>
        <v>1162803.4564480551</v>
      </c>
      <c r="AZ48">
        <f t="shared" si="81"/>
        <v>1258441.9174534425</v>
      </c>
      <c r="BA48">
        <f t="shared" si="82"/>
        <v>1357913.3647686925</v>
      </c>
      <c r="BB48" s="3">
        <f t="shared" si="83"/>
        <v>1461371.4163409907</v>
      </c>
      <c r="BC48">
        <f t="shared" si="84"/>
        <v>1568975.8467984463</v>
      </c>
      <c r="BD48">
        <f t="shared" si="85"/>
        <v>1680892.8341967836</v>
      </c>
      <c r="BE48">
        <f t="shared" si="86"/>
        <v>1797295.2166551135</v>
      </c>
      <c r="BF48">
        <f t="shared" si="87"/>
        <v>1918362.7592771251</v>
      </c>
      <c r="BG48" s="3">
        <f t="shared" si="88"/>
        <v>2044282.4317699093</v>
      </c>
      <c r="BH48">
        <f t="shared" si="89"/>
        <v>2175248.6971891527</v>
      </c>
      <c r="BI48">
        <f t="shared" si="90"/>
        <v>2311463.8122566305</v>
      </c>
      <c r="BJ48">
        <f t="shared" si="91"/>
        <v>2453138.1397137819</v>
      </c>
    </row>
    <row r="51" spans="1:62" x14ac:dyDescent="0.3">
      <c r="D51" t="s">
        <v>55</v>
      </c>
      <c r="AI51" t="s">
        <v>55</v>
      </c>
      <c r="AJ51" t="s">
        <v>66</v>
      </c>
    </row>
    <row r="52" spans="1:62" x14ac:dyDescent="0.3">
      <c r="D52" t="s">
        <v>56</v>
      </c>
      <c r="AI52" t="s">
        <v>56</v>
      </c>
    </row>
    <row r="53" spans="1:62" x14ac:dyDescent="0.3">
      <c r="D53" t="s">
        <v>54</v>
      </c>
      <c r="AI53" t="s">
        <v>54</v>
      </c>
    </row>
    <row r="54" spans="1:62" x14ac:dyDescent="0.3">
      <c r="D54" t="s">
        <v>15</v>
      </c>
      <c r="E54" t="s">
        <v>16</v>
      </c>
      <c r="F54" t="s">
        <v>17</v>
      </c>
      <c r="G54" t="s">
        <v>18</v>
      </c>
      <c r="H54" t="s">
        <v>19</v>
      </c>
      <c r="I54" t="s">
        <v>20</v>
      </c>
      <c r="J54" t="s">
        <v>21</v>
      </c>
      <c r="K54" t="s">
        <v>22</v>
      </c>
      <c r="L54" t="s">
        <v>23</v>
      </c>
      <c r="M54" t="s">
        <v>24</v>
      </c>
      <c r="N54" t="s">
        <v>25</v>
      </c>
      <c r="O54" t="s">
        <v>26</v>
      </c>
      <c r="P54" t="s">
        <v>27</v>
      </c>
      <c r="Q54" t="s">
        <v>28</v>
      </c>
      <c r="R54" t="s">
        <v>29</v>
      </c>
      <c r="S54" t="s">
        <v>30</v>
      </c>
      <c r="T54" t="s">
        <v>31</v>
      </c>
      <c r="U54" t="s">
        <v>32</v>
      </c>
      <c r="V54" t="s">
        <v>33</v>
      </c>
      <c r="W54" t="s">
        <v>34</v>
      </c>
      <c r="X54" t="s">
        <v>35</v>
      </c>
      <c r="Y54" t="s">
        <v>36</v>
      </c>
      <c r="Z54" t="s">
        <v>37</v>
      </c>
      <c r="AA54" t="s">
        <v>38</v>
      </c>
      <c r="AB54" t="s">
        <v>39</v>
      </c>
      <c r="AC54" t="s">
        <v>67</v>
      </c>
      <c r="AD54" t="s">
        <v>68</v>
      </c>
      <c r="AE54" t="s">
        <v>69</v>
      </c>
      <c r="AI54" t="s">
        <v>15</v>
      </c>
      <c r="AJ54" t="s">
        <v>16</v>
      </c>
      <c r="AK54" t="s">
        <v>17</v>
      </c>
      <c r="AL54" t="s">
        <v>18</v>
      </c>
      <c r="AM54" t="s">
        <v>19</v>
      </c>
      <c r="AN54" t="s">
        <v>20</v>
      </c>
      <c r="AO54" t="s">
        <v>21</v>
      </c>
      <c r="AP54" t="s">
        <v>22</v>
      </c>
      <c r="AQ54" t="s">
        <v>23</v>
      </c>
      <c r="AR54" t="s">
        <v>24</v>
      </c>
      <c r="AS54" t="s">
        <v>25</v>
      </c>
      <c r="AT54" t="s">
        <v>26</v>
      </c>
      <c r="AU54" t="s">
        <v>27</v>
      </c>
      <c r="AV54" t="s">
        <v>28</v>
      </c>
      <c r="AW54" t="s">
        <v>29</v>
      </c>
      <c r="AX54" t="s">
        <v>30</v>
      </c>
      <c r="AY54" t="s">
        <v>31</v>
      </c>
      <c r="AZ54" t="s">
        <v>32</v>
      </c>
      <c r="BA54" t="s">
        <v>33</v>
      </c>
      <c r="BB54" t="s">
        <v>34</v>
      </c>
      <c r="BC54" t="s">
        <v>35</v>
      </c>
      <c r="BD54" t="s">
        <v>36</v>
      </c>
      <c r="BE54" t="s">
        <v>37</v>
      </c>
      <c r="BF54" t="s">
        <v>38</v>
      </c>
      <c r="BG54" t="s">
        <v>39</v>
      </c>
      <c r="BH54" t="s">
        <v>67</v>
      </c>
      <c r="BI54" t="s">
        <v>68</v>
      </c>
      <c r="BJ54" t="s">
        <v>69</v>
      </c>
    </row>
    <row r="55" spans="1:62" x14ac:dyDescent="0.3">
      <c r="D55">
        <v>0</v>
      </c>
      <c r="AI55">
        <v>0</v>
      </c>
    </row>
    <row r="56" spans="1:62" x14ac:dyDescent="0.3">
      <c r="D56">
        <f t="shared" ref="D56:D67" si="98">(D55+4000)*1.00407-(0.00146*(D55+4000))</f>
        <v>4010.44</v>
      </c>
      <c r="E56">
        <f>(D67+4000)*1.00407-(0.00146*(D67+4000))</f>
        <v>52960.029980110419</v>
      </c>
      <c r="F56">
        <f>(E67+4000)*1.00407-(0.00146*(E67+4000))</f>
        <v>103464.92138132553</v>
      </c>
      <c r="G56">
        <f>(F67+4000)*1.00407-(0.00146*(F67+4000))</f>
        <v>155574.53162494488</v>
      </c>
      <c r="H56">
        <f>(G67+4000)*1.00407-(0.00146*(G67+4000))</f>
        <v>209339.84829834316</v>
      </c>
      <c r="I56">
        <f>(H67+4000)*1.00407-(0.00125*(H67+4000))</f>
        <v>265030.36177247111</v>
      </c>
      <c r="J56">
        <f>(I67+4000)*1.00407-(0.00125*(I67+4000))</f>
        <v>323028.41054274136</v>
      </c>
      <c r="K56">
        <f>(J67+4000)*1.00407-(0.00125*(J67+4000))</f>
        <v>383019.84201344859</v>
      </c>
      <c r="L56">
        <f>(K67+4000)*1.00407-(0.00125*(K67+4000))</f>
        <v>445073.1683962043</v>
      </c>
      <c r="M56">
        <f t="shared" ref="M56:S56" si="99">(L67+4000)*1.00407-(0.00104*(L67+4000))</f>
        <v>509471.72622881812</v>
      </c>
      <c r="N56">
        <f t="shared" si="99"/>
        <v>577263.90945266327</v>
      </c>
      <c r="O56">
        <f t="shared" si="99"/>
        <v>647562.51214295381</v>
      </c>
      <c r="P56">
        <f t="shared" si="99"/>
        <v>720460.20189413906</v>
      </c>
      <c r="Q56">
        <f t="shared" si="99"/>
        <v>796053.07241635758</v>
      </c>
      <c r="R56">
        <f t="shared" si="99"/>
        <v>874440.77020613581</v>
      </c>
      <c r="S56">
        <f t="shared" si="99"/>
        <v>955726.62590036483</v>
      </c>
      <c r="T56">
        <f>(S67+4000)*1.00407-(0.000833*(S67+4000))</f>
        <v>1041293.7754180941</v>
      </c>
      <c r="U56">
        <f t="shared" ref="U56:AE56" si="100">(T67+4000)*1.00407-(0.00125*(T67+4000))</f>
        <v>1131021.4529379357</v>
      </c>
      <c r="V56">
        <f t="shared" si="100"/>
        <v>1218783.4626769517</v>
      </c>
      <c r="W56">
        <f t="shared" si="100"/>
        <v>1309561.8372020021</v>
      </c>
      <c r="X56">
        <f t="shared" si="100"/>
        <v>1403460.2484384386</v>
      </c>
      <c r="Y56">
        <f t="shared" si="100"/>
        <v>1500585.9314973929</v>
      </c>
      <c r="Z56">
        <f t="shared" si="100"/>
        <v>1601049.8071418365</v>
      </c>
      <c r="AA56">
        <f t="shared" si="100"/>
        <v>1704966.6084617928</v>
      </c>
      <c r="AB56">
        <f t="shared" si="100"/>
        <v>1812455.0119033384</v>
      </c>
      <c r="AC56">
        <f t="shared" si="100"/>
        <v>1923637.7728010577</v>
      </c>
      <c r="AD56">
        <f t="shared" si="100"/>
        <v>2038641.8655687196</v>
      </c>
      <c r="AE56">
        <f t="shared" si="100"/>
        <v>2157598.6287082857</v>
      </c>
      <c r="AI56">
        <f t="shared" ref="AI56:AI67" si="101">(AI55+4000)*1.00407-0</f>
        <v>4016.28</v>
      </c>
      <c r="AJ56">
        <f t="shared" ref="AJ56:BJ56" si="102">(AI67+4000)*1.00407-0</f>
        <v>53505.870651488549</v>
      </c>
      <c r="AK56">
        <f t="shared" si="102"/>
        <v>105467.37986435552</v>
      </c>
      <c r="AL56">
        <f t="shared" si="102"/>
        <v>160024.27565063434</v>
      </c>
      <c r="AM56">
        <f t="shared" si="102"/>
        <v>217306.19303377767</v>
      </c>
      <c r="AN56">
        <f t="shared" si="102"/>
        <v>277449.24208009994</v>
      </c>
      <c r="AO56">
        <f t="shared" si="102"/>
        <v>340596.331315852</v>
      </c>
      <c r="AP56">
        <f t="shared" si="102"/>
        <v>406897.50729841326</v>
      </c>
      <c r="AQ56">
        <f t="shared" si="102"/>
        <v>476510.31114847196</v>
      </c>
      <c r="AR56">
        <f t="shared" si="102"/>
        <v>549600.15289036406</v>
      </c>
      <c r="AS56">
        <f t="shared" si="102"/>
        <v>626340.70449005871</v>
      </c>
      <c r="AT56">
        <f t="shared" si="102"/>
        <v>706914.31252470275</v>
      </c>
      <c r="AU56">
        <f t="shared" si="102"/>
        <v>791512.43146428966</v>
      </c>
      <c r="AV56">
        <f t="shared" si="102"/>
        <v>880336.07859498868</v>
      </c>
      <c r="AW56">
        <f t="shared" si="102"/>
        <v>973596.31166510063</v>
      </c>
      <c r="AX56">
        <f t="shared" si="102"/>
        <v>1071514.7303885946</v>
      </c>
      <c r="AY56">
        <f t="shared" si="102"/>
        <v>1174324.0029978668</v>
      </c>
      <c r="AZ56">
        <f t="shared" si="102"/>
        <v>1282268.419096895</v>
      </c>
      <c r="BA56">
        <f t="shared" si="102"/>
        <v>1395604.4701284363</v>
      </c>
      <c r="BB56">
        <f t="shared" si="102"/>
        <v>1514601.4588345501</v>
      </c>
      <c r="BC56">
        <f t="shared" si="102"/>
        <v>1639542.1391586093</v>
      </c>
      <c r="BD56">
        <f t="shared" si="102"/>
        <v>1770723.3881092952</v>
      </c>
      <c r="BE56">
        <f t="shared" si="102"/>
        <v>1908456.9111830294</v>
      </c>
      <c r="BF56">
        <f t="shared" si="102"/>
        <v>2053069.9830210204</v>
      </c>
      <c r="BG56">
        <f t="shared" si="102"/>
        <v>2204906.2250608341</v>
      </c>
      <c r="BH56">
        <f t="shared" si="102"/>
        <v>2364326.4220303074</v>
      </c>
      <c r="BI56">
        <f t="shared" si="102"/>
        <v>2531709.3792238967</v>
      </c>
      <c r="BJ56">
        <f t="shared" si="102"/>
        <v>2707452.8225984885</v>
      </c>
    </row>
    <row r="57" spans="1:62" x14ac:dyDescent="0.3">
      <c r="D57">
        <f t="shared" si="98"/>
        <v>8031.3472484000004</v>
      </c>
      <c r="E57">
        <f t="shared" ref="E57:H64" si="103">(E56+4000)*1.00407-(0.00146*(E56+4000))</f>
        <v>57108.695658358512</v>
      </c>
      <c r="F57">
        <f t="shared" si="103"/>
        <v>107745.40482613079</v>
      </c>
      <c r="G57">
        <f t="shared" si="103"/>
        <v>159991.02115248598</v>
      </c>
      <c r="H57">
        <f t="shared" si="103"/>
        <v>213896.66530240185</v>
      </c>
      <c r="I57">
        <f t="shared" ref="I57:I66" si="104">(I56+4000)*1.00407-(0.00125*(I56+4000))</f>
        <v>269789.02739266946</v>
      </c>
      <c r="J57">
        <f t="shared" ref="J57:J66" si="105">(J56+4000)*1.00407-(0.00125*(J56+4000))</f>
        <v>327950.63066047186</v>
      </c>
      <c r="K57">
        <f t="shared" ref="K57:K66" si="106">(K56+4000)*1.00407-(0.00125*(K56+4000))</f>
        <v>388111.23796792654</v>
      </c>
      <c r="L57">
        <f t="shared" ref="L57:L66" si="107">(L56+4000)*1.00407-(0.00125*(L56+4000))</f>
        <v>450339.55473108159</v>
      </c>
      <c r="M57">
        <f t="shared" ref="M57:S62" si="108">(M56+4000)*1.00407-(0.00104*(M56+4000))</f>
        <v>515027.54555929144</v>
      </c>
      <c r="N57">
        <f t="shared" si="108"/>
        <v>583025.13909830491</v>
      </c>
      <c r="O57">
        <f t="shared" si="108"/>
        <v>653536.74655474699</v>
      </c>
      <c r="P57">
        <f t="shared" si="108"/>
        <v>726655.31630587834</v>
      </c>
      <c r="Q57">
        <f t="shared" si="108"/>
        <v>802477.23322577914</v>
      </c>
      <c r="R57">
        <f t="shared" si="108"/>
        <v>881102.44573986053</v>
      </c>
      <c r="S57">
        <f t="shared" si="108"/>
        <v>962634.59757684299</v>
      </c>
      <c r="T57">
        <f t="shared" ref="T57:T67" si="109">(T56+4000)*1.00407-(0.000833*(T56+4000))</f>
        <v>1048677.3913691225</v>
      </c>
      <c r="U57">
        <f t="shared" ref="U57:U67" si="110">(U56+4000)*1.00407-(0.00125*(U56+4000))</f>
        <v>1138222.2134352205</v>
      </c>
      <c r="V57">
        <f t="shared" ref="V57:V67" si="111">(V56+4000)*1.00407-(0.00125*(V56+4000))</f>
        <v>1226231.7120417007</v>
      </c>
      <c r="W57">
        <f t="shared" ref="W57:W67" si="112">(W56+4000)*1.00407-(0.00125*(W56+4000))</f>
        <v>1317266.0815829118</v>
      </c>
      <c r="X57">
        <f t="shared" ref="X57:X67" si="113">(X56+4000)*1.00407-(0.00125*(X56+4000))</f>
        <v>1411429.286339035</v>
      </c>
      <c r="Y57">
        <f t="shared" ref="Y57:Y67" si="114">(Y56+4000)*1.00407-(0.00125*(Y56+4000))</f>
        <v>1508828.8638242155</v>
      </c>
      <c r="Z57">
        <f t="shared" ref="Z57:Z67" si="115">(Z56+4000)*1.00407-(0.00125*(Z56+4000))</f>
        <v>1609576.0475979764</v>
      </c>
      <c r="AA57">
        <f t="shared" ref="AA57:AA67" si="116">(AA56+4000)*1.00407-(0.00125*(AA56+4000))</f>
        <v>1713785.8942976552</v>
      </c>
      <c r="AB57">
        <f t="shared" ref="AB57:AB67" si="117">(AB56+4000)*1.00407-(0.00125*(AB56+4000))</f>
        <v>1821577.4150369058</v>
      </c>
      <c r="AC57">
        <f t="shared" ref="AC57:AC67" si="118">(AC56+4000)*1.00407-(0.00125*(AC56+4000))</f>
        <v>1933073.7113203565</v>
      </c>
      <c r="AD57">
        <f t="shared" ref="AD57:AD67" si="119">(AD56+4000)*1.00407-(0.00125*(AD56+4000))</f>
        <v>2048402.1156296234</v>
      </c>
      <c r="AE57">
        <f t="shared" ref="AE57:AE67" si="120">(AE56+4000)*1.00407-(0.00125*(AE56+4000))</f>
        <v>2167694.3368412429</v>
      </c>
      <c r="AI57">
        <f t="shared" si="101"/>
        <v>8048.9062596000012</v>
      </c>
      <c r="AJ57">
        <f t="shared" ref="AJ57:AJ67" si="121">(AJ56+4000)*1.00407-0</f>
        <v>57739.919545040109</v>
      </c>
      <c r="AK57">
        <f t="shared" ref="AK57:AK67" si="122">(AK56+4000)*1.00407-0</f>
        <v>109912.91210040345</v>
      </c>
      <c r="AL57">
        <f t="shared" ref="AL57:AL67" si="123">(AL56+4000)*1.00407-0</f>
        <v>164691.85445253243</v>
      </c>
      <c r="AM57">
        <f t="shared" ref="AM57:AM67" si="124">(AM56+4000)*1.00407-0</f>
        <v>222206.90923942515</v>
      </c>
      <c r="AN57">
        <f t="shared" ref="AN57:AN67" si="125">(AN56+4000)*1.00407-0</f>
        <v>282594.74049536593</v>
      </c>
      <c r="AO57">
        <f t="shared" ref="AO57:AO67" si="126">(AO56+4000)*1.00407-0</f>
        <v>345998.83838430751</v>
      </c>
      <c r="AP57">
        <f t="shared" ref="AP57:AP67" si="127">(AP56+4000)*1.00407-0</f>
        <v>412569.8601531178</v>
      </c>
      <c r="AQ57">
        <f t="shared" ref="AQ57:AQ67" si="128">(AQ56+4000)*1.00407-0</f>
        <v>482465.98811484623</v>
      </c>
      <c r="AR57">
        <f t="shared" ref="AR57:AR67" si="129">(AR56+4000)*1.00407-0</f>
        <v>555853.30551262782</v>
      </c>
      <c r="AS57">
        <f t="shared" ref="AS57:AS67" si="130">(AS56+4000)*1.00407-0</f>
        <v>632906.1911573332</v>
      </c>
      <c r="AT57">
        <f t="shared" ref="AT57:AT67" si="131">(AT56+4000)*1.00407-0</f>
        <v>713807.73377667833</v>
      </c>
      <c r="AU57">
        <f t="shared" ref="AU57:AU67" si="132">(AU56+4000)*1.00407-0</f>
        <v>798750.16706034937</v>
      </c>
      <c r="AV57">
        <f t="shared" ref="AV57:AV67" si="133">(AV56+4000)*1.00407-0</f>
        <v>887935.32643487025</v>
      </c>
      <c r="AW57">
        <f t="shared" ref="AW57:AW67" si="134">(AW56+4000)*1.00407-0</f>
        <v>981575.12865357765</v>
      </c>
      <c r="AX57">
        <f t="shared" ref="AX57:AX67" si="135">(AX56+4000)*1.00407-0</f>
        <v>1079892.0753412761</v>
      </c>
      <c r="AY57">
        <f t="shared" ref="AY57:AY67" si="136">(AY56+4000)*1.00407-0</f>
        <v>1183119.7816900681</v>
      </c>
      <c r="AZ57">
        <f t="shared" ref="AZ57:AZ67" si="137">(AZ56+4000)*1.00407-0</f>
        <v>1291503.5315626194</v>
      </c>
      <c r="BA57">
        <f t="shared" ref="BA57:BA67" si="138">(BA56+4000)*1.00407-0</f>
        <v>1405300.8603218591</v>
      </c>
      <c r="BB57">
        <f t="shared" ref="BB57:BB67" si="139">(BB56+4000)*1.00407-0</f>
        <v>1524782.1667720068</v>
      </c>
      <c r="BC57">
        <f t="shared" ref="BC57:BC67" si="140">(BC56+4000)*1.00407-0</f>
        <v>1650231.3556649848</v>
      </c>
      <c r="BD57">
        <f t="shared" ref="BD57:BD67" si="141">(BD56+4000)*1.00407-0</f>
        <v>1781946.5122988999</v>
      </c>
      <c r="BE57">
        <f t="shared" ref="BE57:BE67" si="142">(BE56+4000)*1.00407-0</f>
        <v>1920240.6108115443</v>
      </c>
      <c r="BF57">
        <f t="shared" ref="BF57:BF67" si="143">(BF56+4000)*1.00407-0</f>
        <v>2065442.2578519159</v>
      </c>
      <c r="BG57">
        <f t="shared" ref="BG57:BG67" si="144">(BG56+4000)*1.00407-0</f>
        <v>2217896.4733968317</v>
      </c>
      <c r="BH57">
        <f t="shared" ref="BH57:BH67" si="145">(BH56+4000)*1.00407-0</f>
        <v>2377965.5105679706</v>
      </c>
      <c r="BI57">
        <f t="shared" ref="BI57:BI67" si="146">(BI56+4000)*1.00407-0</f>
        <v>2546029.7163973381</v>
      </c>
      <c r="BJ57">
        <f t="shared" ref="BJ57:BJ67" si="147">(BJ56+4000)*1.00407-0</f>
        <v>2722488.4355864646</v>
      </c>
    </row>
    <row r="58" spans="1:62" x14ac:dyDescent="0.3">
      <c r="A58">
        <f>0.0175/12</f>
        <v>1.4583333333333334E-3</v>
      </c>
      <c r="B58">
        <v>1.75</v>
      </c>
      <c r="D58">
        <f t="shared" si="98"/>
        <v>12062.749064718326</v>
      </c>
      <c r="E58">
        <f t="shared" si="103"/>
        <v>61268.189354026828</v>
      </c>
      <c r="F58">
        <f t="shared" si="103"/>
        <v>112037.06033272699</v>
      </c>
      <c r="G58">
        <f t="shared" si="103"/>
        <v>164419.03771769395</v>
      </c>
      <c r="H58">
        <f t="shared" si="103"/>
        <v>218465.37559884111</v>
      </c>
      <c r="I58">
        <f t="shared" si="104"/>
        <v>274561.11244991678</v>
      </c>
      <c r="J58">
        <f t="shared" si="105"/>
        <v>332886.73143893434</v>
      </c>
      <c r="K58">
        <f t="shared" si="106"/>
        <v>393216.99165899609</v>
      </c>
      <c r="L58">
        <f t="shared" si="107"/>
        <v>455620.79227542324</v>
      </c>
      <c r="M58">
        <f t="shared" si="108"/>
        <v>520600.19902233611</v>
      </c>
      <c r="N58">
        <f t="shared" si="108"/>
        <v>588803.82526977279</v>
      </c>
      <c r="O58">
        <f t="shared" si="108"/>
        <v>659529.08289680793</v>
      </c>
      <c r="P58">
        <f t="shared" si="108"/>
        <v>732869.20191428519</v>
      </c>
      <c r="Q58">
        <f t="shared" si="108"/>
        <v>808920.85924245336</v>
      </c>
      <c r="R58">
        <f t="shared" si="108"/>
        <v>887784.30615045223</v>
      </c>
      <c r="S58">
        <f t="shared" si="108"/>
        <v>969563.50040750089</v>
      </c>
      <c r="T58">
        <f t="shared" si="109"/>
        <v>1056084.9080849844</v>
      </c>
      <c r="U58">
        <f t="shared" si="110"/>
        <v>1145443.2800771079</v>
      </c>
      <c r="V58">
        <f t="shared" si="111"/>
        <v>1233700.9654696584</v>
      </c>
      <c r="W58">
        <f t="shared" si="112"/>
        <v>1324992.0519329756</v>
      </c>
      <c r="X58">
        <f t="shared" si="113"/>
        <v>1419420.7969265112</v>
      </c>
      <c r="Y58">
        <f t="shared" si="114"/>
        <v>1517095.0412201998</v>
      </c>
      <c r="Z58">
        <f t="shared" si="115"/>
        <v>1618126.3320522027</v>
      </c>
      <c r="AA58">
        <f t="shared" si="116"/>
        <v>1722630.0505195747</v>
      </c>
      <c r="AB58">
        <f t="shared" si="117"/>
        <v>1830725.5433473098</v>
      </c>
      <c r="AC58">
        <f t="shared" si="118"/>
        <v>1942536.25918628</v>
      </c>
      <c r="AD58">
        <f t="shared" si="119"/>
        <v>2058189.889595699</v>
      </c>
      <c r="AE58">
        <f t="shared" si="120"/>
        <v>2177818.5148711354</v>
      </c>
      <c r="AI58">
        <f t="shared" si="101"/>
        <v>12097.945308076572</v>
      </c>
      <c r="AJ58">
        <f t="shared" si="121"/>
        <v>61991.201017588421</v>
      </c>
      <c r="AK58">
        <f t="shared" si="122"/>
        <v>114376.5376526521</v>
      </c>
      <c r="AL58">
        <f t="shared" si="123"/>
        <v>169378.43030015423</v>
      </c>
      <c r="AM58">
        <f t="shared" si="124"/>
        <v>227127.5713600296</v>
      </c>
      <c r="AN58">
        <f t="shared" si="125"/>
        <v>287761.18108918209</v>
      </c>
      <c r="AO58">
        <f t="shared" si="126"/>
        <v>351423.33365653164</v>
      </c>
      <c r="AP58">
        <f t="shared" si="127"/>
        <v>418265.29948394099</v>
      </c>
      <c r="AQ58">
        <f t="shared" si="128"/>
        <v>488445.90468647366</v>
      </c>
      <c r="AR58">
        <f t="shared" si="129"/>
        <v>562131.90846606425</v>
      </c>
      <c r="AS58">
        <f t="shared" si="130"/>
        <v>639498.39935534354</v>
      </c>
      <c r="AT58">
        <f t="shared" si="131"/>
        <v>720729.21125314943</v>
      </c>
      <c r="AU58">
        <f t="shared" si="132"/>
        <v>806017.36024028505</v>
      </c>
      <c r="AV58">
        <f t="shared" si="133"/>
        <v>895565.50321346021</v>
      </c>
      <c r="AW58">
        <f t="shared" si="134"/>
        <v>989586.41942719778</v>
      </c>
      <c r="AX58">
        <f t="shared" si="135"/>
        <v>1088303.516087915</v>
      </c>
      <c r="AY58">
        <f t="shared" si="136"/>
        <v>1191951.3592015468</v>
      </c>
      <c r="AZ58">
        <f t="shared" si="137"/>
        <v>1300776.2309360793</v>
      </c>
      <c r="BA58">
        <f t="shared" si="138"/>
        <v>1415036.7148233692</v>
      </c>
      <c r="BB58">
        <f t="shared" si="139"/>
        <v>1535004.3101907689</v>
      </c>
      <c r="BC58">
        <f t="shared" si="140"/>
        <v>1660964.0772825412</v>
      </c>
      <c r="BD58">
        <f t="shared" si="141"/>
        <v>1793215.3146039564</v>
      </c>
      <c r="BE58">
        <f t="shared" si="142"/>
        <v>1932072.2700975474</v>
      </c>
      <c r="BF58">
        <f t="shared" si="143"/>
        <v>2077864.8878413732</v>
      </c>
      <c r="BG58">
        <f t="shared" si="144"/>
        <v>2230939.5920435567</v>
      </c>
      <c r="BH58">
        <f t="shared" si="145"/>
        <v>2391660.1101959823</v>
      </c>
      <c r="BI58">
        <f t="shared" si="146"/>
        <v>2560408.3373430753</v>
      </c>
      <c r="BJ58">
        <f t="shared" si="147"/>
        <v>2737585.2435193015</v>
      </c>
    </row>
    <row r="59" spans="1:62" x14ac:dyDescent="0.3">
      <c r="A59">
        <f>0.015/12</f>
        <v>1.25E-3</v>
      </c>
      <c r="B59">
        <v>1.5</v>
      </c>
      <c r="D59">
        <f t="shared" si="98"/>
        <v>16104.672839777242</v>
      </c>
      <c r="E59">
        <f t="shared" si="103"/>
        <v>65438.53932824084</v>
      </c>
      <c r="F59">
        <f t="shared" si="103"/>
        <v>116339.91706019541</v>
      </c>
      <c r="G59">
        <f t="shared" si="103"/>
        <v>168858.61140613712</v>
      </c>
      <c r="H59">
        <f t="shared" si="103"/>
        <v>223046.01022915408</v>
      </c>
      <c r="I59">
        <f t="shared" si="104"/>
        <v>279346.65478702553</v>
      </c>
      <c r="J59">
        <f t="shared" si="105"/>
        <v>337836.75202159211</v>
      </c>
      <c r="K59">
        <f t="shared" si="106"/>
        <v>398337.1435754745</v>
      </c>
      <c r="L59">
        <f t="shared" si="107"/>
        <v>460916.92290963995</v>
      </c>
      <c r="M59">
        <f t="shared" si="108"/>
        <v>526189.73762537388</v>
      </c>
      <c r="N59">
        <f t="shared" si="108"/>
        <v>594600.02086034021</v>
      </c>
      <c r="O59">
        <f t="shared" si="108"/>
        <v>665539.57601798535</v>
      </c>
      <c r="P59">
        <f t="shared" si="108"/>
        <v>739101.91559608548</v>
      </c>
      <c r="Q59">
        <f t="shared" si="108"/>
        <v>815384.00944595796</v>
      </c>
      <c r="R59">
        <f t="shared" si="108"/>
        <v>894486.41259808803</v>
      </c>
      <c r="S59">
        <f t="shared" si="108"/>
        <v>976513.39781373565</v>
      </c>
      <c r="T59">
        <f t="shared" si="109"/>
        <v>1063516.4029324555</v>
      </c>
      <c r="U59">
        <f t="shared" si="110"/>
        <v>1152684.7101269253</v>
      </c>
      <c r="V59">
        <f t="shared" si="111"/>
        <v>1241191.2821922828</v>
      </c>
      <c r="W59">
        <f t="shared" si="112"/>
        <v>1332739.8095194267</v>
      </c>
      <c r="X59">
        <f t="shared" si="113"/>
        <v>1427434.8435738441</v>
      </c>
      <c r="Y59">
        <f t="shared" si="114"/>
        <v>1525384.5292364408</v>
      </c>
      <c r="Z59">
        <f t="shared" si="115"/>
        <v>1626700.7283085899</v>
      </c>
      <c r="AA59">
        <f t="shared" si="116"/>
        <v>1731499.1472620398</v>
      </c>
      <c r="AB59">
        <f t="shared" si="117"/>
        <v>1839899.4693795491</v>
      </c>
      <c r="AC59">
        <f t="shared" si="118"/>
        <v>1952025.4914371853</v>
      </c>
      <c r="AD59">
        <f t="shared" si="119"/>
        <v>2068005.2650843591</v>
      </c>
      <c r="AE59">
        <f t="shared" si="120"/>
        <v>2187971.2430830719</v>
      </c>
      <c r="AI59">
        <f t="shared" si="101"/>
        <v>16163.463945480444</v>
      </c>
      <c r="AJ59">
        <f t="shared" si="121"/>
        <v>66259.785205730004</v>
      </c>
      <c r="AK59">
        <f t="shared" si="122"/>
        <v>118858.33016089839</v>
      </c>
      <c r="AL59">
        <f t="shared" si="123"/>
        <v>174084.08051147586</v>
      </c>
      <c r="AM59">
        <f t="shared" si="124"/>
        <v>232068.26057546493</v>
      </c>
      <c r="AN59">
        <f t="shared" si="125"/>
        <v>292948.64909621509</v>
      </c>
      <c r="AO59">
        <f t="shared" si="126"/>
        <v>356869.90662451374</v>
      </c>
      <c r="AP59">
        <f t="shared" si="127"/>
        <v>423983.91925284063</v>
      </c>
      <c r="AQ59">
        <f t="shared" si="128"/>
        <v>494450.15951854759</v>
      </c>
      <c r="AR59">
        <f t="shared" si="129"/>
        <v>568436.06533352111</v>
      </c>
      <c r="AS59">
        <f t="shared" si="130"/>
        <v>646117.43784071982</v>
      </c>
      <c r="AT59">
        <f t="shared" si="131"/>
        <v>727678.8591429498</v>
      </c>
      <c r="AU59">
        <f t="shared" si="132"/>
        <v>813314.13089646306</v>
      </c>
      <c r="AV59">
        <f t="shared" si="133"/>
        <v>903226.73481153906</v>
      </c>
      <c r="AW59">
        <f t="shared" si="134"/>
        <v>997630.31615426647</v>
      </c>
      <c r="AX59">
        <f t="shared" si="135"/>
        <v>1096749.1913983929</v>
      </c>
      <c r="AY59">
        <f t="shared" si="136"/>
        <v>1200818.8812334971</v>
      </c>
      <c r="AZ59">
        <f t="shared" si="137"/>
        <v>1310086.6701959891</v>
      </c>
      <c r="BA59">
        <f t="shared" si="138"/>
        <v>1424812.1942527003</v>
      </c>
      <c r="BB59">
        <f t="shared" si="139"/>
        <v>1545268.0577332454</v>
      </c>
      <c r="BC59">
        <f t="shared" si="140"/>
        <v>1671740.4810770811</v>
      </c>
      <c r="BD59">
        <f t="shared" si="141"/>
        <v>1804529.9809343945</v>
      </c>
      <c r="BE59">
        <f t="shared" si="142"/>
        <v>1943952.0842368444</v>
      </c>
      <c r="BF59">
        <f t="shared" si="143"/>
        <v>2090338.0779348877</v>
      </c>
      <c r="BG59">
        <f t="shared" si="144"/>
        <v>2244035.796183174</v>
      </c>
      <c r="BH59">
        <f t="shared" si="145"/>
        <v>2405410.44684448</v>
      </c>
      <c r="BI59">
        <f t="shared" si="146"/>
        <v>2574845.4792760615</v>
      </c>
      <c r="BJ59">
        <f t="shared" si="147"/>
        <v>2752743.495460425</v>
      </c>
    </row>
    <row r="60" spans="1:62" x14ac:dyDescent="0.3">
      <c r="A60">
        <f>0.0125/12</f>
        <v>1.0416666666666667E-3</v>
      </c>
      <c r="B60">
        <v>1.25</v>
      </c>
      <c r="D60">
        <f t="shared" si="98"/>
        <v>20157.146035889062</v>
      </c>
      <c r="E60">
        <f t="shared" si="103"/>
        <v>69619.773915887563</v>
      </c>
      <c r="F60">
        <f t="shared" si="103"/>
        <v>120654.00424372252</v>
      </c>
      <c r="G60">
        <f t="shared" si="103"/>
        <v>173309.77238190715</v>
      </c>
      <c r="H60">
        <f t="shared" si="103"/>
        <v>227638.60031585218</v>
      </c>
      <c r="I60">
        <f t="shared" si="104"/>
        <v>284145.69235352497</v>
      </c>
      <c r="J60">
        <f t="shared" si="105"/>
        <v>342800.73166229302</v>
      </c>
      <c r="K60">
        <f t="shared" si="106"/>
        <v>403471.73432035733</v>
      </c>
      <c r="L60">
        <f t="shared" si="107"/>
        <v>466227.98863224516</v>
      </c>
      <c r="M60">
        <f t="shared" si="108"/>
        <v>531796.21253037872</v>
      </c>
      <c r="N60">
        <f t="shared" si="108"/>
        <v>600413.77892354701</v>
      </c>
      <c r="O60">
        <f t="shared" si="108"/>
        <v>671568.28093331982</v>
      </c>
      <c r="P60">
        <f t="shared" si="108"/>
        <v>745353.51440034155</v>
      </c>
      <c r="Q60">
        <f t="shared" si="108"/>
        <v>821866.74299457925</v>
      </c>
      <c r="R60">
        <f t="shared" si="108"/>
        <v>901208.8264282603</v>
      </c>
      <c r="S60">
        <f t="shared" si="108"/>
        <v>983484.35340911127</v>
      </c>
      <c r="T60">
        <f t="shared" si="109"/>
        <v>1070971.9535287479</v>
      </c>
      <c r="U60">
        <f t="shared" si="110"/>
        <v>1159946.5610094832</v>
      </c>
      <c r="V60">
        <f t="shared" si="111"/>
        <v>1248702.7216080651</v>
      </c>
      <c r="W60">
        <f t="shared" si="112"/>
        <v>1340509.4157822714</v>
      </c>
      <c r="X60">
        <f t="shared" si="113"/>
        <v>1435471.4898327223</v>
      </c>
      <c r="Y60">
        <f t="shared" si="114"/>
        <v>1533697.3936088874</v>
      </c>
      <c r="Z60">
        <f t="shared" si="115"/>
        <v>1635299.3043624202</v>
      </c>
      <c r="AA60">
        <f t="shared" si="116"/>
        <v>1740393.2548573187</v>
      </c>
      <c r="AB60">
        <f t="shared" si="117"/>
        <v>1849099.2658831996</v>
      </c>
      <c r="AC60">
        <f t="shared" si="118"/>
        <v>1961541.4833230383</v>
      </c>
      <c r="AD60">
        <f t="shared" si="119"/>
        <v>2077848.3199318971</v>
      </c>
      <c r="AE60">
        <f t="shared" si="120"/>
        <v>2198152.6019885661</v>
      </c>
      <c r="AI60">
        <f t="shared" si="101"/>
        <v>20245.529243738547</v>
      </c>
      <c r="AJ60">
        <f t="shared" si="121"/>
        <v>70545.742531517331</v>
      </c>
      <c r="AK60">
        <f t="shared" si="122"/>
        <v>123358.36356465325</v>
      </c>
      <c r="AL60">
        <f t="shared" si="123"/>
        <v>178808.88271915755</v>
      </c>
      <c r="AM60">
        <f t="shared" si="124"/>
        <v>237029.05839600708</v>
      </c>
      <c r="AN60">
        <f t="shared" si="125"/>
        <v>298157.2300980367</v>
      </c>
      <c r="AO60">
        <f t="shared" si="126"/>
        <v>362338.64714447549</v>
      </c>
      <c r="AP60">
        <f t="shared" si="127"/>
        <v>429725.81380419969</v>
      </c>
      <c r="AQ60">
        <f t="shared" si="128"/>
        <v>500478.85166778811</v>
      </c>
      <c r="AR60">
        <f t="shared" si="129"/>
        <v>574765.8801194285</v>
      </c>
      <c r="AS60">
        <f t="shared" si="130"/>
        <v>652763.4158127316</v>
      </c>
      <c r="AT60">
        <f t="shared" si="131"/>
        <v>734656.79209966166</v>
      </c>
      <c r="AU60">
        <f t="shared" si="132"/>
        <v>820640.59940921166</v>
      </c>
      <c r="AV60">
        <f t="shared" si="133"/>
        <v>910919.14762222208</v>
      </c>
      <c r="AW60">
        <f t="shared" si="134"/>
        <v>1005706.9515410144</v>
      </c>
      <c r="AX60">
        <f t="shared" si="135"/>
        <v>1105229.2406073844</v>
      </c>
      <c r="AY60">
        <f t="shared" si="136"/>
        <v>1209722.4940801174</v>
      </c>
      <c r="AZ60">
        <f t="shared" si="137"/>
        <v>1319435.0029436867</v>
      </c>
      <c r="BA60">
        <f t="shared" si="138"/>
        <v>1434627.4598833087</v>
      </c>
      <c r="BB60">
        <f t="shared" si="139"/>
        <v>1555573.5787282197</v>
      </c>
      <c r="BC60">
        <f t="shared" si="140"/>
        <v>1682560.7448350647</v>
      </c>
      <c r="BD60">
        <f t="shared" si="141"/>
        <v>1815890.6979567974</v>
      </c>
      <c r="BE60">
        <f t="shared" si="142"/>
        <v>1955880.2492196884</v>
      </c>
      <c r="BF60">
        <f t="shared" si="143"/>
        <v>2102862.0339120827</v>
      </c>
      <c r="BG60">
        <f t="shared" si="144"/>
        <v>2257185.3018736397</v>
      </c>
      <c r="BH60">
        <f t="shared" si="145"/>
        <v>2419216.7473631371</v>
      </c>
      <c r="BI60">
        <f t="shared" si="146"/>
        <v>2589341.3803767152</v>
      </c>
      <c r="BJ60">
        <f t="shared" si="147"/>
        <v>2767963.4414869491</v>
      </c>
    </row>
    <row r="61" spans="1:62" x14ac:dyDescent="0.3">
      <c r="A61">
        <f>0.01/12</f>
        <v>8.3333333333333339E-4</v>
      </c>
      <c r="B61">
        <v>1</v>
      </c>
      <c r="D61">
        <f t="shared" si="98"/>
        <v>24220.196187042733</v>
      </c>
      <c r="E61">
        <f t="shared" si="103"/>
        <v>73811.921525808022</v>
      </c>
      <c r="F61">
        <f t="shared" si="103"/>
        <v>124979.35119479863</v>
      </c>
      <c r="G61">
        <f t="shared" si="103"/>
        <v>177772.55088782392</v>
      </c>
      <c r="H61">
        <f t="shared" si="103"/>
        <v>232243.17706267658</v>
      </c>
      <c r="I61">
        <f t="shared" si="104"/>
        <v>288958.26320596191</v>
      </c>
      <c r="J61">
        <f t="shared" si="105"/>
        <v>347778.7097255807</v>
      </c>
      <c r="K61">
        <f t="shared" si="106"/>
        <v>408620.80461114075</v>
      </c>
      <c r="L61">
        <f t="shared" si="107"/>
        <v>471554.0315601881</v>
      </c>
      <c r="M61">
        <f t="shared" si="108"/>
        <v>537419.67505434586</v>
      </c>
      <c r="N61">
        <f t="shared" si="108"/>
        <v>606245.15267368534</v>
      </c>
      <c r="O61">
        <f t="shared" si="108"/>
        <v>677615.25282454782</v>
      </c>
      <c r="P61">
        <f t="shared" si="108"/>
        <v>751624.05554897455</v>
      </c>
      <c r="Q61">
        <f t="shared" si="108"/>
        <v>828369.11922585277</v>
      </c>
      <c r="R61">
        <f t="shared" si="108"/>
        <v>907951.60917233792</v>
      </c>
      <c r="S61">
        <f t="shared" si="108"/>
        <v>990476.43099994084</v>
      </c>
      <c r="T61">
        <f t="shared" si="109"/>
        <v>1078451.6377423205</v>
      </c>
      <c r="U61">
        <f t="shared" si="110"/>
        <v>1167228.8903115301</v>
      </c>
      <c r="V61">
        <f t="shared" si="111"/>
        <v>1256235.3432829999</v>
      </c>
      <c r="W61">
        <f t="shared" si="112"/>
        <v>1348300.9323347774</v>
      </c>
      <c r="X61">
        <f t="shared" si="113"/>
        <v>1443530.7994340507</v>
      </c>
      <c r="Y61">
        <f t="shared" si="114"/>
        <v>1542033.7002588646</v>
      </c>
      <c r="Z61">
        <f t="shared" si="115"/>
        <v>1643922.1284007223</v>
      </c>
      <c r="AA61">
        <f t="shared" si="116"/>
        <v>1749312.4438360163</v>
      </c>
      <c r="AB61">
        <f t="shared" si="117"/>
        <v>1858325.0058129905</v>
      </c>
      <c r="AC61">
        <f t="shared" si="118"/>
        <v>1971084.3103060094</v>
      </c>
      <c r="AD61">
        <f t="shared" si="119"/>
        <v>2087719.1321941051</v>
      </c>
      <c r="AE61">
        <f t="shared" si="120"/>
        <v>2208362.6723261736</v>
      </c>
      <c r="AI61">
        <f t="shared" si="101"/>
        <v>24344.208547760561</v>
      </c>
      <c r="AJ61">
        <f t="shared" si="121"/>
        <v>74849.143703620604</v>
      </c>
      <c r="AK61">
        <f t="shared" si="122"/>
        <v>127876.71210436139</v>
      </c>
      <c r="AL61">
        <f t="shared" si="123"/>
        <v>183552.91487182453</v>
      </c>
      <c r="AM61">
        <f t="shared" si="124"/>
        <v>242010.04666367883</v>
      </c>
      <c r="AN61">
        <f t="shared" si="125"/>
        <v>303387.0100245357</v>
      </c>
      <c r="AO61">
        <f t="shared" si="126"/>
        <v>367829.64543835353</v>
      </c>
      <c r="AP61">
        <f t="shared" si="127"/>
        <v>435491.07786638278</v>
      </c>
      <c r="AQ61">
        <f t="shared" si="128"/>
        <v>506532.08059407602</v>
      </c>
      <c r="AR61">
        <f t="shared" si="129"/>
        <v>581121.45725151454</v>
      </c>
      <c r="AS61">
        <f t="shared" si="130"/>
        <v>659436.44291508943</v>
      </c>
      <c r="AT61">
        <f t="shared" si="131"/>
        <v>741663.12524350733</v>
      </c>
      <c r="AU61">
        <f t="shared" si="132"/>
        <v>827996.88664880721</v>
      </c>
      <c r="AV61">
        <f t="shared" si="133"/>
        <v>918642.86855304451</v>
      </c>
      <c r="AW61">
        <f t="shared" si="134"/>
        <v>1013816.4588337863</v>
      </c>
      <c r="AX61">
        <f t="shared" si="135"/>
        <v>1113743.8036166565</v>
      </c>
      <c r="AY61">
        <f t="shared" si="136"/>
        <v>1218662.3446310235</v>
      </c>
      <c r="AZ61">
        <f t="shared" si="137"/>
        <v>1328821.3834056675</v>
      </c>
      <c r="BA61">
        <f t="shared" si="138"/>
        <v>1444482.6736450337</v>
      </c>
      <c r="BB61">
        <f t="shared" si="139"/>
        <v>1565921.0431936437</v>
      </c>
      <c r="BC61">
        <f t="shared" si="140"/>
        <v>1693425.0470665435</v>
      </c>
      <c r="BD61">
        <f t="shared" si="141"/>
        <v>1827297.6530974817</v>
      </c>
      <c r="BE61">
        <f t="shared" si="142"/>
        <v>1967856.9618340125</v>
      </c>
      <c r="BF61">
        <f t="shared" si="143"/>
        <v>2115436.9623901048</v>
      </c>
      <c r="BG61">
        <f t="shared" si="144"/>
        <v>2270388.3260522652</v>
      </c>
      <c r="BH61">
        <f t="shared" si="145"/>
        <v>2433079.2395249051</v>
      </c>
      <c r="BI61">
        <f t="shared" si="146"/>
        <v>2603896.2797948485</v>
      </c>
      <c r="BJ61">
        <f t="shared" si="147"/>
        <v>2783245.3326938013</v>
      </c>
    </row>
    <row r="62" spans="1:62" x14ac:dyDescent="0.3">
      <c r="D62">
        <f t="shared" si="98"/>
        <v>28293.850899090918</v>
      </c>
      <c r="E62">
        <f t="shared" si="103"/>
        <v>78015.010640990382</v>
      </c>
      <c r="F62">
        <f t="shared" si="103"/>
        <v>129315.98730141704</v>
      </c>
      <c r="G62">
        <f t="shared" si="103"/>
        <v>182246.97724564114</v>
      </c>
      <c r="H62">
        <f t="shared" si="103"/>
        <v>236859.77175481018</v>
      </c>
      <c r="I62">
        <f t="shared" si="104"/>
        <v>293784.40550820273</v>
      </c>
      <c r="J62">
        <f t="shared" si="105"/>
        <v>352770.72568700684</v>
      </c>
      <c r="K62">
        <f t="shared" si="106"/>
        <v>413784.39528014418</v>
      </c>
      <c r="L62">
        <f t="shared" si="107"/>
        <v>476895.0939291878</v>
      </c>
      <c r="M62">
        <f t="shared" si="108"/>
        <v>543060.17666976061</v>
      </c>
      <c r="N62">
        <f t="shared" si="108"/>
        <v>612094.19548628666</v>
      </c>
      <c r="O62">
        <f t="shared" si="108"/>
        <v>683680.54704060627</v>
      </c>
      <c r="P62">
        <f t="shared" si="108"/>
        <v>757913.59643728798</v>
      </c>
      <c r="Q62">
        <f t="shared" si="108"/>
        <v>834891.19765710714</v>
      </c>
      <c r="R62">
        <f t="shared" si="108"/>
        <v>914714.82254813006</v>
      </c>
      <c r="S62">
        <f t="shared" si="108"/>
        <v>997489.69458587072</v>
      </c>
      <c r="T62">
        <f t="shared" si="109"/>
        <v>1085955.5336936924</v>
      </c>
      <c r="U62">
        <f t="shared" si="110"/>
        <v>1174531.7557822086</v>
      </c>
      <c r="V62">
        <f t="shared" si="111"/>
        <v>1263789.206951058</v>
      </c>
      <c r="W62">
        <f t="shared" si="112"/>
        <v>1356114.4209639616</v>
      </c>
      <c r="X62">
        <f t="shared" si="113"/>
        <v>1451612.8362884549</v>
      </c>
      <c r="Y62">
        <f t="shared" si="114"/>
        <v>1550393.5152935947</v>
      </c>
      <c r="Z62">
        <f t="shared" si="115"/>
        <v>1652569.2688028123</v>
      </c>
      <c r="AA62">
        <f t="shared" si="116"/>
        <v>1758256.7849276338</v>
      </c>
      <c r="AB62">
        <f t="shared" si="117"/>
        <v>1867576.7623293833</v>
      </c>
      <c r="AC62">
        <f t="shared" si="118"/>
        <v>1980654.0480610724</v>
      </c>
      <c r="AD62">
        <f t="shared" si="119"/>
        <v>2097617.7801468926</v>
      </c>
      <c r="AE62">
        <f t="shared" si="120"/>
        <v>2218601.5350621333</v>
      </c>
      <c r="AI62">
        <f t="shared" si="101"/>
        <v>28459.569476549947</v>
      </c>
      <c r="AJ62">
        <f t="shared" si="121"/>
        <v>79170.059718494347</v>
      </c>
      <c r="AK62">
        <f t="shared" si="122"/>
        <v>132413.45032262613</v>
      </c>
      <c r="AL62">
        <f t="shared" si="123"/>
        <v>188316.25523535284</v>
      </c>
      <c r="AM62">
        <f t="shared" si="124"/>
        <v>247011.3075536</v>
      </c>
      <c r="AN62">
        <f t="shared" si="125"/>
        <v>308638.07515533559</v>
      </c>
      <c r="AO62">
        <f t="shared" si="126"/>
        <v>373342.99209528766</v>
      </c>
      <c r="AP62">
        <f t="shared" si="127"/>
        <v>441279.80655329896</v>
      </c>
      <c r="AQ62">
        <f t="shared" si="128"/>
        <v>512609.9461620939</v>
      </c>
      <c r="AR62">
        <f t="shared" si="129"/>
        <v>587502.90158252825</v>
      </c>
      <c r="AS62">
        <f t="shared" si="130"/>
        <v>666136.6292377538</v>
      </c>
      <c r="AT62">
        <f t="shared" si="131"/>
        <v>748697.97416324844</v>
      </c>
      <c r="AU62">
        <f t="shared" si="132"/>
        <v>835383.11397746787</v>
      </c>
      <c r="AV62">
        <f t="shared" si="133"/>
        <v>926398.02502805542</v>
      </c>
      <c r="AW62">
        <f t="shared" si="134"/>
        <v>1021958.9718212398</v>
      </c>
      <c r="AX62">
        <f t="shared" si="135"/>
        <v>1122293.0208973764</v>
      </c>
      <c r="AY62">
        <f t="shared" si="136"/>
        <v>1227638.5803736718</v>
      </c>
      <c r="AZ62">
        <f t="shared" si="137"/>
        <v>1338245.9664361286</v>
      </c>
      <c r="BA62">
        <f t="shared" si="138"/>
        <v>1454377.998126769</v>
      </c>
      <c r="BB62">
        <f t="shared" si="139"/>
        <v>1576310.6218394418</v>
      </c>
      <c r="BC62">
        <f t="shared" si="140"/>
        <v>1704333.5670081044</v>
      </c>
      <c r="BD62">
        <f t="shared" si="141"/>
        <v>1838751.0345455885</v>
      </c>
      <c r="BE62">
        <f t="shared" si="142"/>
        <v>1979882.419668677</v>
      </c>
      <c r="BF62">
        <f t="shared" si="143"/>
        <v>2128063.0708270324</v>
      </c>
      <c r="BG62">
        <f t="shared" si="144"/>
        <v>2283645.0865392978</v>
      </c>
      <c r="BH62">
        <f t="shared" si="145"/>
        <v>2446998.1520297714</v>
      </c>
      <c r="BI62">
        <f t="shared" si="146"/>
        <v>2618510.4176536137</v>
      </c>
      <c r="BJ62">
        <f t="shared" si="147"/>
        <v>2798589.4211978652</v>
      </c>
    </row>
    <row r="63" spans="1:62" x14ac:dyDescent="0.3">
      <c r="D63">
        <f t="shared" si="98"/>
        <v>32378.137849937546</v>
      </c>
      <c r="E63">
        <f t="shared" si="103"/>
        <v>82229.069818763368</v>
      </c>
      <c r="F63">
        <f t="shared" si="103"/>
        <v>133663.94202827374</v>
      </c>
      <c r="G63">
        <f t="shared" si="103"/>
        <v>186733.08185625228</v>
      </c>
      <c r="H63">
        <f t="shared" si="103"/>
        <v>241488.41575909025</v>
      </c>
      <c r="I63">
        <f t="shared" si="104"/>
        <v>298624.15753173584</v>
      </c>
      <c r="J63">
        <f t="shared" si="105"/>
        <v>357776.81913344422</v>
      </c>
      <c r="K63">
        <f t="shared" si="106"/>
        <v>418962.54727483419</v>
      </c>
      <c r="L63">
        <f t="shared" si="107"/>
        <v>482251.21809406811</v>
      </c>
      <c r="M63">
        <f t="shared" ref="M63:R67" si="148">(M62+4000)*1.00407-(0.00104*(M62+4000))</f>
        <v>548717.76900507009</v>
      </c>
      <c r="N63">
        <f t="shared" si="148"/>
        <v>617960.96089861006</v>
      </c>
      <c r="O63">
        <f t="shared" si="148"/>
        <v>689764.21909813932</v>
      </c>
      <c r="P63">
        <f t="shared" si="148"/>
        <v>764222.19463449297</v>
      </c>
      <c r="Q63">
        <f t="shared" si="148"/>
        <v>841433.03798600822</v>
      </c>
      <c r="R63">
        <f t="shared" si="148"/>
        <v>921498.52846045094</v>
      </c>
      <c r="S63">
        <f>(S62+4000)*1.00407-(0.000833*(S62+4000))</f>
        <v>1004731.5167272452</v>
      </c>
      <c r="T63">
        <f t="shared" si="109"/>
        <v>1093483.7197562589</v>
      </c>
      <c r="U63">
        <f t="shared" si="110"/>
        <v>1181855.2153335144</v>
      </c>
      <c r="V63">
        <f t="shared" si="111"/>
        <v>1271364.37251466</v>
      </c>
      <c r="W63">
        <f t="shared" si="112"/>
        <v>1363949.94363108</v>
      </c>
      <c r="X63">
        <f t="shared" si="113"/>
        <v>1459717.6644867884</v>
      </c>
      <c r="Y63">
        <f t="shared" si="114"/>
        <v>1558776.9050067225</v>
      </c>
      <c r="Z63">
        <f t="shared" si="115"/>
        <v>1661240.7941408365</v>
      </c>
      <c r="AA63">
        <f t="shared" si="116"/>
        <v>1767226.3490611298</v>
      </c>
      <c r="AB63">
        <f t="shared" si="117"/>
        <v>1876854.6087991521</v>
      </c>
      <c r="AC63">
        <f t="shared" si="118"/>
        <v>1990250.7724766047</v>
      </c>
      <c r="AD63">
        <f t="shared" si="119"/>
        <v>2107544.3422869071</v>
      </c>
      <c r="AE63">
        <f t="shared" si="120"/>
        <v>2228869.2713910085</v>
      </c>
      <c r="AI63">
        <f t="shared" si="101"/>
        <v>32591.679924319506</v>
      </c>
      <c r="AJ63">
        <f t="shared" si="121"/>
        <v>83508.561861548616</v>
      </c>
      <c r="AK63">
        <f t="shared" si="122"/>
        <v>136968.65306543923</v>
      </c>
      <c r="AL63">
        <f t="shared" si="123"/>
        <v>193098.98239416073</v>
      </c>
      <c r="AM63">
        <f t="shared" si="124"/>
        <v>252032.92357534316</v>
      </c>
      <c r="AN63">
        <f t="shared" si="125"/>
        <v>313910.51212121779</v>
      </c>
      <c r="AO63">
        <f t="shared" si="126"/>
        <v>378878.77807311551</v>
      </c>
      <c r="AP63">
        <f t="shared" si="127"/>
        <v>447092.09536597092</v>
      </c>
      <c r="AQ63">
        <f t="shared" si="128"/>
        <v>518712.54864297365</v>
      </c>
      <c r="AR63">
        <f t="shared" si="129"/>
        <v>593910.31839196919</v>
      </c>
      <c r="AS63">
        <f t="shared" si="130"/>
        <v>672864.08531875152</v>
      </c>
      <c r="AT63">
        <f t="shared" si="131"/>
        <v>755761.45491809282</v>
      </c>
      <c r="AU63">
        <f t="shared" si="132"/>
        <v>842799.40325135621</v>
      </c>
      <c r="AV63">
        <f t="shared" si="133"/>
        <v>934184.74498991959</v>
      </c>
      <c r="AW63">
        <f t="shared" si="134"/>
        <v>1030134.6248365523</v>
      </c>
      <c r="AX63">
        <f t="shared" si="135"/>
        <v>1130877.0334924287</v>
      </c>
      <c r="AY63">
        <f t="shared" si="136"/>
        <v>1236651.3493957927</v>
      </c>
      <c r="AZ63">
        <f t="shared" si="137"/>
        <v>1347708.9075195238</v>
      </c>
      <c r="BA63">
        <f t="shared" si="138"/>
        <v>1464313.5965791449</v>
      </c>
      <c r="BB63">
        <f t="shared" si="139"/>
        <v>1586742.4860703284</v>
      </c>
      <c r="BC63">
        <f t="shared" si="140"/>
        <v>1715286.4846258275</v>
      </c>
      <c r="BD63">
        <f t="shared" si="141"/>
        <v>1850251.0312561891</v>
      </c>
      <c r="BE63">
        <f t="shared" si="142"/>
        <v>1991956.8211167285</v>
      </c>
      <c r="BF63">
        <f t="shared" si="143"/>
        <v>2140740.5675252983</v>
      </c>
      <c r="BG63">
        <f t="shared" si="144"/>
        <v>2296955.8020415129</v>
      </c>
      <c r="BH63">
        <f t="shared" si="145"/>
        <v>2460973.7145085325</v>
      </c>
      <c r="BI63">
        <f t="shared" si="146"/>
        <v>2633184.0350534641</v>
      </c>
      <c r="BJ63">
        <f t="shared" si="147"/>
        <v>2813995.9601421407</v>
      </c>
    </row>
    <row r="64" spans="1:62" x14ac:dyDescent="0.3">
      <c r="D64">
        <f t="shared" si="98"/>
        <v>36473.084789725879</v>
      </c>
      <c r="E64">
        <f t="shared" si="103"/>
        <v>86454.127690990339</v>
      </c>
      <c r="F64">
        <f t="shared" si="103"/>
        <v>138023.24491696752</v>
      </c>
      <c r="G64">
        <f t="shared" si="103"/>
        <v>191230.89519989709</v>
      </c>
      <c r="H64">
        <f t="shared" si="103"/>
        <v>246129.1405242215</v>
      </c>
      <c r="I64">
        <f t="shared" si="104"/>
        <v>303477.55765597534</v>
      </c>
      <c r="J64">
        <f t="shared" si="105"/>
        <v>362797.02976340055</v>
      </c>
      <c r="K64">
        <f t="shared" si="106"/>
        <v>424155.30165814923</v>
      </c>
      <c r="L64">
        <f t="shared" si="107"/>
        <v>487622.44652909337</v>
      </c>
      <c r="M64">
        <f t="shared" si="148"/>
        <v>554392.50384515547</v>
      </c>
      <c r="N64">
        <f t="shared" si="148"/>
        <v>623845.50261013291</v>
      </c>
      <c r="O64">
        <f t="shared" si="148"/>
        <v>695866.32468200673</v>
      </c>
      <c r="P64">
        <f t="shared" si="148"/>
        <v>770549.90788423549</v>
      </c>
      <c r="Q64">
        <f t="shared" si="148"/>
        <v>847994.70009110589</v>
      </c>
      <c r="R64">
        <f t="shared" si="148"/>
        <v>928302.78900168615</v>
      </c>
      <c r="S64">
        <f>(S63+4000)*1.00407-(0.000833*(S63+4000))</f>
        <v>1011996.7806468912</v>
      </c>
      <c r="T64">
        <f t="shared" si="109"/>
        <v>1101036.2745571099</v>
      </c>
      <c r="U64">
        <f t="shared" si="110"/>
        <v>1189199.3270407547</v>
      </c>
      <c r="V64">
        <f t="shared" si="111"/>
        <v>1278960.9000451514</v>
      </c>
      <c r="W64">
        <f t="shared" si="112"/>
        <v>1371807.5624721195</v>
      </c>
      <c r="X64">
        <f t="shared" si="113"/>
        <v>1467845.3483006414</v>
      </c>
      <c r="Y64">
        <f t="shared" si="114"/>
        <v>1567183.9358788414</v>
      </c>
      <c r="Z64">
        <f t="shared" si="115"/>
        <v>1669936.7731803136</v>
      </c>
      <c r="AA64">
        <f t="shared" si="116"/>
        <v>1776221.2073654821</v>
      </c>
      <c r="AB64">
        <f t="shared" si="117"/>
        <v>1886158.6187959658</v>
      </c>
      <c r="AC64">
        <f t="shared" si="118"/>
        <v>1999874.5596549888</v>
      </c>
      <c r="AD64">
        <f t="shared" si="119"/>
        <v>2117498.8973321561</v>
      </c>
      <c r="AE64">
        <f t="shared" si="120"/>
        <v>2239165.9627363314</v>
      </c>
      <c r="AI64">
        <f t="shared" si="101"/>
        <v>36740.608061611485</v>
      </c>
      <c r="AJ64">
        <f t="shared" si="121"/>
        <v>87864.721708325116</v>
      </c>
      <c r="AK64">
        <f t="shared" si="122"/>
        <v>141542.39548341557</v>
      </c>
      <c r="AL64">
        <f t="shared" si="123"/>
        <v>197901.17525250497</v>
      </c>
      <c r="AM64">
        <f t="shared" si="124"/>
        <v>257074.97757429481</v>
      </c>
      <c r="AN64">
        <f t="shared" si="125"/>
        <v>319204.40790555114</v>
      </c>
      <c r="AO64">
        <f t="shared" si="126"/>
        <v>384437.09469987307</v>
      </c>
      <c r="AP64">
        <f t="shared" si="127"/>
        <v>452928.04019411042</v>
      </c>
      <c r="AQ64">
        <f t="shared" si="128"/>
        <v>524839.98871595052</v>
      </c>
      <c r="AR64">
        <f t="shared" si="129"/>
        <v>600343.81338782457</v>
      </c>
      <c r="AS64">
        <f t="shared" si="130"/>
        <v>679618.9221459988</v>
      </c>
      <c r="AT64">
        <f t="shared" si="131"/>
        <v>762853.68403960951</v>
      </c>
      <c r="AU64">
        <f t="shared" si="132"/>
        <v>850245.8768225892</v>
      </c>
      <c r="AV64">
        <f t="shared" si="133"/>
        <v>942003.1569020286</v>
      </c>
      <c r="AW64">
        <f t="shared" si="134"/>
        <v>1038343.5527596371</v>
      </c>
      <c r="AX64">
        <f t="shared" si="135"/>
        <v>1139495.9830187429</v>
      </c>
      <c r="AY64">
        <f t="shared" si="136"/>
        <v>1245700.8003878335</v>
      </c>
      <c r="AZ64">
        <f t="shared" si="137"/>
        <v>1357210.3627731283</v>
      </c>
      <c r="BA64">
        <f t="shared" si="138"/>
        <v>1474289.6329172221</v>
      </c>
      <c r="BB64">
        <f t="shared" si="139"/>
        <v>1597216.8079886346</v>
      </c>
      <c r="BC64">
        <f t="shared" si="140"/>
        <v>1726283.9806182547</v>
      </c>
      <c r="BD64">
        <f t="shared" si="141"/>
        <v>1861797.8329534018</v>
      </c>
      <c r="BE64">
        <f t="shared" si="142"/>
        <v>2004080.3653786737</v>
      </c>
      <c r="BF64">
        <f t="shared" si="143"/>
        <v>2153469.6616351265</v>
      </c>
      <c r="BG64">
        <f t="shared" si="144"/>
        <v>2310320.6921558217</v>
      </c>
      <c r="BH64">
        <f t="shared" si="145"/>
        <v>2475006.1575265825</v>
      </c>
      <c r="BI64">
        <f t="shared" si="146"/>
        <v>2647917.3740761317</v>
      </c>
      <c r="BJ64">
        <f t="shared" si="147"/>
        <v>2829465.2036999194</v>
      </c>
    </row>
    <row r="65" spans="1:62" x14ac:dyDescent="0.3">
      <c r="D65">
        <f t="shared" si="98"/>
        <v>40578.719541027065</v>
      </c>
      <c r="E65">
        <f t="shared" ref="E65:G67" si="149">(E64+4000)*1.00407-(0.00146*(E64+4000))</f>
        <v>90690.212964263817</v>
      </c>
      <c r="F65">
        <f t="shared" si="149"/>
        <v>142393.92558620081</v>
      </c>
      <c r="G65">
        <f t="shared" si="149"/>
        <v>195740.44783636881</v>
      </c>
      <c r="H65">
        <f>(H64+4000)*1.00407-(0.00125*(H64+4000))</f>
        <v>250834.50470049982</v>
      </c>
      <c r="I65">
        <f t="shared" si="104"/>
        <v>308344.64436856518</v>
      </c>
      <c r="J65">
        <f t="shared" si="105"/>
        <v>367831.39738733333</v>
      </c>
      <c r="K65">
        <f t="shared" si="106"/>
        <v>429362.69960882521</v>
      </c>
      <c r="L65">
        <f t="shared" si="107"/>
        <v>493008.82182830543</v>
      </c>
      <c r="M65">
        <f t="shared" si="148"/>
        <v>560084.43313180632</v>
      </c>
      <c r="N65">
        <f t="shared" si="148"/>
        <v>629747.87448304158</v>
      </c>
      <c r="O65">
        <f t="shared" si="148"/>
        <v>701986.91964579327</v>
      </c>
      <c r="P65">
        <f t="shared" si="148"/>
        <v>776896.79410512478</v>
      </c>
      <c r="Q65">
        <f t="shared" si="148"/>
        <v>854576.24403238192</v>
      </c>
      <c r="R65">
        <f t="shared" si="148"/>
        <v>935127.66645236127</v>
      </c>
      <c r="S65">
        <f>(S64+4000)*1.00407-(0.000833*(S64+4000))</f>
        <v>1019285.5622258452</v>
      </c>
      <c r="T65">
        <f t="shared" si="109"/>
        <v>1108613.2769778513</v>
      </c>
      <c r="U65">
        <f t="shared" si="110"/>
        <v>1196564.1491430097</v>
      </c>
      <c r="V65">
        <f t="shared" si="111"/>
        <v>1286578.8497832788</v>
      </c>
      <c r="W65">
        <f t="shared" si="112"/>
        <v>1379687.339798291</v>
      </c>
      <c r="X65">
        <f t="shared" si="113"/>
        <v>1475995.9521828494</v>
      </c>
      <c r="Y65">
        <f t="shared" si="114"/>
        <v>1575614.6745780199</v>
      </c>
      <c r="Z65">
        <f t="shared" si="115"/>
        <v>1678657.2748806821</v>
      </c>
      <c r="AA65">
        <f t="shared" si="116"/>
        <v>1785241.4311702529</v>
      </c>
      <c r="AB65">
        <f t="shared" si="117"/>
        <v>1895488.8661009704</v>
      </c>
      <c r="AC65">
        <f t="shared" si="118"/>
        <v>2009525.4859132159</v>
      </c>
      <c r="AD65">
        <f t="shared" si="119"/>
        <v>2127481.5242226324</v>
      </c>
      <c r="AE65">
        <f t="shared" si="120"/>
        <v>2249491.690751248</v>
      </c>
      <c r="AI65">
        <f t="shared" si="101"/>
        <v>40906.422336422242</v>
      </c>
      <c r="AJ65">
        <f t="shared" si="121"/>
        <v>92238.611125677999</v>
      </c>
      <c r="AK65">
        <f t="shared" si="122"/>
        <v>146134.75303303308</v>
      </c>
      <c r="AL65">
        <f t="shared" si="123"/>
        <v>202722.91303578267</v>
      </c>
      <c r="AM65">
        <f t="shared" si="124"/>
        <v>262137.5527330222</v>
      </c>
      <c r="AN65">
        <f t="shared" si="125"/>
        <v>324519.84984572674</v>
      </c>
      <c r="AO65">
        <f t="shared" si="126"/>
        <v>390018.03367530153</v>
      </c>
      <c r="AP65">
        <f t="shared" si="127"/>
        <v>458787.73731770046</v>
      </c>
      <c r="AQ65">
        <f t="shared" si="128"/>
        <v>530992.36747002439</v>
      </c>
      <c r="AR65">
        <f t="shared" si="129"/>
        <v>606803.49270831305</v>
      </c>
      <c r="AS65">
        <f t="shared" si="130"/>
        <v>686401.25115913304</v>
      </c>
      <c r="AT65">
        <f t="shared" si="131"/>
        <v>769974.77853365068</v>
      </c>
      <c r="AU65">
        <f t="shared" si="132"/>
        <v>857722.6575412571</v>
      </c>
      <c r="AV65">
        <f t="shared" si="133"/>
        <v>949853.38975061988</v>
      </c>
      <c r="AW65">
        <f t="shared" si="134"/>
        <v>1046585.8910193689</v>
      </c>
      <c r="AX65">
        <f t="shared" si="135"/>
        <v>1148150.0116696293</v>
      </c>
      <c r="AY65">
        <f t="shared" si="136"/>
        <v>1254787.0826454121</v>
      </c>
      <c r="AZ65">
        <f t="shared" si="137"/>
        <v>1366750.488949615</v>
      </c>
      <c r="BA65">
        <f t="shared" si="138"/>
        <v>1484306.2717231952</v>
      </c>
      <c r="BB65">
        <f t="shared" si="139"/>
        <v>1607733.7603971483</v>
      </c>
      <c r="BC65">
        <f t="shared" si="140"/>
        <v>1737326.2364193711</v>
      </c>
      <c r="BD65">
        <f t="shared" si="141"/>
        <v>1873391.6301335222</v>
      </c>
      <c r="BE65">
        <f t="shared" si="142"/>
        <v>2016253.252465765</v>
      </c>
      <c r="BF65">
        <f t="shared" si="143"/>
        <v>2166250.5631579813</v>
      </c>
      <c r="BG65">
        <f t="shared" si="144"/>
        <v>2323739.9773728959</v>
      </c>
      <c r="BH65">
        <f t="shared" si="145"/>
        <v>2489095.7125877156</v>
      </c>
      <c r="BI65">
        <f t="shared" si="146"/>
        <v>2662710.6777886217</v>
      </c>
      <c r="BJ65">
        <f t="shared" si="147"/>
        <v>2844997.4070789781</v>
      </c>
    </row>
    <row r="66" spans="1:62" x14ac:dyDescent="0.3">
      <c r="D66">
        <f t="shared" si="98"/>
        <v>44695.069999029147</v>
      </c>
      <c r="E66">
        <f t="shared" si="149"/>
        <v>94937.354420100542</v>
      </c>
      <c r="F66">
        <f t="shared" si="149"/>
        <v>146776.01373198081</v>
      </c>
      <c r="G66">
        <f t="shared" si="149"/>
        <v>200261.77040522173</v>
      </c>
      <c r="H66">
        <f>(H65+4000)*1.00407-(0.00125*(H65+4000))</f>
        <v>255553.13800375524</v>
      </c>
      <c r="I66">
        <f t="shared" si="104"/>
        <v>313225.45626568451</v>
      </c>
      <c r="J66">
        <f t="shared" si="105"/>
        <v>372879.96192796563</v>
      </c>
      <c r="K66">
        <f t="shared" si="106"/>
        <v>434584.78242172208</v>
      </c>
      <c r="L66">
        <f t="shared" si="107"/>
        <v>498410.38670586125</v>
      </c>
      <c r="M66">
        <f t="shared" si="148"/>
        <v>565793.60896419571</v>
      </c>
      <c r="N66">
        <f t="shared" si="148"/>
        <v>635668.13054272521</v>
      </c>
      <c r="O66">
        <f t="shared" si="148"/>
        <v>708126.06001231994</v>
      </c>
      <c r="P66">
        <f t="shared" si="148"/>
        <v>783262.91139126336</v>
      </c>
      <c r="Q66">
        <f t="shared" si="148"/>
        <v>861177.73005180003</v>
      </c>
      <c r="R66">
        <f t="shared" si="148"/>
        <v>941973.22328171192</v>
      </c>
      <c r="S66">
        <f>(S65+4000)*1.00407-(0.000833*(S65+4000))</f>
        <v>1026597.9375907703</v>
      </c>
      <c r="T66">
        <f t="shared" si="109"/>
        <v>1116214.8061554285</v>
      </c>
      <c r="U66">
        <f t="shared" si="110"/>
        <v>1203949.7400435931</v>
      </c>
      <c r="V66">
        <f t="shared" si="111"/>
        <v>1294218.2821396675</v>
      </c>
      <c r="W66">
        <f t="shared" si="112"/>
        <v>1387589.338096522</v>
      </c>
      <c r="X66">
        <f t="shared" si="113"/>
        <v>1484169.5407680052</v>
      </c>
      <c r="Y66">
        <f t="shared" si="114"/>
        <v>1584069.1879603299</v>
      </c>
      <c r="Z66">
        <f t="shared" si="115"/>
        <v>1687402.3683958456</v>
      </c>
      <c r="AA66">
        <f t="shared" si="116"/>
        <v>1794287.092006153</v>
      </c>
      <c r="AB66">
        <f t="shared" si="117"/>
        <v>1904845.4247033752</v>
      </c>
      <c r="AC66">
        <f t="shared" si="118"/>
        <v>2019203.627783491</v>
      </c>
      <c r="AD66">
        <f t="shared" si="119"/>
        <v>2137492.3021209403</v>
      </c>
      <c r="AE66">
        <f t="shared" si="120"/>
        <v>2259846.5373191666</v>
      </c>
      <c r="AI66">
        <f t="shared" si="101"/>
        <v>45089.191475331478</v>
      </c>
      <c r="AJ66">
        <f t="shared" si="121"/>
        <v>96630.30227295951</v>
      </c>
      <c r="AK66">
        <f t="shared" si="122"/>
        <v>150745.80147787751</v>
      </c>
      <c r="AL66">
        <f t="shared" si="123"/>
        <v>207564.2752918383</v>
      </c>
      <c r="AM66">
        <f t="shared" si="124"/>
        <v>267220.73257264559</v>
      </c>
      <c r="AN66">
        <f t="shared" si="125"/>
        <v>329856.92563459888</v>
      </c>
      <c r="AO66">
        <f t="shared" si="126"/>
        <v>395621.68707236002</v>
      </c>
      <c r="AP66">
        <f t="shared" si="127"/>
        <v>464671.28340858349</v>
      </c>
      <c r="AQ66">
        <f t="shared" si="128"/>
        <v>537169.78640562738</v>
      </c>
      <c r="AR66">
        <f t="shared" si="129"/>
        <v>613289.46292363585</v>
      </c>
      <c r="AS66">
        <f t="shared" si="130"/>
        <v>693211.1842513507</v>
      </c>
      <c r="AT66">
        <f t="shared" si="131"/>
        <v>777124.8558822826</v>
      </c>
      <c r="AU66">
        <f t="shared" si="132"/>
        <v>865229.86875745002</v>
      </c>
      <c r="AV66">
        <f t="shared" si="133"/>
        <v>957735.57304690487</v>
      </c>
      <c r="AW66">
        <f t="shared" si="134"/>
        <v>1054861.7755958179</v>
      </c>
      <c r="AX66">
        <f t="shared" si="135"/>
        <v>1156839.2622171247</v>
      </c>
      <c r="AY66">
        <f t="shared" si="136"/>
        <v>1263910.346071779</v>
      </c>
      <c r="AZ66">
        <f t="shared" si="137"/>
        <v>1376329.4434396401</v>
      </c>
      <c r="BA66">
        <f t="shared" si="138"/>
        <v>1494363.6782491086</v>
      </c>
      <c r="BB66">
        <f t="shared" si="139"/>
        <v>1618293.5168019647</v>
      </c>
      <c r="BC66">
        <f t="shared" si="140"/>
        <v>1748413.4342015979</v>
      </c>
      <c r="BD66">
        <f t="shared" si="141"/>
        <v>1885032.6140681657</v>
      </c>
      <c r="BE66">
        <f t="shared" si="142"/>
        <v>2028475.6832033007</v>
      </c>
      <c r="BF66">
        <f t="shared" si="143"/>
        <v>2179083.4829500341</v>
      </c>
      <c r="BG66">
        <f t="shared" si="144"/>
        <v>2337213.8790808036</v>
      </c>
      <c r="BH66">
        <f t="shared" si="145"/>
        <v>2503242.6121379477</v>
      </c>
      <c r="BI66">
        <f t="shared" si="146"/>
        <v>2677564.1902472214</v>
      </c>
      <c r="BJ66">
        <f t="shared" si="147"/>
        <v>2860592.8265257897</v>
      </c>
    </row>
    <row r="67" spans="1:62" x14ac:dyDescent="0.3">
      <c r="D67">
        <f t="shared" si="98"/>
        <v>48822.164131726611</v>
      </c>
      <c r="E67">
        <f t="shared" si="149"/>
        <v>99195.580915137019</v>
      </c>
      <c r="F67">
        <f t="shared" si="149"/>
        <v>151169.53912782128</v>
      </c>
      <c r="G67">
        <f t="shared" si="149"/>
        <v>204794.89362597934</v>
      </c>
      <c r="H67">
        <f>(H66+4000)*1.00407-(0.00125*(H66+4000))</f>
        <v>260285.07785292584</v>
      </c>
      <c r="I67">
        <f>(I66+4000)*1.00407-(0.00125*(I66+4000))</f>
        <v>318120.03205235372</v>
      </c>
      <c r="J67">
        <f>(J66+4000)*1.00407-(0.00125*(J66+4000))</f>
        <v>377942.76342060248</v>
      </c>
      <c r="K67">
        <f>(K66+4000)*1.00407-(0.00125*(K66+4000))</f>
        <v>439821.59150815132</v>
      </c>
      <c r="L67">
        <f>(L66+4000)*1.00407-(0.00104*(L66+4000))</f>
        <v>503932.69017758005</v>
      </c>
      <c r="M67">
        <f t="shared" si="148"/>
        <v>571520.08359935717</v>
      </c>
      <c r="N67">
        <f t="shared" si="148"/>
        <v>641606.32497826964</v>
      </c>
      <c r="O67">
        <f t="shared" si="148"/>
        <v>714283.80197415734</v>
      </c>
      <c r="P67">
        <f t="shared" si="148"/>
        <v>789648.31801277888</v>
      </c>
      <c r="Q67">
        <f t="shared" si="148"/>
        <v>867799.21857385698</v>
      </c>
      <c r="R67">
        <f t="shared" si="148"/>
        <v>948839.52214825561</v>
      </c>
      <c r="S67">
        <f>(S66+4000)*1.00407-(0.000833*(S66+4000))</f>
        <v>1033933.9831147516</v>
      </c>
      <c r="T67">
        <f t="shared" si="109"/>
        <v>1123840.9414829537</v>
      </c>
      <c r="U67">
        <f t="shared" si="110"/>
        <v>1211356.158310516</v>
      </c>
      <c r="V67">
        <f t="shared" si="111"/>
        <v>1301879.2576953014</v>
      </c>
      <c r="W67" s="3">
        <f t="shared" si="112"/>
        <v>1395513.6200299542</v>
      </c>
      <c r="X67">
        <f t="shared" si="113"/>
        <v>1492366.1788729711</v>
      </c>
      <c r="Y67">
        <f t="shared" si="114"/>
        <v>1592547.543070378</v>
      </c>
      <c r="Z67">
        <f t="shared" si="115"/>
        <v>1696172.123074722</v>
      </c>
      <c r="AA67">
        <f t="shared" si="116"/>
        <v>1803358.2616056104</v>
      </c>
      <c r="AB67" s="3">
        <f t="shared" si="117"/>
        <v>1914228.3688010387</v>
      </c>
      <c r="AC67">
        <f t="shared" si="118"/>
        <v>2028909.0620138405</v>
      </c>
      <c r="AD67">
        <f t="shared" si="119"/>
        <v>2147531.3104129215</v>
      </c>
      <c r="AE67">
        <f t="shared" si="120"/>
        <v>2270230.5845544068</v>
      </c>
      <c r="AI67">
        <f t="shared" si="101"/>
        <v>49288.984484636079</v>
      </c>
      <c r="AJ67">
        <f t="shared" si="121"/>
        <v>101039.86760321046</v>
      </c>
      <c r="AK67">
        <f t="shared" si="122"/>
        <v>155375.61688989247</v>
      </c>
      <c r="AL67">
        <f t="shared" si="123"/>
        <v>212425.3418922761</v>
      </c>
      <c r="AM67">
        <f t="shared" si="124"/>
        <v>272324.60095421626</v>
      </c>
      <c r="AN67">
        <f t="shared" si="125"/>
        <v>335215.72332193173</v>
      </c>
      <c r="AO67">
        <f t="shared" si="126"/>
        <v>401248.14733874454</v>
      </c>
      <c r="AP67">
        <f t="shared" si="127"/>
        <v>470578.77553205646</v>
      </c>
      <c r="AQ67">
        <f t="shared" si="128"/>
        <v>543372.34743629827</v>
      </c>
      <c r="AR67">
        <f t="shared" si="129"/>
        <v>619801.8310377351</v>
      </c>
      <c r="AS67">
        <f t="shared" si="130"/>
        <v>700048.8337712537</v>
      </c>
      <c r="AT67">
        <f t="shared" si="131"/>
        <v>784304.0340457235</v>
      </c>
      <c r="AU67">
        <f t="shared" si="132"/>
        <v>872767.63432329288</v>
      </c>
      <c r="AV67">
        <f t="shared" si="133"/>
        <v>965649.83682920574</v>
      </c>
      <c r="AW67">
        <f t="shared" si="134"/>
        <v>1063171.3430224929</v>
      </c>
      <c r="AX67">
        <f t="shared" si="135"/>
        <v>1165563.8780143484</v>
      </c>
      <c r="AY67">
        <f t="shared" si="136"/>
        <v>1273070.7411802912</v>
      </c>
      <c r="AZ67">
        <f t="shared" si="137"/>
        <v>1385947.3842744394</v>
      </c>
      <c r="BA67">
        <f t="shared" si="138"/>
        <v>1504462.0184195824</v>
      </c>
      <c r="BB67" s="3">
        <f t="shared" si="139"/>
        <v>1628896.2514153488</v>
      </c>
      <c r="BC67">
        <f t="shared" si="140"/>
        <v>1759545.7568787984</v>
      </c>
      <c r="BD67">
        <f t="shared" si="141"/>
        <v>1896720.9768074232</v>
      </c>
      <c r="BE67">
        <f t="shared" si="142"/>
        <v>2040747.8592339382</v>
      </c>
      <c r="BF67">
        <f t="shared" si="143"/>
        <v>2191968.6327256407</v>
      </c>
      <c r="BG67" s="3">
        <f t="shared" si="144"/>
        <v>2350742.6195686627</v>
      </c>
      <c r="BH67">
        <f t="shared" si="145"/>
        <v>2517447.0895693493</v>
      </c>
      <c r="BI67">
        <f t="shared" si="146"/>
        <v>2692478.1565015274</v>
      </c>
      <c r="BJ67">
        <f t="shared" si="147"/>
        <v>2876251.7193297497</v>
      </c>
    </row>
    <row r="70" spans="1:62" x14ac:dyDescent="0.3">
      <c r="D70" t="s">
        <v>57</v>
      </c>
      <c r="AI70" t="s">
        <v>57</v>
      </c>
      <c r="AJ70" t="s">
        <v>66</v>
      </c>
    </row>
    <row r="71" spans="1:62" x14ac:dyDescent="0.3">
      <c r="D71" t="s">
        <v>58</v>
      </c>
      <c r="AI71" t="s">
        <v>58</v>
      </c>
    </row>
    <row r="72" spans="1:62" x14ac:dyDescent="0.3">
      <c r="D72" t="s">
        <v>54</v>
      </c>
      <c r="AI72" t="s">
        <v>54</v>
      </c>
    </row>
    <row r="73" spans="1:62" x14ac:dyDescent="0.3">
      <c r="D73" t="s">
        <v>15</v>
      </c>
      <c r="E73" t="s">
        <v>16</v>
      </c>
      <c r="F73" t="s">
        <v>17</v>
      </c>
      <c r="G73" t="s">
        <v>18</v>
      </c>
      <c r="H73" t="s">
        <v>19</v>
      </c>
      <c r="I73" t="s">
        <v>20</v>
      </c>
      <c r="J73" t="s">
        <v>21</v>
      </c>
      <c r="K73" t="s">
        <v>22</v>
      </c>
      <c r="L73" t="s">
        <v>23</v>
      </c>
      <c r="M73" t="s">
        <v>24</v>
      </c>
      <c r="N73" t="s">
        <v>25</v>
      </c>
      <c r="O73" t="s">
        <v>26</v>
      </c>
      <c r="P73" t="s">
        <v>27</v>
      </c>
      <c r="Q73" t="s">
        <v>28</v>
      </c>
      <c r="R73" t="s">
        <v>29</v>
      </c>
      <c r="S73" t="s">
        <v>30</v>
      </c>
      <c r="T73" t="s">
        <v>31</v>
      </c>
      <c r="U73" t="s">
        <v>32</v>
      </c>
      <c r="V73" t="s">
        <v>33</v>
      </c>
      <c r="W73" t="s">
        <v>34</v>
      </c>
      <c r="X73" t="s">
        <v>35</v>
      </c>
      <c r="Y73" t="s">
        <v>36</v>
      </c>
      <c r="Z73" t="s">
        <v>37</v>
      </c>
      <c r="AA73" t="s">
        <v>38</v>
      </c>
      <c r="AB73" t="s">
        <v>39</v>
      </c>
      <c r="AC73" t="s">
        <v>67</v>
      </c>
      <c r="AD73" t="s">
        <v>68</v>
      </c>
      <c r="AE73" t="s">
        <v>69</v>
      </c>
      <c r="AI73" t="s">
        <v>15</v>
      </c>
      <c r="AJ73" t="s">
        <v>16</v>
      </c>
      <c r="AK73" t="s">
        <v>17</v>
      </c>
      <c r="AL73" t="s">
        <v>18</v>
      </c>
      <c r="AM73" t="s">
        <v>19</v>
      </c>
      <c r="AN73" t="s">
        <v>20</v>
      </c>
      <c r="AO73" t="s">
        <v>21</v>
      </c>
      <c r="AP73" t="s">
        <v>22</v>
      </c>
      <c r="AQ73" t="s">
        <v>23</v>
      </c>
      <c r="AR73" t="s">
        <v>24</v>
      </c>
      <c r="AS73" t="s">
        <v>25</v>
      </c>
      <c r="AT73" t="s">
        <v>26</v>
      </c>
      <c r="AU73" t="s">
        <v>27</v>
      </c>
      <c r="AV73" t="s">
        <v>28</v>
      </c>
      <c r="AW73" t="s">
        <v>29</v>
      </c>
      <c r="AX73" t="s">
        <v>30</v>
      </c>
      <c r="AY73" t="s">
        <v>31</v>
      </c>
      <c r="AZ73" t="s">
        <v>32</v>
      </c>
      <c r="BA73" t="s">
        <v>33</v>
      </c>
      <c r="BB73" t="s">
        <v>34</v>
      </c>
      <c r="BC73" t="s">
        <v>35</v>
      </c>
      <c r="BD73" t="s">
        <v>36</v>
      </c>
      <c r="BE73" t="s">
        <v>37</v>
      </c>
      <c r="BF73" t="s">
        <v>38</v>
      </c>
      <c r="BG73" t="s">
        <v>39</v>
      </c>
      <c r="BH73" t="s">
        <v>67</v>
      </c>
      <c r="BI73" t="s">
        <v>68</v>
      </c>
      <c r="BJ73" t="s">
        <v>69</v>
      </c>
    </row>
    <row r="74" spans="1:62" x14ac:dyDescent="0.3">
      <c r="D74">
        <v>0</v>
      </c>
      <c r="AI74">
        <v>0</v>
      </c>
    </row>
    <row r="75" spans="1:62" x14ac:dyDescent="0.3">
      <c r="D75">
        <f t="shared" ref="D75:D86" si="150">(D74+4000)*1.00487-(0.00146*(D74+4000))</f>
        <v>4013.6399999999994</v>
      </c>
      <c r="E75">
        <f>(D86+4000)*1.00487-(0.00146*(D86+4000))</f>
        <v>53258.330367834722</v>
      </c>
      <c r="F75">
        <f>(E86+4000)*1.00487-(0.00146*(E86+4000))</f>
        <v>104556.33942484803</v>
      </c>
      <c r="G75">
        <f>(F86+4000)*1.00487-(0.00146*(F86+4000))</f>
        <v>157993.28285077796</v>
      </c>
      <c r="H75">
        <f>(G86+4000)*1.00487-(0.00146*(G86+4000))</f>
        <v>213658.34617774622</v>
      </c>
      <c r="I75">
        <f>(H86+4000)*1.00487-(0.00125*(H86+4000))</f>
        <v>271866.8569737295</v>
      </c>
      <c r="J75">
        <f>(I86+4000)*1.00487-(0.00125*(I86+4000))</f>
        <v>333059.31681002188</v>
      </c>
      <c r="K75">
        <f>(J86+4000)*1.00487-(0.00125*(J86+4000))</f>
        <v>396963.54573009885</v>
      </c>
      <c r="L75">
        <f>(K86+4000)*1.00487-(0.00125*(K86+4000))</f>
        <v>463699.71689881512</v>
      </c>
      <c r="M75">
        <f t="shared" ref="M75:S75" si="151">(L86+4000)*1.00487-(0.00104*(L86+4000))</f>
        <v>534050.6601515701</v>
      </c>
      <c r="N75">
        <f t="shared" si="151"/>
        <v>608331.22937285481</v>
      </c>
      <c r="O75">
        <f t="shared" si="151"/>
        <v>686098.57416497741</v>
      </c>
      <c r="P75">
        <f t="shared" si="151"/>
        <v>767516.36591614573</v>
      </c>
      <c r="Q75">
        <f t="shared" si="151"/>
        <v>852755.95885012124</v>
      </c>
      <c r="R75">
        <f t="shared" si="151"/>
        <v>941996.75066323974</v>
      </c>
      <c r="S75">
        <f t="shared" si="151"/>
        <v>1035426.560089958</v>
      </c>
      <c r="T75">
        <f>(S86+4000)*1.00487-(0.000833*(S86+4000))</f>
        <v>1134632.3686457532</v>
      </c>
      <c r="U75">
        <f t="shared" ref="U75:AE75" si="152">(T86+4000)*1.00487-(0.00125*(T86+4000))</f>
        <v>1239598.8422825616</v>
      </c>
      <c r="V75">
        <f t="shared" si="152"/>
        <v>1343676.7439881759</v>
      </c>
      <c r="W75">
        <f t="shared" si="152"/>
        <v>1452366.9008132201</v>
      </c>
      <c r="X75">
        <f t="shared" si="152"/>
        <v>1565873.7067446802</v>
      </c>
      <c r="Y75">
        <f t="shared" si="152"/>
        <v>1684410.6135733356</v>
      </c>
      <c r="Z75">
        <f t="shared" si="152"/>
        <v>1808200.5322940664</v>
      </c>
      <c r="AA75">
        <f t="shared" si="152"/>
        <v>1937476.2522943858</v>
      </c>
      <c r="AB75">
        <f t="shared" si="152"/>
        <v>2072480.8791194798</v>
      </c>
      <c r="AC75">
        <f t="shared" si="152"/>
        <v>2213468.2916369881</v>
      </c>
      <c r="AD75">
        <f t="shared" si="152"/>
        <v>2360703.6194612277</v>
      </c>
      <c r="AE75">
        <f t="shared" si="152"/>
        <v>2514463.7415346759</v>
      </c>
      <c r="AI75">
        <f t="shared" ref="AI75:AI86" si="153">(AI74+4000)*1.00487-0</f>
        <v>4019.4799999999996</v>
      </c>
      <c r="AJ75">
        <f t="shared" ref="AJ75:BJ75" si="154">(AI86+4000)*1.00487-0</f>
        <v>53807.67881113667</v>
      </c>
      <c r="AK75">
        <f t="shared" si="154"/>
        <v>106584.7132988602</v>
      </c>
      <c r="AL75">
        <f t="shared" si="154"/>
        <v>162530.00627650679</v>
      </c>
      <c r="AM75">
        <f t="shared" si="154"/>
        <v>221833.75148945086</v>
      </c>
      <c r="AN75">
        <f t="shared" si="154"/>
        <v>284697.56020499382</v>
      </c>
      <c r="AO75">
        <f t="shared" si="154"/>
        <v>351335.14661769499</v>
      </c>
      <c r="AP75">
        <f t="shared" si="154"/>
        <v>421973.05440027406</v>
      </c>
      <c r="AQ75">
        <f t="shared" si="154"/>
        <v>496851.4268700956</v>
      </c>
      <c r="AR75">
        <f t="shared" si="154"/>
        <v>576224.82338952203</v>
      </c>
      <c r="AS75">
        <f t="shared" si="154"/>
        <v>660363.08477560175</v>
      </c>
      <c r="AT75">
        <f t="shared" si="154"/>
        <v>749552.25066117197</v>
      </c>
      <c r="AU75">
        <f t="shared" si="154"/>
        <v>844095.5319260715</v>
      </c>
      <c r="AV75">
        <f t="shared" si="154"/>
        <v>944314.34150437755</v>
      </c>
      <c r="AW75">
        <f t="shared" si="154"/>
        <v>1050549.3870720384</v>
      </c>
      <c r="AX75">
        <f t="shared" si="154"/>
        <v>1163161.8293296441</v>
      </c>
      <c r="AY75">
        <f t="shared" si="154"/>
        <v>1282534.509818078</v>
      </c>
      <c r="AZ75">
        <f t="shared" si="154"/>
        <v>1409073.2524411764</v>
      </c>
      <c r="BA75">
        <f t="shared" si="154"/>
        <v>1543208.2431201043</v>
      </c>
      <c r="BB75">
        <f t="shared" si="154"/>
        <v>1685395.4922697714</v>
      </c>
      <c r="BC75">
        <f t="shared" si="154"/>
        <v>1836118.3850691787</v>
      </c>
      <c r="BD75">
        <f t="shared" si="154"/>
        <v>1995889.3247960536</v>
      </c>
      <c r="BE75">
        <f t="shared" si="154"/>
        <v>2165251.4748125179</v>
      </c>
      <c r="BF75">
        <f t="shared" si="154"/>
        <v>2344780.6051239073</v>
      </c>
      <c r="BG75">
        <f t="shared" si="154"/>
        <v>2535087.0497883772</v>
      </c>
      <c r="BH75">
        <f t="shared" si="154"/>
        <v>2736817.7818317749</v>
      </c>
      <c r="BI75">
        <f t="shared" si="154"/>
        <v>2950658.6127217375</v>
      </c>
      <c r="BJ75">
        <f t="shared" si="154"/>
        <v>3177336.5238784384</v>
      </c>
    </row>
    <row r="76" spans="1:62" x14ac:dyDescent="0.3">
      <c r="D76">
        <f t="shared" si="150"/>
        <v>8040.9665123999985</v>
      </c>
      <c r="E76">
        <f t="shared" ref="E76:H83" si="155">(E75+4000)*1.00487-(0.00146*(E75+4000))</f>
        <v>57453.581274389035</v>
      </c>
      <c r="F76">
        <f t="shared" si="155"/>
        <v>108926.51654228676</v>
      </c>
      <c r="G76">
        <f t="shared" si="155"/>
        <v>162545.67994529911</v>
      </c>
      <c r="H76">
        <f t="shared" si="155"/>
        <v>218400.56113821233</v>
      </c>
      <c r="I76">
        <f t="shared" ref="I76:L81" si="156">(I75+4000)*1.00487-(0.00125*(I75+4000))</f>
        <v>276865.49499597441</v>
      </c>
      <c r="J76">
        <f t="shared" si="156"/>
        <v>338279.47153687413</v>
      </c>
      <c r="K76">
        <f t="shared" si="156"/>
        <v>402415.0337656418</v>
      </c>
      <c r="L76">
        <f t="shared" si="156"/>
        <v>469392.78987398883</v>
      </c>
      <c r="M76">
        <f t="shared" ref="M76:S81" si="157">(M75+4000)*1.00487-(0.00104*(M75+4000))</f>
        <v>540111.39417995058</v>
      </c>
      <c r="N76">
        <f t="shared" si="157"/>
        <v>614676.45798135281</v>
      </c>
      <c r="O76">
        <f t="shared" si="157"/>
        <v>692741.65170402918</v>
      </c>
      <c r="P76">
        <f t="shared" si="157"/>
        <v>774471.2735976046</v>
      </c>
      <c r="Q76">
        <f t="shared" si="157"/>
        <v>860037.33417251718</v>
      </c>
      <c r="R76">
        <f t="shared" si="157"/>
        <v>949619.91821827996</v>
      </c>
      <c r="S76">
        <f t="shared" si="157"/>
        <v>1043407.5638151024</v>
      </c>
      <c r="T76">
        <f t="shared" ref="T76:T86" si="158">(T75+4000)*1.00487-(0.000833*(T75+4000))</f>
        <v>1143229.027517976</v>
      </c>
      <c r="U76">
        <f t="shared" ref="U76:U86" si="159">(U75+4000)*1.00487-(0.00125*(U75+4000))</f>
        <v>1248100.6700916244</v>
      </c>
      <c r="V76">
        <f t="shared" ref="V76:V86" si="160">(V75+4000)*1.00487-(0.00125*(V75+4000))</f>
        <v>1352555.333801413</v>
      </c>
      <c r="W76">
        <f t="shared" ref="W76:W86" si="161">(W75+4000)*1.00487-(0.00125*(W75+4000))</f>
        <v>1461638.9489941639</v>
      </c>
      <c r="X76">
        <f t="shared" ref="X76:X86" si="162">(X75+4000)*1.00487-(0.00125*(X75+4000))</f>
        <v>1575556.649563096</v>
      </c>
      <c r="Y76">
        <f t="shared" ref="Y76:Y86" si="163">(Y75+4000)*1.00487-(0.00125*(Y75+4000))</f>
        <v>1694522.6599944709</v>
      </c>
      <c r="Z76">
        <f t="shared" ref="Z76:Z86" si="164">(Z75+4000)*1.00487-(0.00125*(Z75+4000))</f>
        <v>1818760.6982209708</v>
      </c>
      <c r="AA76">
        <f t="shared" ref="AA76:AA86" si="165">(AA75+4000)*1.00487-(0.00125*(AA75+4000))</f>
        <v>1948504.3963276914</v>
      </c>
      <c r="AB76">
        <f t="shared" ref="AB76:AB86" si="166">(AB75+4000)*1.00487-(0.00125*(AB75+4000))</f>
        <v>2083997.7399018921</v>
      </c>
      <c r="AC76">
        <f t="shared" ref="AC76:AC86" si="167">(AC75+4000)*1.00487-(0.00125*(AC75+4000))</f>
        <v>2225495.5268527139</v>
      </c>
      <c r="AD76">
        <f t="shared" ref="AD76:AD86" si="168">(AD75+4000)*1.00487-(0.00125*(AD75+4000))</f>
        <v>2373263.8465636773</v>
      </c>
      <c r="AE76">
        <f t="shared" ref="AE76:AE86" si="169">(AE75+4000)*1.00487-(0.00125*(AE75+4000))</f>
        <v>2527580.5802790313</v>
      </c>
      <c r="AI76">
        <f t="shared" si="153"/>
        <v>8058.5348675999994</v>
      </c>
      <c r="AJ76">
        <f t="shared" ref="AJ76:AJ86" si="170">(AJ75+4000)*1.00487-0</f>
        <v>58089.202206946902</v>
      </c>
      <c r="AK76">
        <f t="shared" ref="AK76:AK86" si="171">(AK75+4000)*1.00487-0</f>
        <v>111123.26085262564</v>
      </c>
      <c r="AL76">
        <f t="shared" ref="AL76:AL86" si="172">(AL75+4000)*1.00487-0</f>
        <v>167341.00740707337</v>
      </c>
      <c r="AM76">
        <f t="shared" ref="AM76:AM86" si="173">(AM75+4000)*1.00487-0</f>
        <v>226933.56185920446</v>
      </c>
      <c r="AN76">
        <f t="shared" ref="AN76:AN86" si="174">(AN75+4000)*1.00487-0</f>
        <v>290103.51732319209</v>
      </c>
      <c r="AO76">
        <f t="shared" ref="AO76:AO86" si="175">(AO75+4000)*1.00487-0</f>
        <v>357065.62878172315</v>
      </c>
      <c r="AP76">
        <f t="shared" ref="AP76:AP86" si="176">(AP75+4000)*1.00487-0</f>
        <v>428047.54317520338</v>
      </c>
      <c r="AQ76">
        <f t="shared" ref="AQ76:AQ86" si="177">(AQ75+4000)*1.00487-0</f>
        <v>503290.57331895293</v>
      </c>
      <c r="AR76">
        <f t="shared" ref="AR76:AR86" si="178">(AR75+4000)*1.00487-0</f>
        <v>583050.51827942894</v>
      </c>
      <c r="AS76">
        <f t="shared" ref="AS76:AS86" si="179">(AS75+4000)*1.00487-0</f>
        <v>667598.53299845883</v>
      </c>
      <c r="AT76">
        <f t="shared" ref="AT76:AT86" si="180">(AT75+4000)*1.00487-0</f>
        <v>757222.05012189178</v>
      </c>
      <c r="AU76">
        <f t="shared" ref="AU76:AU86" si="181">(AU75+4000)*1.00487-0</f>
        <v>852225.75716655143</v>
      </c>
      <c r="AV76">
        <f t="shared" ref="AV76:AV86" si="182">(AV75+4000)*1.00487-0</f>
        <v>952932.63234750379</v>
      </c>
      <c r="AW76">
        <f t="shared" ref="AW76:AW86" si="183">(AW75+4000)*1.00487-0</f>
        <v>1059685.0425870791</v>
      </c>
      <c r="AX76">
        <f t="shared" ref="AX76:AX86" si="184">(AX75+4000)*1.00487-0</f>
        <v>1172845.9074384794</v>
      </c>
      <c r="AY76">
        <f t="shared" ref="AY76:AY86" si="185">(AY75+4000)*1.00487-0</f>
        <v>1292799.932880892</v>
      </c>
      <c r="AZ76">
        <f t="shared" ref="AZ76:AZ86" si="186">(AZ75+4000)*1.00487-0</f>
        <v>1419954.9191805648</v>
      </c>
      <c r="BA76">
        <f t="shared" ref="BA76:BA86" si="187">(BA75+4000)*1.00487-0</f>
        <v>1554743.1472640992</v>
      </c>
      <c r="BB76">
        <f t="shared" ref="BB76:BB86" si="188">(BB75+4000)*1.00487-0</f>
        <v>1697622.8483171251</v>
      </c>
      <c r="BC76">
        <f t="shared" ref="BC76:BC86" si="189">(BC75+4000)*1.00487-0</f>
        <v>1849079.7616044653</v>
      </c>
      <c r="BD76">
        <f t="shared" ref="BD76:BD86" si="190">(BD75+4000)*1.00487-0</f>
        <v>2009628.7858078103</v>
      </c>
      <c r="BE76">
        <f t="shared" ref="BE76:BE86" si="191">(BE75+4000)*1.00487-0</f>
        <v>2179815.7294948548</v>
      </c>
      <c r="BF76">
        <f t="shared" ref="BF76:BF86" si="192">(BF75+4000)*1.00487-0</f>
        <v>2360219.1666708607</v>
      </c>
      <c r="BG76">
        <f t="shared" ref="BG76:BG86" si="193">(BG75+4000)*1.00487-0</f>
        <v>2551452.4037208464</v>
      </c>
      <c r="BH76">
        <f t="shared" ref="BH76:BH86" si="194">(BH75+4000)*1.00487-0</f>
        <v>2754165.5644292952</v>
      </c>
      <c r="BI76">
        <f t="shared" ref="BI76:BI86" si="195">(BI75+4000)*1.00487-0</f>
        <v>2969047.8001656923</v>
      </c>
      <c r="BJ76">
        <f t="shared" ref="BJ76:BJ86" si="196">(BJ75+4000)*1.00487-0</f>
        <v>3196829.6327497261</v>
      </c>
    </row>
    <row r="77" spans="1:62" x14ac:dyDescent="0.3">
      <c r="A77">
        <f>0.0175/12</f>
        <v>1.4583333333333334E-3</v>
      </c>
      <c r="B77">
        <v>1.75</v>
      </c>
      <c r="D77">
        <f t="shared" si="150"/>
        <v>12082.026208207282</v>
      </c>
      <c r="E77">
        <f t="shared" si="155"/>
        <v>61663.137986534697</v>
      </c>
      <c r="F77">
        <f t="shared" si="155"/>
        <v>113311.59596369595</v>
      </c>
      <c r="G77">
        <f t="shared" si="155"/>
        <v>167113.60071391257</v>
      </c>
      <c r="H77">
        <f t="shared" si="155"/>
        <v>223158.94705169363</v>
      </c>
      <c r="I77">
        <f t="shared" si="156"/>
        <v>281882.22808785981</v>
      </c>
      <c r="J77">
        <f t="shared" si="156"/>
        <v>343518.5232238376</v>
      </c>
      <c r="K77">
        <f t="shared" si="156"/>
        <v>407886.25618787337</v>
      </c>
      <c r="L77">
        <f t="shared" si="156"/>
        <v>475106.47177333263</v>
      </c>
      <c r="M77">
        <f t="shared" si="157"/>
        <v>546195.34081965976</v>
      </c>
      <c r="N77">
        <f t="shared" si="157"/>
        <v>621045.98881542135</v>
      </c>
      <c r="O77">
        <f t="shared" si="157"/>
        <v>699410.17223005556</v>
      </c>
      <c r="P77">
        <f t="shared" si="157"/>
        <v>781452.81857548328</v>
      </c>
      <c r="Q77">
        <f t="shared" si="157"/>
        <v>867346.59716239793</v>
      </c>
      <c r="R77">
        <f t="shared" si="157"/>
        <v>957272.28250505589</v>
      </c>
      <c r="S77">
        <f t="shared" si="157"/>
        <v>1051419.1347845141</v>
      </c>
      <c r="T77">
        <f t="shared" si="158"/>
        <v>1151860.391102066</v>
      </c>
      <c r="U77">
        <f t="shared" si="159"/>
        <v>1256633.274517356</v>
      </c>
      <c r="V77">
        <f t="shared" si="160"/>
        <v>1361466.0641097741</v>
      </c>
      <c r="W77">
        <f t="shared" si="161"/>
        <v>1470944.5619895228</v>
      </c>
      <c r="X77">
        <f t="shared" si="162"/>
        <v>1585274.6446345143</v>
      </c>
      <c r="Y77">
        <f t="shared" si="163"/>
        <v>1704671.3120236509</v>
      </c>
      <c r="Z77">
        <f t="shared" si="164"/>
        <v>1829359.0919485306</v>
      </c>
      <c r="AA77">
        <f t="shared" si="165"/>
        <v>1959572.4622423975</v>
      </c>
      <c r="AB77">
        <f t="shared" si="166"/>
        <v>2095556.291720337</v>
      </c>
      <c r="AC77">
        <f t="shared" si="167"/>
        <v>2237566.3006599206</v>
      </c>
      <c r="AD77">
        <f t="shared" si="168"/>
        <v>2385869.5416882378</v>
      </c>
      <c r="AE77">
        <f t="shared" si="169"/>
        <v>2540744.9019796415</v>
      </c>
      <c r="AI77">
        <f t="shared" si="153"/>
        <v>12117.25993240521</v>
      </c>
      <c r="AJ77">
        <f t="shared" si="170"/>
        <v>62391.57662169473</v>
      </c>
      <c r="AK77">
        <f t="shared" si="171"/>
        <v>115683.91113297791</v>
      </c>
      <c r="AL77">
        <f t="shared" si="172"/>
        <v>172175.43811314579</v>
      </c>
      <c r="AM77">
        <f t="shared" si="173"/>
        <v>232058.20830545877</v>
      </c>
      <c r="AN77">
        <f t="shared" si="174"/>
        <v>295535.80145255604</v>
      </c>
      <c r="AO77">
        <f t="shared" si="175"/>
        <v>362824.01839389012</v>
      </c>
      <c r="AP77">
        <f t="shared" si="176"/>
        <v>434151.61471046659</v>
      </c>
      <c r="AQ77">
        <f t="shared" si="177"/>
        <v>509761.07841101621</v>
      </c>
      <c r="AR77">
        <f t="shared" si="178"/>
        <v>589909.45430344972</v>
      </c>
      <c r="AS77">
        <f t="shared" si="179"/>
        <v>674869.21785416128</v>
      </c>
      <c r="AT77">
        <f t="shared" si="180"/>
        <v>764929.20150598534</v>
      </c>
      <c r="AU77">
        <f t="shared" si="181"/>
        <v>860395.57660395245</v>
      </c>
      <c r="AV77">
        <f t="shared" si="182"/>
        <v>961592.89426703611</v>
      </c>
      <c r="AW77">
        <f t="shared" si="183"/>
        <v>1068865.1887444782</v>
      </c>
      <c r="AX77">
        <f t="shared" si="184"/>
        <v>1182577.1470077047</v>
      </c>
      <c r="AY77">
        <f t="shared" si="185"/>
        <v>1303115.3485540219</v>
      </c>
      <c r="AZ77">
        <f t="shared" si="186"/>
        <v>1430889.579636974</v>
      </c>
      <c r="BA77">
        <f t="shared" si="187"/>
        <v>1566334.2263912752</v>
      </c>
      <c r="BB77">
        <f t="shared" si="188"/>
        <v>1709909.7515884293</v>
      </c>
      <c r="BC77">
        <f t="shared" si="189"/>
        <v>1862104.260043479</v>
      </c>
      <c r="BD77">
        <f t="shared" si="190"/>
        <v>2023435.1579946941</v>
      </c>
      <c r="BE77">
        <f t="shared" si="191"/>
        <v>2194450.9120974946</v>
      </c>
      <c r="BF77">
        <f t="shared" si="192"/>
        <v>2375732.9140125476</v>
      </c>
      <c r="BG77">
        <f t="shared" si="193"/>
        <v>2567897.4569269666</v>
      </c>
      <c r="BH77">
        <f t="shared" si="194"/>
        <v>2771597.8307280657</v>
      </c>
      <c r="BI77">
        <f t="shared" si="195"/>
        <v>2987526.5429524989</v>
      </c>
      <c r="BJ77">
        <f t="shared" si="196"/>
        <v>3216417.6730612172</v>
      </c>
    </row>
    <row r="78" spans="1:62" x14ac:dyDescent="0.3">
      <c r="A78">
        <f>0.015/12</f>
        <v>1.25E-3</v>
      </c>
      <c r="B78">
        <v>1.5</v>
      </c>
      <c r="D78">
        <f t="shared" si="150"/>
        <v>16136.865917577268</v>
      </c>
      <c r="E78">
        <f t="shared" si="155"/>
        <v>65887.049287068774</v>
      </c>
      <c r="F78">
        <f t="shared" si="155"/>
        <v>117711.62850593214</v>
      </c>
      <c r="G78">
        <f t="shared" si="155"/>
        <v>171697.09809234701</v>
      </c>
      <c r="H78">
        <f t="shared" si="155"/>
        <v>227933.55906113988</v>
      </c>
      <c r="I78">
        <f t="shared" si="156"/>
        <v>286917.12175353785</v>
      </c>
      <c r="J78">
        <f t="shared" si="156"/>
        <v>348776.54027790786</v>
      </c>
      <c r="K78">
        <f t="shared" si="156"/>
        <v>413377.28443527344</v>
      </c>
      <c r="L78">
        <f t="shared" si="156"/>
        <v>480840.83720115206</v>
      </c>
      <c r="M78">
        <f t="shared" si="157"/>
        <v>552302.58897499891</v>
      </c>
      <c r="N78">
        <f t="shared" si="157"/>
        <v>627439.91495258443</v>
      </c>
      <c r="O78">
        <f t="shared" si="157"/>
        <v>706104.23318969656</v>
      </c>
      <c r="P78">
        <f t="shared" si="157"/>
        <v>788461.10287062731</v>
      </c>
      <c r="Q78">
        <f t="shared" si="157"/>
        <v>874683.85462952987</v>
      </c>
      <c r="R78">
        <f t="shared" si="157"/>
        <v>964953.95534705021</v>
      </c>
      <c r="S78">
        <f t="shared" si="157"/>
        <v>1059461.3900707387</v>
      </c>
      <c r="T78">
        <f t="shared" si="158"/>
        <v>1160526.5995009451</v>
      </c>
      <c r="U78">
        <f t="shared" si="159"/>
        <v>1265196.7669711087</v>
      </c>
      <c r="V78">
        <f t="shared" si="160"/>
        <v>1370409.0512618513</v>
      </c>
      <c r="W78">
        <f t="shared" si="161"/>
        <v>1480283.8613039246</v>
      </c>
      <c r="X78">
        <f t="shared" si="162"/>
        <v>1595027.8188480912</v>
      </c>
      <c r="Y78">
        <f t="shared" si="163"/>
        <v>1714856.7021731762</v>
      </c>
      <c r="Z78">
        <f t="shared" si="164"/>
        <v>1839995.8518613842</v>
      </c>
      <c r="AA78">
        <f t="shared" si="165"/>
        <v>1970680.5945557146</v>
      </c>
      <c r="AB78">
        <f t="shared" si="166"/>
        <v>2107156.6854963647</v>
      </c>
      <c r="AC78">
        <f t="shared" si="167"/>
        <v>2249680.7706683092</v>
      </c>
      <c r="AD78">
        <f t="shared" si="168"/>
        <v>2398520.8694291492</v>
      </c>
      <c r="AE78">
        <f t="shared" si="169"/>
        <v>2553956.8785248077</v>
      </c>
      <c r="AI78">
        <f t="shared" si="153"/>
        <v>16195.750988276022</v>
      </c>
      <c r="AJ78">
        <f t="shared" si="170"/>
        <v>66714.903599842379</v>
      </c>
      <c r="AK78">
        <f t="shared" si="171"/>
        <v>120266.7717801955</v>
      </c>
      <c r="AL78">
        <f t="shared" si="172"/>
        <v>177033.41249675679</v>
      </c>
      <c r="AM78">
        <f t="shared" si="173"/>
        <v>237207.81177990633</v>
      </c>
      <c r="AN78">
        <f t="shared" si="174"/>
        <v>300994.54080562998</v>
      </c>
      <c r="AO78">
        <f t="shared" si="175"/>
        <v>368610.45136346831</v>
      </c>
      <c r="AP78">
        <f t="shared" si="176"/>
        <v>440285.4130741065</v>
      </c>
      <c r="AQ78">
        <f t="shared" si="177"/>
        <v>516263.0948628778</v>
      </c>
      <c r="AR78">
        <f t="shared" si="178"/>
        <v>596801.79334590747</v>
      </c>
      <c r="AS78">
        <f t="shared" si="179"/>
        <v>682175.31094511098</v>
      </c>
      <c r="AT78">
        <f t="shared" si="180"/>
        <v>772673.88671731949</v>
      </c>
      <c r="AU78">
        <f t="shared" si="181"/>
        <v>868605.18306201359</v>
      </c>
      <c r="AV78">
        <f t="shared" si="182"/>
        <v>970295.33166211646</v>
      </c>
      <c r="AW78">
        <f t="shared" si="183"/>
        <v>1078090.0422136637</v>
      </c>
      <c r="AX78">
        <f t="shared" si="184"/>
        <v>1192355.7777136322</v>
      </c>
      <c r="AY78">
        <f t="shared" si="185"/>
        <v>1313481.0003014798</v>
      </c>
      <c r="AZ78">
        <f t="shared" si="186"/>
        <v>1441877.491889806</v>
      </c>
      <c r="BA78">
        <f t="shared" si="187"/>
        <v>1577981.7540738005</v>
      </c>
      <c r="BB78">
        <f t="shared" si="188"/>
        <v>1722256.4920786649</v>
      </c>
      <c r="BC78">
        <f t="shared" si="189"/>
        <v>1875192.1877898907</v>
      </c>
      <c r="BD78">
        <f t="shared" si="190"/>
        <v>2037308.767214128</v>
      </c>
      <c r="BE78">
        <f t="shared" si="191"/>
        <v>2209157.3680394092</v>
      </c>
      <c r="BF78">
        <f t="shared" si="192"/>
        <v>2391322.2133037886</v>
      </c>
      <c r="BG78">
        <f t="shared" si="193"/>
        <v>2584422.5975422007</v>
      </c>
      <c r="BH78">
        <f t="shared" si="194"/>
        <v>2789114.9921637112</v>
      </c>
      <c r="BI78">
        <f t="shared" si="195"/>
        <v>3006095.2772166776</v>
      </c>
      <c r="BJ78">
        <f t="shared" si="196"/>
        <v>3236101.1071290253</v>
      </c>
    </row>
    <row r="79" spans="1:62" x14ac:dyDescent="0.3">
      <c r="A79">
        <f>0.0125/12</f>
        <v>1.0416666666666667E-3</v>
      </c>
      <c r="B79">
        <v>1.25</v>
      </c>
      <c r="D79">
        <f t="shared" si="150"/>
        <v>20205.532630356207</v>
      </c>
      <c r="E79">
        <f t="shared" si="155"/>
        <v>70125.364125137683</v>
      </c>
      <c r="F79">
        <f t="shared" si="155"/>
        <v>122126.66515913735</v>
      </c>
      <c r="G79">
        <f t="shared" si="155"/>
        <v>176296.2251968419</v>
      </c>
      <c r="H79">
        <f t="shared" si="155"/>
        <v>232724.45249753835</v>
      </c>
      <c r="I79">
        <f t="shared" si="156"/>
        <v>291970.24173428566</v>
      </c>
      <c r="J79">
        <f t="shared" si="156"/>
        <v>354053.59135371388</v>
      </c>
      <c r="K79">
        <f t="shared" si="156"/>
        <v>418888.19020492909</v>
      </c>
      <c r="L79">
        <f t="shared" si="156"/>
        <v>486595.96103182022</v>
      </c>
      <c r="M79">
        <f t="shared" si="157"/>
        <v>558433.22789077309</v>
      </c>
      <c r="N79">
        <f t="shared" si="157"/>
        <v>633858.32982685277</v>
      </c>
      <c r="O79">
        <f t="shared" si="157"/>
        <v>712823.93240281299</v>
      </c>
      <c r="P79">
        <f t="shared" si="157"/>
        <v>795496.22889462183</v>
      </c>
      <c r="Q79">
        <f t="shared" si="157"/>
        <v>882049.21379276086</v>
      </c>
      <c r="R79">
        <f t="shared" si="157"/>
        <v>972665.04899602942</v>
      </c>
      <c r="S79">
        <f t="shared" si="157"/>
        <v>1067534.4471947097</v>
      </c>
      <c r="T79">
        <f t="shared" si="158"/>
        <v>1169227.7933831303</v>
      </c>
      <c r="U79">
        <f t="shared" si="159"/>
        <v>1273791.2592675441</v>
      </c>
      <c r="V79">
        <f t="shared" si="160"/>
        <v>1379384.4120274191</v>
      </c>
      <c r="W79">
        <f t="shared" si="161"/>
        <v>1489656.9688818448</v>
      </c>
      <c r="X79">
        <f t="shared" si="162"/>
        <v>1604816.2995523212</v>
      </c>
      <c r="Y79">
        <f t="shared" si="163"/>
        <v>1725078.9634350431</v>
      </c>
      <c r="Z79">
        <f t="shared" si="164"/>
        <v>1850671.1168451223</v>
      </c>
      <c r="AA79">
        <f t="shared" si="165"/>
        <v>1981828.9383080062</v>
      </c>
      <c r="AB79">
        <f t="shared" si="166"/>
        <v>2118799.0726978611</v>
      </c>
      <c r="AC79">
        <f t="shared" si="167"/>
        <v>2261839.0950581282</v>
      </c>
      <c r="AD79">
        <f t="shared" si="168"/>
        <v>2411217.9949764828</v>
      </c>
      <c r="AE79">
        <f t="shared" si="169"/>
        <v>2567216.6824250678</v>
      </c>
      <c r="AI79">
        <f t="shared" si="153"/>
        <v>20294.104295588924</v>
      </c>
      <c r="AJ79">
        <f t="shared" si="170"/>
        <v>71059.285180373612</v>
      </c>
      <c r="AK79">
        <f t="shared" si="171"/>
        <v>124871.95095876504</v>
      </c>
      <c r="AL79">
        <f t="shared" si="172"/>
        <v>181915.04521561597</v>
      </c>
      <c r="AM79">
        <f t="shared" si="173"/>
        <v>242382.49382327445</v>
      </c>
      <c r="AN79">
        <f t="shared" si="174"/>
        <v>306479.86421935336</v>
      </c>
      <c r="AO79">
        <f t="shared" si="175"/>
        <v>374425.06426160835</v>
      </c>
      <c r="AP79">
        <f t="shared" si="176"/>
        <v>446449.08303577738</v>
      </c>
      <c r="AQ79">
        <f t="shared" si="177"/>
        <v>522796.77613486</v>
      </c>
      <c r="AR79">
        <f t="shared" si="178"/>
        <v>603727.69807950198</v>
      </c>
      <c r="AS79">
        <f t="shared" si="179"/>
        <v>689516.98470941361</v>
      </c>
      <c r="AT79">
        <f t="shared" si="180"/>
        <v>780456.28854563273</v>
      </c>
      <c r="AU79">
        <f t="shared" si="181"/>
        <v>876854.7703035255</v>
      </c>
      <c r="AV79">
        <f t="shared" si="182"/>
        <v>979040.14992731088</v>
      </c>
      <c r="AW79">
        <f t="shared" si="183"/>
        <v>1087359.8207192442</v>
      </c>
      <c r="AX79">
        <f t="shared" si="184"/>
        <v>1202182.0303510975</v>
      </c>
      <c r="AY79">
        <f t="shared" si="185"/>
        <v>1323897.1327729479</v>
      </c>
      <c r="AZ79">
        <f t="shared" si="186"/>
        <v>1452918.9152753092</v>
      </c>
      <c r="BA79">
        <f t="shared" si="187"/>
        <v>1589686.0052161398</v>
      </c>
      <c r="BB79">
        <f t="shared" si="188"/>
        <v>1734663.3611950879</v>
      </c>
      <c r="BC79">
        <f t="shared" si="189"/>
        <v>1888343.8537444272</v>
      </c>
      <c r="BD79">
        <f t="shared" si="190"/>
        <v>2051249.9409104607</v>
      </c>
      <c r="BE79">
        <f t="shared" si="191"/>
        <v>2223935.4444217607</v>
      </c>
      <c r="BF79">
        <f t="shared" si="192"/>
        <v>2406987.4324825779</v>
      </c>
      <c r="BG79">
        <f t="shared" si="193"/>
        <v>2601028.2155922311</v>
      </c>
      <c r="BH79">
        <f t="shared" si="194"/>
        <v>2806717.4621755481</v>
      </c>
      <c r="BI79">
        <f t="shared" si="195"/>
        <v>3024754.4412167226</v>
      </c>
      <c r="BJ79">
        <f t="shared" si="196"/>
        <v>3255880.3995207432</v>
      </c>
    </row>
    <row r="80" spans="1:62" x14ac:dyDescent="0.3">
      <c r="A80">
        <f>0.01/12</f>
        <v>8.3333333333333339E-4</v>
      </c>
      <c r="B80">
        <v>1</v>
      </c>
      <c r="D80">
        <f t="shared" si="150"/>
        <v>24288.073496625719</v>
      </c>
      <c r="E80">
        <f t="shared" si="155"/>
        <v>74378.131616804385</v>
      </c>
      <c r="F80">
        <f t="shared" si="155"/>
        <v>126556.75708733</v>
      </c>
      <c r="G80">
        <f t="shared" si="155"/>
        <v>180911.03532476313</v>
      </c>
      <c r="H80">
        <f t="shared" si="155"/>
        <v>237531.68288055496</v>
      </c>
      <c r="I80">
        <f t="shared" si="156"/>
        <v>297041.65400936373</v>
      </c>
      <c r="J80">
        <f t="shared" si="156"/>
        <v>359349.74535441428</v>
      </c>
      <c r="K80">
        <f t="shared" si="156"/>
        <v>424419.0454534709</v>
      </c>
      <c r="L80">
        <f t="shared" si="156"/>
        <v>492371.91841075534</v>
      </c>
      <c r="M80">
        <f t="shared" si="157"/>
        <v>564587.34715359472</v>
      </c>
      <c r="N80">
        <f t="shared" si="157"/>
        <v>640301.32723008958</v>
      </c>
      <c r="O80">
        <f t="shared" si="157"/>
        <v>719569.36806391575</v>
      </c>
      <c r="P80">
        <f t="shared" si="157"/>
        <v>802558.29945128819</v>
      </c>
      <c r="Q80">
        <f t="shared" si="157"/>
        <v>889442.78228158702</v>
      </c>
      <c r="R80">
        <f t="shared" si="157"/>
        <v>980405.67613368412</v>
      </c>
      <c r="S80">
        <f t="shared" si="157"/>
        <v>1075638.4241274653</v>
      </c>
      <c r="T80">
        <f t="shared" si="158"/>
        <v>1177964.1139850181</v>
      </c>
      <c r="U80">
        <f t="shared" si="159"/>
        <v>1282416.8636260924</v>
      </c>
      <c r="V80">
        <f t="shared" si="160"/>
        <v>1388392.2635989583</v>
      </c>
      <c r="W80">
        <f t="shared" si="161"/>
        <v>1499064.0071091969</v>
      </c>
      <c r="X80">
        <f t="shared" si="162"/>
        <v>1614640.2145567006</v>
      </c>
      <c r="Y80">
        <f t="shared" si="163"/>
        <v>1735338.2292826779</v>
      </c>
      <c r="Z80">
        <f t="shared" si="164"/>
        <v>1861385.0262881014</v>
      </c>
      <c r="AA80">
        <f t="shared" si="165"/>
        <v>1993017.639064681</v>
      </c>
      <c r="AB80">
        <f t="shared" si="166"/>
        <v>2130483.6053410275</v>
      </c>
      <c r="AC80">
        <f t="shared" si="167"/>
        <v>2274041.4325822382</v>
      </c>
      <c r="AD80">
        <f t="shared" si="168"/>
        <v>2423961.0841182978</v>
      </c>
      <c r="AE80">
        <f t="shared" si="169"/>
        <v>2580524.4868154461</v>
      </c>
      <c r="AI80">
        <f t="shared" si="153"/>
        <v>24412.416583508442</v>
      </c>
      <c r="AJ80">
        <f t="shared" si="170"/>
        <v>75424.82389920202</v>
      </c>
      <c r="AK80">
        <f t="shared" si="171"/>
        <v>129499.55735993422</v>
      </c>
      <c r="AL80">
        <f t="shared" si="172"/>
        <v>186820.45148581601</v>
      </c>
      <c r="AM80">
        <f t="shared" si="173"/>
        <v>247582.37656819378</v>
      </c>
      <c r="AN80">
        <f t="shared" si="174"/>
        <v>311991.90115810157</v>
      </c>
      <c r="AO80">
        <f t="shared" si="175"/>
        <v>380267.99432456237</v>
      </c>
      <c r="AP80">
        <f t="shared" si="176"/>
        <v>452642.77007016161</v>
      </c>
      <c r="AQ80">
        <f t="shared" si="177"/>
        <v>529362.27643463679</v>
      </c>
      <c r="AR80">
        <f t="shared" si="178"/>
        <v>610687.33196914906</v>
      </c>
      <c r="AS80">
        <f t="shared" si="179"/>
        <v>696894.41242494842</v>
      </c>
      <c r="AT80">
        <f t="shared" si="180"/>
        <v>788276.5906708499</v>
      </c>
      <c r="AU80">
        <f t="shared" si="181"/>
        <v>885144.53303490358</v>
      </c>
      <c r="AV80">
        <f t="shared" si="182"/>
        <v>987827.55545745685</v>
      </c>
      <c r="AW80">
        <f t="shared" si="183"/>
        <v>1096674.7430461468</v>
      </c>
      <c r="AX80">
        <f t="shared" si="184"/>
        <v>1212056.1368389071</v>
      </c>
      <c r="AY80">
        <f t="shared" si="185"/>
        <v>1334363.9918095521</v>
      </c>
      <c r="AZ80">
        <f t="shared" si="186"/>
        <v>1464014.1103926999</v>
      </c>
      <c r="BA80">
        <f t="shared" si="187"/>
        <v>1601447.2560615423</v>
      </c>
      <c r="BB80">
        <f t="shared" si="188"/>
        <v>1747130.6517641079</v>
      </c>
      <c r="BC80">
        <f t="shared" si="189"/>
        <v>1901559.5683121625</v>
      </c>
      <c r="BD80">
        <f t="shared" si="190"/>
        <v>2065259.0081226944</v>
      </c>
      <c r="BE80">
        <f t="shared" si="191"/>
        <v>2238785.4900360946</v>
      </c>
      <c r="BF80">
        <f t="shared" si="192"/>
        <v>2422728.9412787678</v>
      </c>
      <c r="BG80">
        <f t="shared" si="193"/>
        <v>2617714.7030021651</v>
      </c>
      <c r="BH80">
        <f t="shared" si="194"/>
        <v>2824405.6562163429</v>
      </c>
      <c r="BI80">
        <f t="shared" si="195"/>
        <v>3043504.4753454477</v>
      </c>
      <c r="BJ80">
        <f t="shared" si="196"/>
        <v>3275756.0170664089</v>
      </c>
    </row>
    <row r="81" spans="1:62" x14ac:dyDescent="0.3">
      <c r="D81">
        <f t="shared" si="150"/>
        <v>28384.535827249209</v>
      </c>
      <c r="E81">
        <f t="shared" si="155"/>
        <v>78645.401045617691</v>
      </c>
      <c r="F81">
        <f t="shared" si="155"/>
        <v>131001.95562899779</v>
      </c>
      <c r="G81">
        <f t="shared" si="155"/>
        <v>185541.58195522055</v>
      </c>
      <c r="H81">
        <f t="shared" si="155"/>
        <v>242355.30591917763</v>
      </c>
      <c r="I81">
        <f t="shared" si="156"/>
        <v>302131.4247968776</v>
      </c>
      <c r="J81">
        <f t="shared" si="156"/>
        <v>364665.07143259724</v>
      </c>
      <c r="K81">
        <f t="shared" si="156"/>
        <v>429969.92239801242</v>
      </c>
      <c r="L81">
        <f t="shared" si="156"/>
        <v>498168.78475540224</v>
      </c>
      <c r="M81">
        <f t="shared" si="157"/>
        <v>570765.0366931929</v>
      </c>
      <c r="N81">
        <f t="shared" si="157"/>
        <v>646769.00131338078</v>
      </c>
      <c r="O81">
        <f t="shared" si="157"/>
        <v>726340.63874360046</v>
      </c>
      <c r="P81">
        <f t="shared" si="157"/>
        <v>809647.41773818654</v>
      </c>
      <c r="Q81">
        <f t="shared" si="157"/>
        <v>896864.66813772544</v>
      </c>
      <c r="R81">
        <f t="shared" si="157"/>
        <v>988175.94987327605</v>
      </c>
      <c r="S81">
        <f t="shared" si="157"/>
        <v>1083773.4392918735</v>
      </c>
      <c r="T81">
        <f t="shared" si="158"/>
        <v>1186735.7031131757</v>
      </c>
      <c r="U81">
        <f t="shared" si="159"/>
        <v>1291073.6926724189</v>
      </c>
      <c r="V81">
        <f t="shared" si="160"/>
        <v>1397432.7235931864</v>
      </c>
      <c r="W81">
        <f t="shared" si="161"/>
        <v>1508505.0988149319</v>
      </c>
      <c r="X81">
        <f t="shared" si="162"/>
        <v>1624499.6921333957</v>
      </c>
      <c r="Y81">
        <f t="shared" si="163"/>
        <v>1745634.6336726809</v>
      </c>
      <c r="Z81">
        <f t="shared" si="164"/>
        <v>1872137.7200832644</v>
      </c>
      <c r="AA81">
        <f t="shared" si="165"/>
        <v>2004246.8429180952</v>
      </c>
      <c r="AB81">
        <f t="shared" si="166"/>
        <v>2142210.435992362</v>
      </c>
      <c r="AC81">
        <f t="shared" si="167"/>
        <v>2286287.9425681857</v>
      </c>
      <c r="AD81">
        <f t="shared" si="168"/>
        <v>2436750.3032428059</v>
      </c>
      <c r="AE81">
        <f t="shared" si="169"/>
        <v>2593880.4654577174</v>
      </c>
      <c r="AI81">
        <f t="shared" si="153"/>
        <v>28550.785052270126</v>
      </c>
      <c r="AJ81">
        <f t="shared" si="170"/>
        <v>79811.622791591129</v>
      </c>
      <c r="AK81">
        <f t="shared" si="171"/>
        <v>134149.70020427706</v>
      </c>
      <c r="AL81">
        <f t="shared" si="172"/>
        <v>191749.74708455193</v>
      </c>
      <c r="AM81">
        <f t="shared" si="173"/>
        <v>252807.58274208088</v>
      </c>
      <c r="AN81">
        <f t="shared" si="174"/>
        <v>317530.78171674151</v>
      </c>
      <c r="AO81">
        <f t="shared" si="175"/>
        <v>386139.37945692294</v>
      </c>
      <c r="AP81">
        <f t="shared" si="176"/>
        <v>458866.62036040326</v>
      </c>
      <c r="AQ81">
        <f t="shared" si="177"/>
        <v>535959.75072087348</v>
      </c>
      <c r="AR81">
        <f t="shared" si="178"/>
        <v>617680.85927583883</v>
      </c>
      <c r="AS81">
        <f t="shared" si="179"/>
        <v>704307.76821345789</v>
      </c>
      <c r="AT81">
        <f t="shared" si="180"/>
        <v>796134.97766741691</v>
      </c>
      <c r="AU81">
        <f t="shared" si="181"/>
        <v>893474.6669107835</v>
      </c>
      <c r="AV81">
        <f t="shared" si="182"/>
        <v>996657.75565253454</v>
      </c>
      <c r="AW81">
        <f t="shared" si="183"/>
        <v>1106035.0290447816</v>
      </c>
      <c r="AX81">
        <f t="shared" si="184"/>
        <v>1221978.3302253126</v>
      </c>
      <c r="AY81">
        <f t="shared" si="185"/>
        <v>1344881.8244496644</v>
      </c>
      <c r="AZ81">
        <f t="shared" si="186"/>
        <v>1475163.3391103123</v>
      </c>
      <c r="BA81">
        <f t="shared" si="187"/>
        <v>1613265.7841985619</v>
      </c>
      <c r="BB81">
        <f t="shared" si="188"/>
        <v>1759658.6580381989</v>
      </c>
      <c r="BC81">
        <f t="shared" si="189"/>
        <v>1914839.6434098426</v>
      </c>
      <c r="BD81">
        <f t="shared" si="190"/>
        <v>2079336.2994922518</v>
      </c>
      <c r="BE81">
        <f t="shared" si="191"/>
        <v>2253707.85537257</v>
      </c>
      <c r="BF81">
        <f t="shared" si="192"/>
        <v>2438547.1112227952</v>
      </c>
      <c r="BG81">
        <f t="shared" si="193"/>
        <v>2634482.4536057855</v>
      </c>
      <c r="BH81">
        <f t="shared" si="194"/>
        <v>2842179.9917621166</v>
      </c>
      <c r="BI81">
        <f t="shared" si="195"/>
        <v>3062345.8221403798</v>
      </c>
      <c r="BJ81">
        <f t="shared" si="196"/>
        <v>3295728.4288695222</v>
      </c>
    </row>
    <row r="82" spans="1:62" x14ac:dyDescent="0.3">
      <c r="D82">
        <f t="shared" si="150"/>
        <v>32494.967094420124</v>
      </c>
      <c r="E82">
        <f t="shared" si="155"/>
        <v>82927.221863183237</v>
      </c>
      <c r="F82">
        <f t="shared" si="155"/>
        <v>135462.31229769267</v>
      </c>
      <c r="G82">
        <f t="shared" si="155"/>
        <v>190187.91874968784</v>
      </c>
      <c r="H82">
        <f t="shared" si="155"/>
        <v>247195.377512362</v>
      </c>
      <c r="I82">
        <f t="shared" ref="I82:K86" si="197">(I81+4000)*1.00487-(0.00125*(I81+4000))</f>
        <v>307239.62055464229</v>
      </c>
      <c r="J82">
        <f t="shared" si="197"/>
        <v>369999.63899118319</v>
      </c>
      <c r="K82">
        <f t="shared" si="197"/>
        <v>435540.89351709315</v>
      </c>
      <c r="L82">
        <f t="shared" ref="L82:R86" si="198">(L81+4000)*1.00487-(0.00104*(L81+4000))</f>
        <v>504092.0912010154</v>
      </c>
      <c r="M82">
        <f t="shared" si="198"/>
        <v>576966.38678372768</v>
      </c>
      <c r="N82">
        <f t="shared" si="198"/>
        <v>653261.446588411</v>
      </c>
      <c r="O82">
        <f t="shared" si="198"/>
        <v>733137.84338998829</v>
      </c>
      <c r="P82">
        <f t="shared" si="198"/>
        <v>816763.68734812364</v>
      </c>
      <c r="Q82">
        <f t="shared" si="198"/>
        <v>904314.97981669288</v>
      </c>
      <c r="R82">
        <f t="shared" si="198"/>
        <v>995975.98376129055</v>
      </c>
      <c r="S82">
        <f>(S81+4000)*1.00487-(0.000833*(S81+4000))</f>
        <v>1092164.7806662947</v>
      </c>
      <c r="T82">
        <f t="shared" si="158"/>
        <v>1195542.7031466435</v>
      </c>
      <c r="U82">
        <f t="shared" si="159"/>
        <v>1299761.8594398932</v>
      </c>
      <c r="V82">
        <f t="shared" si="160"/>
        <v>1406505.9100525936</v>
      </c>
      <c r="W82">
        <f t="shared" si="161"/>
        <v>1517980.367272642</v>
      </c>
      <c r="X82">
        <f t="shared" si="162"/>
        <v>1634394.8610189185</v>
      </c>
      <c r="Y82">
        <f t="shared" si="163"/>
        <v>1755968.3110465759</v>
      </c>
      <c r="Z82">
        <f t="shared" si="164"/>
        <v>1882929.3386299657</v>
      </c>
      <c r="AA82">
        <f t="shared" si="165"/>
        <v>2015516.6964894584</v>
      </c>
      <c r="AB82">
        <f t="shared" si="166"/>
        <v>2153979.7177706542</v>
      </c>
      <c r="AC82">
        <f t="shared" si="167"/>
        <v>2298578.7849202822</v>
      </c>
      <c r="AD82">
        <f t="shared" si="168"/>
        <v>2449585.8193405448</v>
      </c>
      <c r="AE82">
        <f t="shared" si="169"/>
        <v>2607284.7927426742</v>
      </c>
      <c r="AI82">
        <f t="shared" si="153"/>
        <v>32709.30737547468</v>
      </c>
      <c r="AJ82">
        <f t="shared" si="170"/>
        <v>84219.785394586172</v>
      </c>
      <c r="AK82">
        <f t="shared" si="171"/>
        <v>138822.48924427188</v>
      </c>
      <c r="AL82">
        <f t="shared" si="172"/>
        <v>196703.04835285369</v>
      </c>
      <c r="AM82">
        <f t="shared" si="173"/>
        <v>258058.2356700348</v>
      </c>
      <c r="AN82">
        <f t="shared" si="174"/>
        <v>323096.63662370201</v>
      </c>
      <c r="AO82">
        <f t="shared" si="175"/>
        <v>392039.35823487811</v>
      </c>
      <c r="AP82">
        <f t="shared" si="176"/>
        <v>465120.7808015584</v>
      </c>
      <c r="AQ82">
        <f t="shared" si="177"/>
        <v>542589.35470688413</v>
      </c>
      <c r="AR82">
        <f t="shared" si="178"/>
        <v>624708.44506051217</v>
      </c>
      <c r="AS82">
        <f t="shared" si="179"/>
        <v>711757.22704465734</v>
      </c>
      <c r="AT82">
        <f t="shared" si="180"/>
        <v>804031.63500865712</v>
      </c>
      <c r="AU82">
        <f t="shared" si="181"/>
        <v>901845.36853863893</v>
      </c>
      <c r="AV82">
        <f t="shared" si="182"/>
        <v>1005530.9589225623</v>
      </c>
      <c r="AW82">
        <f t="shared" si="183"/>
        <v>1115440.8996362295</v>
      </c>
      <c r="AX82">
        <f t="shared" si="184"/>
        <v>1231948.8446935099</v>
      </c>
      <c r="AY82">
        <f t="shared" si="185"/>
        <v>1355450.8789347343</v>
      </c>
      <c r="AZ82">
        <f t="shared" si="186"/>
        <v>1486366.8645717795</v>
      </c>
      <c r="BA82">
        <f t="shared" si="187"/>
        <v>1625141.8685676088</v>
      </c>
      <c r="BB82">
        <f t="shared" si="188"/>
        <v>1772247.6757028447</v>
      </c>
      <c r="BC82">
        <f t="shared" si="189"/>
        <v>1928184.3924732485</v>
      </c>
      <c r="BD82">
        <f t="shared" si="190"/>
        <v>2093482.1472707789</v>
      </c>
      <c r="BE82">
        <f t="shared" si="191"/>
        <v>2268702.8926282343</v>
      </c>
      <c r="BF82">
        <f t="shared" si="192"/>
        <v>2454442.3156544501</v>
      </c>
      <c r="BG82">
        <f t="shared" si="193"/>
        <v>2651331.8631548453</v>
      </c>
      <c r="BH82">
        <f t="shared" si="194"/>
        <v>2860040.8883219981</v>
      </c>
      <c r="BI82">
        <f t="shared" si="195"/>
        <v>3081278.9262942034</v>
      </c>
      <c r="BJ82">
        <f t="shared" si="196"/>
        <v>3315798.1063181167</v>
      </c>
    </row>
    <row r="83" spans="1:62" x14ac:dyDescent="0.3">
      <c r="D83">
        <f t="shared" si="150"/>
        <v>36619.414932212094</v>
      </c>
      <c r="E83">
        <f t="shared" si="155"/>
        <v>87223.64368973668</v>
      </c>
      <c r="F83">
        <f t="shared" si="155"/>
        <v>139937.87878262778</v>
      </c>
      <c r="G83">
        <f t="shared" si="155"/>
        <v>194850.09955262428</v>
      </c>
      <c r="H83">
        <f t="shared" si="155"/>
        <v>252051.95374967912</v>
      </c>
      <c r="I83">
        <f t="shared" si="197"/>
        <v>312366.30798105011</v>
      </c>
      <c r="J83">
        <f t="shared" si="197"/>
        <v>375353.51768433122</v>
      </c>
      <c r="K83">
        <f t="shared" si="197"/>
        <v>441132.031551625</v>
      </c>
      <c r="L83">
        <f t="shared" si="198"/>
        <v>510038.08391031524</v>
      </c>
      <c r="M83">
        <f t="shared" si="198"/>
        <v>583191.48804510932</v>
      </c>
      <c r="N83">
        <f t="shared" si="198"/>
        <v>659778.75792884454</v>
      </c>
      <c r="O83">
        <f t="shared" si="198"/>
        <v>739961.0813301719</v>
      </c>
      <c r="P83">
        <f t="shared" si="198"/>
        <v>823907.21227066696</v>
      </c>
      <c r="Q83">
        <f t="shared" si="198"/>
        <v>911793.82618939073</v>
      </c>
      <c r="R83">
        <f t="shared" si="198"/>
        <v>1003805.8917790962</v>
      </c>
      <c r="S83">
        <f>(S82+4000)*1.00487-(0.000833*(S82+4000))</f>
        <v>1100589.9978858444</v>
      </c>
      <c r="T83">
        <f t="shared" si="158"/>
        <v>1204385.2570392464</v>
      </c>
      <c r="U83">
        <f t="shared" si="159"/>
        <v>1308481.4773710654</v>
      </c>
      <c r="V83">
        <f t="shared" si="160"/>
        <v>1415611.941446984</v>
      </c>
      <c r="W83">
        <f t="shared" si="161"/>
        <v>1527489.9362021687</v>
      </c>
      <c r="X83">
        <f t="shared" si="162"/>
        <v>1644325.850415807</v>
      </c>
      <c r="Y83">
        <f t="shared" si="163"/>
        <v>1766339.3963325643</v>
      </c>
      <c r="Z83">
        <f t="shared" si="164"/>
        <v>1893760.022835806</v>
      </c>
      <c r="AA83">
        <f t="shared" si="165"/>
        <v>2026827.3469307502</v>
      </c>
      <c r="AB83">
        <f t="shared" si="166"/>
        <v>2165791.6043489841</v>
      </c>
      <c r="AC83">
        <f t="shared" si="167"/>
        <v>2310914.1201216932</v>
      </c>
      <c r="AD83">
        <f t="shared" si="168"/>
        <v>2462467.8000065573</v>
      </c>
      <c r="AE83">
        <f t="shared" si="169"/>
        <v>2620737.6436924026</v>
      </c>
      <c r="AI83">
        <f t="shared" si="153"/>
        <v>36888.08170239324</v>
      </c>
      <c r="AJ83">
        <f t="shared" si="170"/>
        <v>88649.415749457796</v>
      </c>
      <c r="AK83">
        <f t="shared" si="171"/>
        <v>143518.03476689148</v>
      </c>
      <c r="AL83">
        <f t="shared" si="172"/>
        <v>201680.47219833208</v>
      </c>
      <c r="AM83">
        <f t="shared" si="173"/>
        <v>263334.45927774784</v>
      </c>
      <c r="AN83">
        <f t="shared" si="174"/>
        <v>328689.59724405943</v>
      </c>
      <c r="AO83">
        <f t="shared" si="175"/>
        <v>397968.06990948191</v>
      </c>
      <c r="AP83">
        <f t="shared" si="176"/>
        <v>471405.39900406194</v>
      </c>
      <c r="AQ83">
        <f t="shared" si="177"/>
        <v>549251.24486430665</v>
      </c>
      <c r="AR83">
        <f t="shared" si="178"/>
        <v>631770.25518795685</v>
      </c>
      <c r="AS83">
        <f t="shared" si="179"/>
        <v>719242.96474036481</v>
      </c>
      <c r="AT83">
        <f t="shared" si="180"/>
        <v>811966.74907114927</v>
      </c>
      <c r="AU83">
        <f t="shared" si="181"/>
        <v>910256.83548342204</v>
      </c>
      <c r="AV83">
        <f t="shared" si="182"/>
        <v>1014447.3746925151</v>
      </c>
      <c r="AW83">
        <f t="shared" si="183"/>
        <v>1124892.5768174578</v>
      </c>
      <c r="AX83">
        <f t="shared" si="184"/>
        <v>1241967.9155671671</v>
      </c>
      <c r="AY83">
        <f t="shared" si="185"/>
        <v>1366071.4047151464</v>
      </c>
      <c r="AZ83">
        <f t="shared" si="186"/>
        <v>1497624.951202244</v>
      </c>
      <c r="BA83">
        <f t="shared" si="187"/>
        <v>1637075.7894675329</v>
      </c>
      <c r="BB83">
        <f t="shared" si="188"/>
        <v>1784898.0018835175</v>
      </c>
      <c r="BC83">
        <f t="shared" si="189"/>
        <v>1941594.1304645932</v>
      </c>
      <c r="BD83">
        <f t="shared" si="190"/>
        <v>2107696.8853279878</v>
      </c>
      <c r="BE83">
        <f t="shared" si="191"/>
        <v>2283770.9557153336</v>
      </c>
      <c r="BF83">
        <f t="shared" si="192"/>
        <v>2470414.9297316871</v>
      </c>
      <c r="BG83">
        <f t="shared" si="193"/>
        <v>2668263.3293284094</v>
      </c>
      <c r="BH83">
        <f t="shared" si="194"/>
        <v>2877988.7674481259</v>
      </c>
      <c r="BI83">
        <f t="shared" si="195"/>
        <v>3100304.234665256</v>
      </c>
      <c r="BJ83">
        <f t="shared" si="196"/>
        <v>3335965.5230958858</v>
      </c>
    </row>
    <row r="84" spans="1:62" x14ac:dyDescent="0.3">
      <c r="D84">
        <f t="shared" si="150"/>
        <v>40757.927137130937</v>
      </c>
      <c r="E84">
        <f t="shared" ref="E84:G86" si="199">(E83+4000)*1.00487-(0.00146*(E83+4000))</f>
        <v>91534.716314718666</v>
      </c>
      <c r="F84">
        <f t="shared" si="199"/>
        <v>144428.70694927656</v>
      </c>
      <c r="G84">
        <f t="shared" si="199"/>
        <v>199528.17839209872</v>
      </c>
      <c r="H84">
        <f>(H83+4000)*1.00487-(0.00125*(H83+4000))</f>
        <v>256978.86182225292</v>
      </c>
      <c r="I84">
        <f t="shared" si="197"/>
        <v>317511.55401594151</v>
      </c>
      <c r="J84">
        <f t="shared" si="197"/>
        <v>380726.77741834847</v>
      </c>
      <c r="K84">
        <f t="shared" si="197"/>
        <v>446743.40950584185</v>
      </c>
      <c r="L84">
        <f t="shared" si="198"/>
        <v>516006.84977169172</v>
      </c>
      <c r="M84">
        <f t="shared" si="198"/>
        <v>589440.43144432211</v>
      </c>
      <c r="N84">
        <f t="shared" si="198"/>
        <v>666321.03057171206</v>
      </c>
      <c r="O84">
        <f t="shared" si="198"/>
        <v>746810.45227166638</v>
      </c>
      <c r="P84">
        <f t="shared" si="198"/>
        <v>831078.09689366352</v>
      </c>
      <c r="Q84">
        <f t="shared" si="198"/>
        <v>919301.3165436961</v>
      </c>
      <c r="R84">
        <f t="shared" si="198"/>
        <v>1011665.7883446101</v>
      </c>
      <c r="S84">
        <f>(S83+4000)*1.00487-(0.000833*(S83+4000))</f>
        <v>1109049.2277073096</v>
      </c>
      <c r="T84">
        <f t="shared" si="158"/>
        <v>1213263.5083219137</v>
      </c>
      <c r="U84">
        <f t="shared" si="159"/>
        <v>1317232.6603191486</v>
      </c>
      <c r="V84">
        <f t="shared" si="160"/>
        <v>1424750.9366750221</v>
      </c>
      <c r="W84">
        <f t="shared" si="161"/>
        <v>1537033.9297712203</v>
      </c>
      <c r="X84">
        <f t="shared" si="162"/>
        <v>1654292.7899943122</v>
      </c>
      <c r="Y84">
        <f t="shared" si="163"/>
        <v>1776748.024947288</v>
      </c>
      <c r="Z84">
        <f t="shared" si="164"/>
        <v>1904629.9141184716</v>
      </c>
      <c r="AA84">
        <f t="shared" si="165"/>
        <v>2038178.9419266393</v>
      </c>
      <c r="AB84">
        <f t="shared" si="166"/>
        <v>2177646.249956727</v>
      </c>
      <c r="AC84">
        <f t="shared" si="167"/>
        <v>2323294.1092365338</v>
      </c>
      <c r="AD84">
        <f t="shared" si="168"/>
        <v>2475396.4134425805</v>
      </c>
      <c r="AE84">
        <f t="shared" si="169"/>
        <v>2634239.1939625689</v>
      </c>
      <c r="AI84">
        <f t="shared" si="153"/>
        <v>41087.20666028389</v>
      </c>
      <c r="AJ84">
        <f t="shared" si="170"/>
        <v>93100.618404157649</v>
      </c>
      <c r="AK84">
        <f t="shared" si="171"/>
        <v>148236.44759620621</v>
      </c>
      <c r="AL84">
        <f t="shared" si="172"/>
        <v>206682.13609793794</v>
      </c>
      <c r="AM84">
        <f t="shared" si="173"/>
        <v>268636.37809443043</v>
      </c>
      <c r="AN84">
        <f t="shared" si="174"/>
        <v>334309.79558263801</v>
      </c>
      <c r="AO84">
        <f t="shared" si="175"/>
        <v>403925.65440994105</v>
      </c>
      <c r="AP84">
        <f t="shared" si="176"/>
        <v>477720.62329721171</v>
      </c>
      <c r="AQ84">
        <f t="shared" si="177"/>
        <v>555945.57842679578</v>
      </c>
      <c r="AR84">
        <f t="shared" si="178"/>
        <v>638866.4563307222</v>
      </c>
      <c r="AS84">
        <f t="shared" si="179"/>
        <v>726765.1579786503</v>
      </c>
      <c r="AT84">
        <f t="shared" si="180"/>
        <v>819940.50713912572</v>
      </c>
      <c r="AU84">
        <f t="shared" si="181"/>
        <v>918709.26627222623</v>
      </c>
      <c r="AV84">
        <f t="shared" si="182"/>
        <v>1023407.2134072676</v>
      </c>
      <c r="AW84">
        <f t="shared" si="183"/>
        <v>1134390.2836665588</v>
      </c>
      <c r="AX84">
        <f t="shared" si="184"/>
        <v>1252035.7793159792</v>
      </c>
      <c r="AY84">
        <f t="shared" si="185"/>
        <v>1376743.6524561092</v>
      </c>
      <c r="AZ84">
        <f t="shared" si="186"/>
        <v>1508937.8647145987</v>
      </c>
      <c r="BA84">
        <f t="shared" si="187"/>
        <v>1649067.8285622397</v>
      </c>
      <c r="BB84">
        <f t="shared" si="188"/>
        <v>1797609.9351526902</v>
      </c>
      <c r="BC84">
        <f t="shared" si="189"/>
        <v>1955069.1738799557</v>
      </c>
      <c r="BD84">
        <f t="shared" si="190"/>
        <v>2121980.849159535</v>
      </c>
      <c r="BE84">
        <f t="shared" si="191"/>
        <v>2298912.4002696672</v>
      </c>
      <c r="BF84">
        <f t="shared" si="192"/>
        <v>2486465.33043948</v>
      </c>
      <c r="BG84">
        <f t="shared" si="193"/>
        <v>2685277.2517422386</v>
      </c>
      <c r="BH84">
        <f t="shared" si="194"/>
        <v>2896024.0527455979</v>
      </c>
      <c r="BI84">
        <f t="shared" si="195"/>
        <v>3119422.1962880758</v>
      </c>
      <c r="BJ84">
        <f t="shared" si="196"/>
        <v>3356231.1551933624</v>
      </c>
    </row>
    <row r="85" spans="1:62" x14ac:dyDescent="0.3">
      <c r="D85">
        <f t="shared" si="150"/>
        <v>44910.551668668551</v>
      </c>
      <c r="E85">
        <f t="shared" si="199"/>
        <v>95860.489697351848</v>
      </c>
      <c r="F85">
        <f t="shared" si="199"/>
        <v>148934.84883997359</v>
      </c>
      <c r="G85">
        <f t="shared" si="199"/>
        <v>204222.20948041577</v>
      </c>
      <c r="H85">
        <f>(H84+4000)*1.00487-(0.00125*(H84+4000))</f>
        <v>261923.60530204946</v>
      </c>
      <c r="I85">
        <f t="shared" si="197"/>
        <v>322675.42584147921</v>
      </c>
      <c r="J85">
        <f t="shared" si="197"/>
        <v>386119.48835260287</v>
      </c>
      <c r="K85">
        <f t="shared" si="197"/>
        <v>452375.10064825293</v>
      </c>
      <c r="L85">
        <f t="shared" si="198"/>
        <v>521998.47600631724</v>
      </c>
      <c r="M85">
        <f t="shared" si="198"/>
        <v>595713.30829675379</v>
      </c>
      <c r="N85">
        <f t="shared" si="198"/>
        <v>672888.36011880171</v>
      </c>
      <c r="O85">
        <f t="shared" si="198"/>
        <v>753686.05630386679</v>
      </c>
      <c r="P85">
        <f t="shared" si="198"/>
        <v>838276.44600476616</v>
      </c>
      <c r="Q85">
        <f t="shared" si="198"/>
        <v>926837.5605860583</v>
      </c>
      <c r="R85">
        <f t="shared" si="198"/>
        <v>1019555.7883139699</v>
      </c>
      <c r="S85">
        <f>(S84+4000)*1.00487-(0.000833*(S84+4000))</f>
        <v>1117542.6074395638</v>
      </c>
      <c r="T85">
        <f t="shared" si="158"/>
        <v>1222177.601105009</v>
      </c>
      <c r="U85">
        <f t="shared" si="159"/>
        <v>1326015.5225495039</v>
      </c>
      <c r="V85">
        <f t="shared" si="160"/>
        <v>1433923.0150657855</v>
      </c>
      <c r="W85">
        <f t="shared" si="161"/>
        <v>1546612.472596992</v>
      </c>
      <c r="X85">
        <f t="shared" si="162"/>
        <v>1664295.8098940914</v>
      </c>
      <c r="Y85">
        <f t="shared" si="163"/>
        <v>1787194.3327975972</v>
      </c>
      <c r="Z85">
        <f t="shared" si="164"/>
        <v>1915539.1544075802</v>
      </c>
      <c r="AA85">
        <f t="shared" si="165"/>
        <v>2049571.6296964136</v>
      </c>
      <c r="AB85">
        <f t="shared" si="166"/>
        <v>2189543.8093815702</v>
      </c>
      <c r="AC85">
        <f t="shared" si="167"/>
        <v>2335718.9139119699</v>
      </c>
      <c r="AD85">
        <f t="shared" si="168"/>
        <v>2488371.8284592424</v>
      </c>
      <c r="AE85">
        <f t="shared" si="169"/>
        <v>2647789.6198447132</v>
      </c>
      <c r="AI85">
        <f t="shared" si="153"/>
        <v>45306.781356719468</v>
      </c>
      <c r="AJ85">
        <f t="shared" si="170"/>
        <v>97573.498415785885</v>
      </c>
      <c r="AK85">
        <f t="shared" si="171"/>
        <v>152977.83909599972</v>
      </c>
      <c r="AL85">
        <f t="shared" si="172"/>
        <v>211708.15810073487</v>
      </c>
      <c r="AM85">
        <f t="shared" si="173"/>
        <v>273964.11725575029</v>
      </c>
      <c r="AN85">
        <f t="shared" si="174"/>
        <v>339957.36428712541</v>
      </c>
      <c r="AO85">
        <f t="shared" si="175"/>
        <v>409912.25234691746</v>
      </c>
      <c r="AP85">
        <f t="shared" si="176"/>
        <v>484066.6027326691</v>
      </c>
      <c r="AQ85">
        <f t="shared" si="177"/>
        <v>562672.51339373423</v>
      </c>
      <c r="AR85">
        <f t="shared" si="178"/>
        <v>645997.21597305278</v>
      </c>
      <c r="AS85">
        <f t="shared" si="179"/>
        <v>734323.98429800628</v>
      </c>
      <c r="AT85">
        <f t="shared" si="180"/>
        <v>827953.09740889317</v>
      </c>
      <c r="AU85">
        <f t="shared" si="181"/>
        <v>927202.86039897194</v>
      </c>
      <c r="AV85">
        <f t="shared" si="182"/>
        <v>1032410.6865365609</v>
      </c>
      <c r="AW85">
        <f t="shared" si="183"/>
        <v>1143934.2443480149</v>
      </c>
      <c r="AX85">
        <f t="shared" si="184"/>
        <v>1262152.673561248</v>
      </c>
      <c r="AY85">
        <f t="shared" si="185"/>
        <v>1387467.8740435704</v>
      </c>
      <c r="AZ85">
        <f t="shared" si="186"/>
        <v>1520305.8721157587</v>
      </c>
      <c r="BA85">
        <f t="shared" si="187"/>
        <v>1661118.2688873375</v>
      </c>
      <c r="BB85">
        <f t="shared" si="188"/>
        <v>1810383.7755368836</v>
      </c>
      <c r="BC85">
        <f t="shared" si="189"/>
        <v>1968609.8407567509</v>
      </c>
      <c r="BD85">
        <f t="shared" si="190"/>
        <v>2136334.3758949419</v>
      </c>
      <c r="BE85">
        <f t="shared" si="191"/>
        <v>2314127.5836589802</v>
      </c>
      <c r="BF85">
        <f t="shared" si="192"/>
        <v>2502593.89659872</v>
      </c>
      <c r="BG85">
        <f t="shared" si="193"/>
        <v>2702374.0319582233</v>
      </c>
      <c r="BH85">
        <f t="shared" si="194"/>
        <v>2914147.1698824689</v>
      </c>
      <c r="BI85">
        <f t="shared" si="195"/>
        <v>3138633.2623839984</v>
      </c>
      <c r="BJ85">
        <f t="shared" si="196"/>
        <v>3376595.4809191539</v>
      </c>
    </row>
    <row r="86" spans="1:62" x14ac:dyDescent="0.3">
      <c r="D86">
        <f t="shared" si="150"/>
        <v>49077.336649858706</v>
      </c>
      <c r="E86">
        <f t="shared" si="199"/>
        <v>100201.01396721981</v>
      </c>
      <c r="F86">
        <f t="shared" si="199"/>
        <v>153456.35667451788</v>
      </c>
      <c r="G86">
        <f t="shared" si="199"/>
        <v>208932.24721474395</v>
      </c>
      <c r="H86">
        <f>(H85+4000)*1.00487-(0.00125*(H85+4000))</f>
        <v>266886.24875324278</v>
      </c>
      <c r="I86">
        <f t="shared" si="197"/>
        <v>327857.99088302534</v>
      </c>
      <c r="J86">
        <f t="shared" si="197"/>
        <v>391531.72090043931</v>
      </c>
      <c r="K86">
        <f t="shared" si="197"/>
        <v>458027.17851259955</v>
      </c>
      <c r="L86">
        <f t="shared" si="198"/>
        <v>528013.05016942136</v>
      </c>
      <c r="M86">
        <f t="shared" si="198"/>
        <v>602010.21026753029</v>
      </c>
      <c r="N86">
        <f t="shared" si="198"/>
        <v>679480.84253805666</v>
      </c>
      <c r="O86">
        <f t="shared" si="198"/>
        <v>760587.99389951059</v>
      </c>
      <c r="P86">
        <f t="shared" si="198"/>
        <v>845502.3647929643</v>
      </c>
      <c r="Q86">
        <f t="shared" si="198"/>
        <v>934402.66844310274</v>
      </c>
      <c r="R86">
        <f t="shared" si="198"/>
        <v>1027476.0069832123</v>
      </c>
      <c r="S86">
        <f>(S85+4000)*1.00487-(0.000833*(S85+4000))</f>
        <v>1126070.2749457972</v>
      </c>
      <c r="T86">
        <f t="shared" si="158"/>
        <v>1231127.6800806697</v>
      </c>
      <c r="U86">
        <f t="shared" si="159"/>
        <v>1334830.1787411331</v>
      </c>
      <c r="V86">
        <f t="shared" si="160"/>
        <v>1443128.2963803234</v>
      </c>
      <c r="W86" s="3">
        <f t="shared" si="161"/>
        <v>1556225.6897477931</v>
      </c>
      <c r="X86">
        <f t="shared" si="162"/>
        <v>1674335.040725908</v>
      </c>
      <c r="Y86">
        <f t="shared" si="163"/>
        <v>1797678.4562823244</v>
      </c>
      <c r="Z86">
        <f t="shared" si="164"/>
        <v>1926487.8861465354</v>
      </c>
      <c r="AA86">
        <f t="shared" si="165"/>
        <v>2061005.5589959146</v>
      </c>
      <c r="AB86" s="3">
        <f t="shared" si="166"/>
        <v>2201484.4379715314</v>
      </c>
      <c r="AC86">
        <f t="shared" si="167"/>
        <v>2348188.6963803312</v>
      </c>
      <c r="AD86">
        <f t="shared" si="168"/>
        <v>2501394.2144782646</v>
      </c>
      <c r="AE86">
        <f t="shared" si="169"/>
        <v>2661389.0982685508</v>
      </c>
      <c r="AI86">
        <f t="shared" si="153"/>
        <v>49546.905381926692</v>
      </c>
      <c r="AJ86">
        <f t="shared" si="170"/>
        <v>102068.16135307075</v>
      </c>
      <c r="AK86">
        <f t="shared" si="171"/>
        <v>157742.32117239723</v>
      </c>
      <c r="AL86">
        <f t="shared" si="172"/>
        <v>216758.65683068545</v>
      </c>
      <c r="AM86">
        <f t="shared" si="173"/>
        <v>279317.80250678578</v>
      </c>
      <c r="AN86">
        <f t="shared" si="174"/>
        <v>345632.43665120366</v>
      </c>
      <c r="AO86">
        <f t="shared" si="175"/>
        <v>415928.00501584692</v>
      </c>
      <c r="AP86">
        <f t="shared" si="176"/>
        <v>490443.48708797718</v>
      </c>
      <c r="AQ86">
        <f t="shared" si="177"/>
        <v>569432.20853396168</v>
      </c>
      <c r="AR86">
        <f t="shared" si="178"/>
        <v>653162.70241484151</v>
      </c>
      <c r="AS86">
        <f t="shared" si="179"/>
        <v>741919.62210153753</v>
      </c>
      <c r="AT86">
        <f t="shared" si="180"/>
        <v>836004.70899327437</v>
      </c>
      <c r="AU86">
        <f t="shared" si="181"/>
        <v>935737.81832911482</v>
      </c>
      <c r="AV86">
        <f t="shared" si="182"/>
        <v>1041458.0065799939</v>
      </c>
      <c r="AW86">
        <f t="shared" si="183"/>
        <v>1153524.6841179896</v>
      </c>
      <c r="AX86">
        <f t="shared" si="184"/>
        <v>1272318.8370814912</v>
      </c>
      <c r="AY86">
        <f t="shared" si="185"/>
        <v>1398244.3225901625</v>
      </c>
      <c r="AZ86">
        <f t="shared" si="186"/>
        <v>1531729.2417129623</v>
      </c>
      <c r="BA86">
        <f t="shared" si="187"/>
        <v>1673227.3948568187</v>
      </c>
      <c r="BB86" s="3">
        <f t="shared" si="188"/>
        <v>1823219.8245237481</v>
      </c>
      <c r="BC86">
        <f t="shared" si="189"/>
        <v>1982216.4506812361</v>
      </c>
      <c r="BD86">
        <f t="shared" si="190"/>
        <v>2150757.8043055502</v>
      </c>
      <c r="BE86">
        <f t="shared" si="191"/>
        <v>2329416.8649913995</v>
      </c>
      <c r="BF86">
        <f t="shared" si="192"/>
        <v>2518801.0088751554</v>
      </c>
      <c r="BG86" s="3">
        <f t="shared" si="193"/>
        <v>2719554.0734938597</v>
      </c>
      <c r="BH86">
        <f t="shared" si="194"/>
        <v>2932358.5465997965</v>
      </c>
      <c r="BI86">
        <f t="shared" si="195"/>
        <v>3157937.8863718081</v>
      </c>
      <c r="BJ86">
        <f t="shared" si="196"/>
        <v>3397058.9809112297</v>
      </c>
    </row>
    <row r="89" spans="1:62" x14ac:dyDescent="0.3">
      <c r="D89" t="s">
        <v>59</v>
      </c>
      <c r="AI89" t="s">
        <v>59</v>
      </c>
      <c r="AJ89" t="s">
        <v>66</v>
      </c>
    </row>
    <row r="90" spans="1:62" x14ac:dyDescent="0.3">
      <c r="D90" t="s">
        <v>8</v>
      </c>
      <c r="AI90" t="s">
        <v>8</v>
      </c>
    </row>
    <row r="91" spans="1:62" x14ac:dyDescent="0.3">
      <c r="D91" t="s">
        <v>54</v>
      </c>
      <c r="AI91" t="s">
        <v>54</v>
      </c>
    </row>
    <row r="92" spans="1:62" x14ac:dyDescent="0.3">
      <c r="D92" t="s">
        <v>15</v>
      </c>
      <c r="E92" t="s">
        <v>16</v>
      </c>
      <c r="F92" t="s">
        <v>17</v>
      </c>
      <c r="G92" t="s">
        <v>18</v>
      </c>
      <c r="H92" t="s">
        <v>19</v>
      </c>
      <c r="I92" t="s">
        <v>20</v>
      </c>
      <c r="J92" t="s">
        <v>21</v>
      </c>
      <c r="K92" t="s">
        <v>22</v>
      </c>
      <c r="L92" t="s">
        <v>23</v>
      </c>
      <c r="M92" t="s">
        <v>24</v>
      </c>
      <c r="N92" t="s">
        <v>25</v>
      </c>
      <c r="O92" t="s">
        <v>26</v>
      </c>
      <c r="P92" t="s">
        <v>27</v>
      </c>
      <c r="Q92" t="s">
        <v>28</v>
      </c>
      <c r="R92" t="s">
        <v>29</v>
      </c>
      <c r="S92" t="s">
        <v>30</v>
      </c>
      <c r="T92" t="s">
        <v>31</v>
      </c>
      <c r="U92" t="s">
        <v>32</v>
      </c>
      <c r="V92" t="s">
        <v>33</v>
      </c>
      <c r="W92" t="s">
        <v>34</v>
      </c>
      <c r="X92" t="s">
        <v>35</v>
      </c>
      <c r="Y92" t="s">
        <v>36</v>
      </c>
      <c r="Z92" t="s">
        <v>37</v>
      </c>
      <c r="AA92" t="s">
        <v>38</v>
      </c>
      <c r="AB92" t="s">
        <v>39</v>
      </c>
      <c r="AC92" t="s">
        <v>67</v>
      </c>
      <c r="AD92" t="s">
        <v>68</v>
      </c>
      <c r="AE92" t="s">
        <v>69</v>
      </c>
      <c r="AI92" t="s">
        <v>15</v>
      </c>
      <c r="AJ92" t="s">
        <v>16</v>
      </c>
      <c r="AK92" t="s">
        <v>17</v>
      </c>
      <c r="AL92" t="s">
        <v>18</v>
      </c>
      <c r="AM92" t="s">
        <v>19</v>
      </c>
      <c r="AN92" t="s">
        <v>20</v>
      </c>
      <c r="AO92" t="s">
        <v>21</v>
      </c>
      <c r="AP92" t="s">
        <v>22</v>
      </c>
      <c r="AQ92" t="s">
        <v>23</v>
      </c>
      <c r="AR92" t="s">
        <v>24</v>
      </c>
      <c r="AS92" t="s">
        <v>25</v>
      </c>
      <c r="AT92" t="s">
        <v>26</v>
      </c>
      <c r="AU92" t="s">
        <v>27</v>
      </c>
      <c r="AV92" t="s">
        <v>28</v>
      </c>
      <c r="AW92" t="s">
        <v>29</v>
      </c>
      <c r="AX92" t="s">
        <v>30</v>
      </c>
      <c r="AY92" t="s">
        <v>31</v>
      </c>
      <c r="AZ92" t="s">
        <v>32</v>
      </c>
      <c r="BA92" t="s">
        <v>33</v>
      </c>
      <c r="BB92" t="s">
        <v>34</v>
      </c>
      <c r="BC92" t="s">
        <v>35</v>
      </c>
      <c r="BD92" t="s">
        <v>36</v>
      </c>
      <c r="BE92" t="s">
        <v>37</v>
      </c>
      <c r="BF92" t="s">
        <v>38</v>
      </c>
      <c r="BG92" t="s">
        <v>39</v>
      </c>
      <c r="BH92" t="s">
        <v>67</v>
      </c>
      <c r="BI92" t="s">
        <v>68</v>
      </c>
      <c r="BJ92" t="s">
        <v>69</v>
      </c>
    </row>
    <row r="93" spans="1:62" x14ac:dyDescent="0.3">
      <c r="D93">
        <v>0</v>
      </c>
      <c r="AI93">
        <v>0</v>
      </c>
    </row>
    <row r="94" spans="1:62" x14ac:dyDescent="0.3">
      <c r="D94">
        <f t="shared" ref="D94:D105" si="200">(D93+4000)*1.00566-(0.00146*(D93+4000))</f>
        <v>4016.7999999999997</v>
      </c>
      <c r="E94">
        <f>(D105+4000)*1.00566-(0.00146*(D105+4000))</f>
        <v>53554.782995972411</v>
      </c>
      <c r="F94">
        <f>(E105+4000)*1.00566-(0.00146*(E105+4000))</f>
        <v>105647.9695554949</v>
      </c>
      <c r="G94">
        <f>(F105+4000)*1.00566-(0.00146*(F105+4000))</f>
        <v>160428.15885278306</v>
      </c>
      <c r="H94">
        <f>(G105+4000)*1.00566-(0.00146*(G105+4000))</f>
        <v>218033.94835498385</v>
      </c>
      <c r="I94">
        <f>(H105+4000)*1.00566-(0.00125*(H105+4000))</f>
        <v>278948.16850969411</v>
      </c>
      <c r="J94">
        <f>(I105+4000)*1.00566-(0.00125*(I105+4000))</f>
        <v>343471.88818965392</v>
      </c>
      <c r="K94">
        <f>(J105+4000)*1.00566-(0.00125*(J105+4000))</f>
        <v>411494.2537575821</v>
      </c>
      <c r="L94">
        <f>(K105+4000)*1.00566-(0.00125*(K105+4000))</f>
        <v>483204.97100090259</v>
      </c>
      <c r="M94">
        <f>(L105+4000)*1.00566-(0.00104*(L105+4000))</f>
        <v>559935.16926026577</v>
      </c>
      <c r="N94">
        <f>(M105+4000)*1.00566-(0.00104*(M105+4000))</f>
        <v>641245.18981637061</v>
      </c>
      <c r="O94">
        <f>(N105+4000)*1.00566-(0.00104*(N105+4000))</f>
        <v>727179.3642587217</v>
      </c>
      <c r="P94">
        <f>(O105+4000)*1.00566-(0.00104*(O105+4000))</f>
        <v>818000.67123395309</v>
      </c>
      <c r="Q94">
        <f>(P105+4000)*1.00566-(0.00104*(P105+4000))</f>
        <v>913987.04515580658</v>
      </c>
      <c r="R94">
        <f>(Q105+4000)*1.00566-(0.000833*(Q105+4000))</f>
        <v>1015849.8973663859</v>
      </c>
      <c r="S94">
        <f>(R105+4000)*1.00566-(0.000833*(R105+4000))</f>
        <v>1125812.5700367338</v>
      </c>
      <c r="T94">
        <f>(S105+4000)*1.00566-(0.000833*(S105+4000))</f>
        <v>1242316.5712415786</v>
      </c>
      <c r="U94">
        <f t="shared" ref="U94:AE94" si="201">(T105+4000)*1.00566-(0.00125*(T105+4000))</f>
        <v>1365184.2414250888</v>
      </c>
      <c r="V94">
        <f t="shared" si="201"/>
        <v>1488606.539623434</v>
      </c>
      <c r="W94">
        <f t="shared" si="201"/>
        <v>1618721.1196402647</v>
      </c>
      <c r="X94">
        <f t="shared" si="201"/>
        <v>1755890.8546078415</v>
      </c>
      <c r="Y94">
        <f t="shared" si="201"/>
        <v>1900498.2935946281</v>
      </c>
      <c r="Z94">
        <f t="shared" si="201"/>
        <v>2052946.7284863354</v>
      </c>
      <c r="AA94">
        <f t="shared" si="201"/>
        <v>2213661.3187160576</v>
      </c>
      <c r="AB94">
        <f t="shared" si="201"/>
        <v>2383090.2769802436</v>
      </c>
      <c r="AC94">
        <f t="shared" si="201"/>
        <v>2561706.1192473038</v>
      </c>
      <c r="AD94">
        <f t="shared" si="201"/>
        <v>2750006.9825449763</v>
      </c>
      <c r="AE94">
        <f t="shared" si="201"/>
        <v>2948518.0142015852</v>
      </c>
      <c r="AI94">
        <f t="shared" ref="AI94:AI105" si="202">(AI93+4000)*1.00566-0</f>
        <v>4022.64</v>
      </c>
      <c r="AJ94">
        <f t="shared" ref="AJ94:BJ94" si="203">(AI105+4000)*1.00566-0</f>
        <v>54107.618133545773</v>
      </c>
      <c r="AK94">
        <f t="shared" si="203"/>
        <v>107702.28873723782</v>
      </c>
      <c r="AL94">
        <f t="shared" si="203"/>
        <v>165052.59264391739</v>
      </c>
      <c r="AM94">
        <f t="shared" si="203"/>
        <v>226421.70492953202</v>
      </c>
      <c r="AN94">
        <f t="shared" si="203"/>
        <v>292091.24259846378</v>
      </c>
      <c r="AO94">
        <f t="shared" si="203"/>
        <v>362362.55689710844</v>
      </c>
      <c r="AP94">
        <f t="shared" si="203"/>
        <v>437558.11618601019</v>
      </c>
      <c r="AQ94">
        <f t="shared" si="203"/>
        <v>518022.98571641778</v>
      </c>
      <c r="AR94">
        <f t="shared" si="203"/>
        <v>604126.41110181983</v>
      </c>
      <c r="AS94">
        <f t="shared" si="203"/>
        <v>696263.51275085472</v>
      </c>
      <c r="AT94">
        <f t="shared" si="203"/>
        <v>794857.09903718904</v>
      </c>
      <c r="AU94">
        <f t="shared" si="203"/>
        <v>900359.60652682732</v>
      </c>
      <c r="AV94">
        <f t="shared" si="203"/>
        <v>1013255.1761663706</v>
      </c>
      <c r="AW94">
        <f t="shared" si="203"/>
        <v>1134061.8749596549</v>
      </c>
      <c r="AX94">
        <f t="shared" si="203"/>
        <v>1263334.0733278315</v>
      </c>
      <c r="AY94">
        <f t="shared" si="203"/>
        <v>1401664.9890623663</v>
      </c>
      <c r="AZ94">
        <f t="shared" si="203"/>
        <v>1549689.4095449201</v>
      </c>
      <c r="BA94">
        <f t="shared" si="203"/>
        <v>1708086.6047261101</v>
      </c>
      <c r="BB94">
        <f t="shared" si="203"/>
        <v>1877583.4442305418</v>
      </c>
      <c r="BC94">
        <f t="shared" si="203"/>
        <v>2058957.7328922064</v>
      </c>
      <c r="BD94">
        <f t="shared" si="203"/>
        <v>2253041.7800266943</v>
      </c>
      <c r="BE94">
        <f t="shared" si="203"/>
        <v>2460726.2188192783</v>
      </c>
      <c r="BF94">
        <f t="shared" si="203"/>
        <v>2682964.0933556771</v>
      </c>
      <c r="BG94">
        <f t="shared" si="203"/>
        <v>2920775.2320504822</v>
      </c>
      <c r="BH94">
        <f t="shared" si="203"/>
        <v>3175250.9275425081</v>
      </c>
      <c r="BI94">
        <f t="shared" si="203"/>
        <v>3447558.9445326519</v>
      </c>
      <c r="BJ94">
        <f t="shared" si="203"/>
        <v>3738948.8785447516</v>
      </c>
    </row>
    <row r="95" spans="1:62" x14ac:dyDescent="0.3">
      <c r="D95">
        <f t="shared" si="200"/>
        <v>8050.4705599999988</v>
      </c>
      <c r="E95">
        <f t="shared" ref="E95:H100" si="204">(E94+4000)*1.00566-(0.00146*(E94+4000))</f>
        <v>57796.513084555496</v>
      </c>
      <c r="F95">
        <f t="shared" si="204"/>
        <v>110108.49102762798</v>
      </c>
      <c r="G95">
        <f t="shared" si="204"/>
        <v>165118.75711996475</v>
      </c>
      <c r="H95">
        <f t="shared" si="204"/>
        <v>222966.4909380748</v>
      </c>
      <c r="I95">
        <f t="shared" ref="I95:L96" si="205">(I94+4000)*1.00566-(0.00125*(I94+4000))</f>
        <v>284195.96993282187</v>
      </c>
      <c r="J95">
        <f t="shared" si="205"/>
        <v>349004.23921657028</v>
      </c>
      <c r="K95">
        <f t="shared" si="205"/>
        <v>417326.58341665304</v>
      </c>
      <c r="L95">
        <f t="shared" si="205"/>
        <v>489353.54492301651</v>
      </c>
      <c r="M95">
        <f t="shared" ref="M95:M104" si="206">(M94+4000)*1.00566-(0.00104*(M94+4000))</f>
        <v>566540.54974224826</v>
      </c>
      <c r="N95">
        <f t="shared" ref="N95:N104" si="207">(N94+4000)*1.00566-(0.00104*(N94+4000))</f>
        <v>648226.22259332228</v>
      </c>
      <c r="O95">
        <f t="shared" ref="O95:O104" si="208">(O94+4000)*1.00566-(0.00104*(O94+4000))</f>
        <v>734557.4129215969</v>
      </c>
      <c r="P95">
        <f t="shared" ref="P95:P104" si="209">(P94+4000)*1.00566-(0.00104*(P94+4000))</f>
        <v>825798.3143350539</v>
      </c>
      <c r="Q95">
        <f t="shared" ref="Q95:Q104" si="210">(Q94+4000)*1.00566-(0.00104*(Q94+4000))</f>
        <v>922228.14530442643</v>
      </c>
      <c r="R95">
        <f t="shared" ref="R95:R105" si="211">(R94+4000)*1.00566-(0.000833*(R94+4000))</f>
        <v>1024772.7128209735</v>
      </c>
      <c r="S95">
        <f t="shared" ref="S95:S105" si="212">(S94+4000)*1.00566-(0.000833*(S94+4000))</f>
        <v>1135266.1753123011</v>
      </c>
      <c r="T95">
        <f t="shared" ref="T95:T105" si="213">(T94+4000)*1.00566-(0.000833*(T94+4000))</f>
        <v>1252332.5413309615</v>
      </c>
      <c r="U95">
        <f t="shared" ref="U95:U105" si="214">(U94+4000)*1.00566-(0.00125*(U94+4000))</f>
        <v>1375222.3439297734</v>
      </c>
      <c r="V95">
        <f t="shared" ref="V95:V105" si="215">(V94+4000)*1.00566-(0.00125*(V94+4000))</f>
        <v>1499188.9344631734</v>
      </c>
      <c r="W95">
        <f t="shared" ref="W95:W105" si="216">(W94+4000)*1.00566-(0.00125*(W94+4000))</f>
        <v>1629877.3197778782</v>
      </c>
      <c r="X95">
        <f t="shared" ref="X95:X105" si="217">(X94+4000)*1.00566-(0.00125*(X94+4000))</f>
        <v>1767651.9732766619</v>
      </c>
      <c r="Y95">
        <f t="shared" ref="Y95:Y105" si="218">(Y94+4000)*1.00566-(0.00125*(Y94+4000))</f>
        <v>1912897.1310693803</v>
      </c>
      <c r="Z95">
        <f t="shared" ref="Z95:Z105" si="219">(Z94+4000)*1.00566-(0.00125*(Z94+4000))</f>
        <v>2066017.8635589601</v>
      </c>
      <c r="AA95">
        <f t="shared" ref="AA95:AA105" si="220">(AA94+4000)*1.00566-(0.00125*(AA94+4000))</f>
        <v>2227441.2051315955</v>
      </c>
      <c r="AB95">
        <f t="shared" ref="AB95:AB105" si="221">(AB94+4000)*1.00566-(0.00125*(AB94+4000))</f>
        <v>2397617.3451017262</v>
      </c>
      <c r="AC95">
        <f t="shared" ref="AC95:AC105" si="222">(AC94+4000)*1.00566-(0.00125*(AC94+4000))</f>
        <v>2577020.8832331845</v>
      </c>
      <c r="AD95">
        <f t="shared" ref="AD95:AD105" si="223">(AD94+4000)*1.00566-(0.00125*(AD94+4000))</f>
        <v>2766152.1533379997</v>
      </c>
      <c r="AE95">
        <f t="shared" ref="AE95:AE105" si="224">(AE94+4000)*1.00566-(0.00125*(AE94+4000))</f>
        <v>2965538.6186442142</v>
      </c>
      <c r="AI95">
        <f t="shared" si="202"/>
        <v>8068.0481423999991</v>
      </c>
      <c r="AJ95">
        <f t="shared" ref="AJ95:AJ105" si="225">(AJ94+4000)*1.00566-0</f>
        <v>58436.50725218164</v>
      </c>
      <c r="AK95">
        <f t="shared" ref="AK95:AK105" si="226">(AK94+4000)*1.00566-0</f>
        <v>112334.52369149058</v>
      </c>
      <c r="AL95">
        <f t="shared" ref="AL95:AL105" si="227">(AL94+4000)*1.00566-0</f>
        <v>170009.43031828196</v>
      </c>
      <c r="AM95">
        <f t="shared" ref="AM95:AM105" si="228">(AM94+4000)*1.00566-0</f>
        <v>231725.89177943318</v>
      </c>
      <c r="AN95">
        <f t="shared" ref="AN95:AN105" si="229">(AN94+4000)*1.00566-0</f>
        <v>297767.11903157108</v>
      </c>
      <c r="AO95">
        <f t="shared" ref="AO95:AO105" si="230">(AO94+4000)*1.00566-0</f>
        <v>368436.16896914609</v>
      </c>
      <c r="AP95">
        <f t="shared" ref="AP95:AP105" si="231">(AP94+4000)*1.00566-0</f>
        <v>444057.33512362302</v>
      </c>
      <c r="AQ95">
        <f t="shared" ref="AQ95:AQ105" si="232">(AQ94+4000)*1.00566-0</f>
        <v>524977.63581557269</v>
      </c>
      <c r="AR95">
        <f t="shared" ref="AR95:AR105" si="233">(AR94+4000)*1.00566-0</f>
        <v>611568.40658865613</v>
      </c>
      <c r="AS95">
        <f t="shared" ref="AS95:AS105" si="234">(AS94+4000)*1.00566-0</f>
        <v>704227.00423302455</v>
      </c>
      <c r="AT95">
        <f t="shared" ref="AT95:AT105" si="235">(AT94+4000)*1.00566-0</f>
        <v>803378.6302177395</v>
      </c>
      <c r="AU95">
        <f t="shared" ref="AU95:AU105" si="236">(AU94+4000)*1.00566-0</f>
        <v>909478.28189976921</v>
      </c>
      <c r="AV95">
        <f t="shared" ref="AV95:AV105" si="237">(AV94+4000)*1.00566-0</f>
        <v>1023012.8404634723</v>
      </c>
      <c r="AW95">
        <f t="shared" ref="AW95:AW105" si="238">(AW94+4000)*1.00566-0</f>
        <v>1144503.3051719265</v>
      </c>
      <c r="AX95">
        <f t="shared" ref="AX95:AX105" si="239">(AX94+4000)*1.00566-0</f>
        <v>1274507.1841828669</v>
      </c>
      <c r="AY95">
        <f t="shared" ref="AY95:AY105" si="240">(AY94+4000)*1.00566-0</f>
        <v>1413621.0529004594</v>
      </c>
      <c r="AZ95">
        <f t="shared" ref="AZ95:AZ105" si="241">(AZ94+4000)*1.00566-0</f>
        <v>1562483.2916029443</v>
      </c>
      <c r="BA95">
        <f t="shared" ref="BA95:BA105" si="242">(BA94+4000)*1.00566-0</f>
        <v>1721777.01490886</v>
      </c>
      <c r="BB95">
        <f t="shared" ref="BB95:BB105" si="243">(BB94+4000)*1.00566-0</f>
        <v>1892233.2065248867</v>
      </c>
      <c r="BC95">
        <f t="shared" ref="BC95:BC105" si="244">(BC94+4000)*1.00566-0</f>
        <v>2074634.0736603762</v>
      </c>
      <c r="BD95">
        <f t="shared" ref="BD95:BD105" si="245">(BD94+4000)*1.00566-0</f>
        <v>2269816.6365016452</v>
      </c>
      <c r="BE95">
        <f t="shared" ref="BE95:BE105" si="246">(BE94+4000)*1.00566-0</f>
        <v>2478676.5692177955</v>
      </c>
      <c r="BF95">
        <f t="shared" ref="BF95:BF105" si="247">(BF94+4000)*1.00566-0</f>
        <v>2702172.3101240704</v>
      </c>
      <c r="BG95">
        <f t="shared" ref="BG95:BG105" si="248">(BG94+4000)*1.00566-0</f>
        <v>2941329.4598638881</v>
      </c>
      <c r="BH95">
        <f t="shared" ref="BH95:BH105" si="249">(BH94+4000)*1.00566-0</f>
        <v>3197245.4877923988</v>
      </c>
      <c r="BI95">
        <f t="shared" ref="BI95:BI105" si="250">(BI94+4000)*1.00566-0</f>
        <v>3471094.7681587068</v>
      </c>
      <c r="BJ95">
        <f t="shared" ref="BJ95:BJ105" si="251">(BJ94+4000)*1.00566-0</f>
        <v>3764133.9691973147</v>
      </c>
    </row>
    <row r="96" spans="1:62" x14ac:dyDescent="0.3">
      <c r="A96">
        <f>0.0175/12</f>
        <v>1.4583333333333334E-3</v>
      </c>
      <c r="B96">
        <v>1.75</v>
      </c>
      <c r="D96">
        <f t="shared" si="200"/>
        <v>12101.082536351998</v>
      </c>
      <c r="E96">
        <f t="shared" si="204"/>
        <v>62056.058439510627</v>
      </c>
      <c r="F96">
        <f t="shared" si="204"/>
        <v>114587.74668994402</v>
      </c>
      <c r="G96">
        <f t="shared" si="204"/>
        <v>169829.0558998686</v>
      </c>
      <c r="H96">
        <f t="shared" si="204"/>
        <v>227919.75020001471</v>
      </c>
      <c r="I96">
        <f t="shared" si="205"/>
        <v>289466.91416022566</v>
      </c>
      <c r="J96">
        <f t="shared" si="205"/>
        <v>354560.98791151535</v>
      </c>
      <c r="K96">
        <f t="shared" si="205"/>
        <v>423184.63364952046</v>
      </c>
      <c r="L96">
        <f t="shared" si="205"/>
        <v>495529.23405612702</v>
      </c>
      <c r="M96">
        <f t="shared" si="206"/>
        <v>573176.44708205748</v>
      </c>
      <c r="N96">
        <f t="shared" si="207"/>
        <v>655239.50774170354</v>
      </c>
      <c r="O96">
        <f t="shared" si="208"/>
        <v>741969.54816929461</v>
      </c>
      <c r="P96">
        <f t="shared" si="209"/>
        <v>833631.98254728178</v>
      </c>
      <c r="Q96">
        <f t="shared" si="210"/>
        <v>930507.31933573284</v>
      </c>
      <c r="R96">
        <f t="shared" si="211"/>
        <v>1033738.5987057603</v>
      </c>
      <c r="S96">
        <f t="shared" si="212"/>
        <v>1144765.4131405335</v>
      </c>
      <c r="T96">
        <f t="shared" si="213"/>
        <v>1262396.8585079659</v>
      </c>
      <c r="U96">
        <f t="shared" si="214"/>
        <v>1385304.7144665036</v>
      </c>
      <c r="V96">
        <f t="shared" si="215"/>
        <v>1509817.9976641559</v>
      </c>
      <c r="W96">
        <f t="shared" si="216"/>
        <v>1641082.7187580985</v>
      </c>
      <c r="X96">
        <f t="shared" si="217"/>
        <v>1779464.9584788121</v>
      </c>
      <c r="Y96">
        <f t="shared" si="218"/>
        <v>1925350.6474173963</v>
      </c>
      <c r="Z96">
        <f t="shared" si="219"/>
        <v>2079146.6423372552</v>
      </c>
      <c r="AA96">
        <f t="shared" si="220"/>
        <v>2241281.8608462256</v>
      </c>
      <c r="AB96">
        <f t="shared" si="221"/>
        <v>2412208.477593625</v>
      </c>
      <c r="AC96">
        <f t="shared" si="222"/>
        <v>2592403.1853282428</v>
      </c>
      <c r="AD96">
        <f t="shared" si="223"/>
        <v>2782368.5243342202</v>
      </c>
      <c r="AE96">
        <f t="shared" si="224"/>
        <v>2982634.283952435</v>
      </c>
      <c r="AI96">
        <f t="shared" si="202"/>
        <v>12136.353294885983</v>
      </c>
      <c r="AJ96">
        <f t="shared" si="225"/>
        <v>62789.897883228987</v>
      </c>
      <c r="AK96">
        <f t="shared" si="226"/>
        <v>116992.97709558441</v>
      </c>
      <c r="AL96">
        <f t="shared" si="227"/>
        <v>174994.32369388343</v>
      </c>
      <c r="AM96">
        <f t="shared" si="228"/>
        <v>237060.10032690477</v>
      </c>
      <c r="AN96">
        <f t="shared" si="229"/>
        <v>303475.12092528975</v>
      </c>
      <c r="AO96">
        <f t="shared" si="230"/>
        <v>374544.15768551145</v>
      </c>
      <c r="AP96">
        <f t="shared" si="231"/>
        <v>450593.33964042272</v>
      </c>
      <c r="AQ96">
        <f t="shared" si="232"/>
        <v>531971.64923428884</v>
      </c>
      <c r="AR96">
        <f t="shared" si="233"/>
        <v>619052.52376994793</v>
      </c>
      <c r="AS96">
        <f t="shared" si="234"/>
        <v>712235.56907698349</v>
      </c>
      <c r="AT96">
        <f t="shared" si="235"/>
        <v>811948.3932647719</v>
      </c>
      <c r="AU96">
        <f t="shared" si="236"/>
        <v>918648.56897532195</v>
      </c>
      <c r="AV96">
        <f t="shared" si="237"/>
        <v>1032825.7331404956</v>
      </c>
      <c r="AW96">
        <f t="shared" si="238"/>
        <v>1155003.8338791996</v>
      </c>
      <c r="AX96">
        <f t="shared" si="239"/>
        <v>1285743.5348453419</v>
      </c>
      <c r="AY96">
        <f t="shared" si="240"/>
        <v>1425644.7880598761</v>
      </c>
      <c r="AZ96">
        <f t="shared" si="241"/>
        <v>1575349.5870334168</v>
      </c>
      <c r="BA96">
        <f t="shared" si="242"/>
        <v>1735544.9128132442</v>
      </c>
      <c r="BB96">
        <f t="shared" si="243"/>
        <v>1906965.8864738175</v>
      </c>
      <c r="BC96">
        <f t="shared" si="244"/>
        <v>2090399.142517294</v>
      </c>
      <c r="BD96">
        <f t="shared" si="245"/>
        <v>2286686.4386642445</v>
      </c>
      <c r="BE96">
        <f t="shared" si="246"/>
        <v>2496728.5185995684</v>
      </c>
      <c r="BF96">
        <f t="shared" si="247"/>
        <v>2721489.2453993727</v>
      </c>
      <c r="BG96">
        <f t="shared" si="248"/>
        <v>2962000.0246067178</v>
      </c>
      <c r="BH96">
        <f t="shared" si="249"/>
        <v>3219364.5372533039</v>
      </c>
      <c r="BI96">
        <f t="shared" si="250"/>
        <v>3494763.8045464852</v>
      </c>
      <c r="BJ96">
        <f t="shared" si="251"/>
        <v>3789461.6074629715</v>
      </c>
    </row>
    <row r="97" spans="1:62" x14ac:dyDescent="0.3">
      <c r="A97">
        <f>0.015/12</f>
        <v>1.25E-3</v>
      </c>
      <c r="B97">
        <v>1.5</v>
      </c>
      <c r="D97">
        <f t="shared" si="200"/>
        <v>16168.707083004676</v>
      </c>
      <c r="E97">
        <f t="shared" si="204"/>
        <v>66333.493884956581</v>
      </c>
      <c r="F97">
        <f t="shared" si="204"/>
        <v>119085.81522604178</v>
      </c>
      <c r="G97">
        <f t="shared" si="204"/>
        <v>174559.13793464805</v>
      </c>
      <c r="H97">
        <f t="shared" si="204"/>
        <v>232893.81315085475</v>
      </c>
      <c r="I97">
        <f t="shared" ref="I97:I105" si="252">(I96+4000)*1.00566-(0.00125*(I96+4000))</f>
        <v>294761.10325167223</v>
      </c>
      <c r="J97">
        <f t="shared" ref="J97:J105" si="253">(J96+4000)*1.00566-(0.00125*(J96+4000))</f>
        <v>360142.24186820514</v>
      </c>
      <c r="K97">
        <f t="shared" ref="K97:K105" si="254">(K96+4000)*1.00566-(0.00125*(K96+4000))</f>
        <v>429068.51788391487</v>
      </c>
      <c r="L97">
        <f t="shared" ref="L97:L105" si="255">(L96+4000)*1.00566-(0.00104*(L96+4000))</f>
        <v>501837.05911746633</v>
      </c>
      <c r="M97">
        <f t="shared" si="206"/>
        <v>579843.00226757652</v>
      </c>
      <c r="N97">
        <f t="shared" si="207"/>
        <v>662285.19426747016</v>
      </c>
      <c r="O97">
        <f t="shared" si="208"/>
        <v>749415.92748183676</v>
      </c>
      <c r="P97">
        <f t="shared" si="209"/>
        <v>841501.84230665024</v>
      </c>
      <c r="Q97">
        <f t="shared" si="210"/>
        <v>938824.74315106391</v>
      </c>
      <c r="R97">
        <f t="shared" si="211"/>
        <v>1042747.7629217129</v>
      </c>
      <c r="S97">
        <f t="shared" si="212"/>
        <v>1154310.5037897627</v>
      </c>
      <c r="T97">
        <f t="shared" si="213"/>
        <v>1272509.7561439837</v>
      </c>
      <c r="U97">
        <f t="shared" si="214"/>
        <v>1395431.5482573009</v>
      </c>
      <c r="V97">
        <f t="shared" si="215"/>
        <v>1520493.9350338548</v>
      </c>
      <c r="W97">
        <f t="shared" si="216"/>
        <v>1652337.5335478217</v>
      </c>
      <c r="X97">
        <f t="shared" si="217"/>
        <v>1791330.0389457035</v>
      </c>
      <c r="Y97">
        <f t="shared" si="218"/>
        <v>1937859.083772507</v>
      </c>
      <c r="Z97">
        <f t="shared" si="219"/>
        <v>2092333.3190299626</v>
      </c>
      <c r="AA97">
        <f t="shared" si="220"/>
        <v>2255183.5538525572</v>
      </c>
      <c r="AB97">
        <f t="shared" si="221"/>
        <v>2426863.9569798131</v>
      </c>
      <c r="AC97">
        <f t="shared" si="222"/>
        <v>2607853.3233755408</v>
      </c>
      <c r="AD97">
        <f t="shared" si="223"/>
        <v>2798656.4095265339</v>
      </c>
      <c r="AE97">
        <f t="shared" si="224"/>
        <v>2999805.3411446651</v>
      </c>
      <c r="AI97">
        <f t="shared" si="202"/>
        <v>16227.685054535037</v>
      </c>
      <c r="AJ97">
        <f t="shared" si="225"/>
        <v>67167.928705248065</v>
      </c>
      <c r="AK97">
        <f t="shared" si="226"/>
        <v>121677.79734594542</v>
      </c>
      <c r="AL97">
        <f t="shared" si="227"/>
        <v>180007.43156599082</v>
      </c>
      <c r="AM97">
        <f t="shared" si="228"/>
        <v>242424.50049475505</v>
      </c>
      <c r="AN97">
        <f t="shared" si="229"/>
        <v>309215.43010972691</v>
      </c>
      <c r="AO97">
        <f t="shared" si="230"/>
        <v>380686.71761801146</v>
      </c>
      <c r="AP97">
        <f t="shared" si="231"/>
        <v>457166.3379427875</v>
      </c>
      <c r="AQ97">
        <f t="shared" si="232"/>
        <v>539005.24876895489</v>
      </c>
      <c r="AR97">
        <f t="shared" si="233"/>
        <v>626579.00105448579</v>
      </c>
      <c r="AS97">
        <f t="shared" si="234"/>
        <v>720289.4623979592</v>
      </c>
      <c r="AT97">
        <f t="shared" si="235"/>
        <v>820566.66117065051</v>
      </c>
      <c r="AU97">
        <f t="shared" si="236"/>
        <v>927870.75987572223</v>
      </c>
      <c r="AV97">
        <f t="shared" si="237"/>
        <v>1042694.1667900708</v>
      </c>
      <c r="AW97">
        <f t="shared" si="238"/>
        <v>1165563.7955789559</v>
      </c>
      <c r="AX97">
        <f t="shared" si="239"/>
        <v>1297043.4832525665</v>
      </c>
      <c r="AY97">
        <f t="shared" si="240"/>
        <v>1437736.5775602949</v>
      </c>
      <c r="AZ97">
        <f t="shared" si="241"/>
        <v>1588288.7056960261</v>
      </c>
      <c r="BA97">
        <f t="shared" si="242"/>
        <v>1749390.7370197671</v>
      </c>
      <c r="BB97">
        <f t="shared" si="243"/>
        <v>1921781.9533912593</v>
      </c>
      <c r="BC97">
        <f t="shared" si="244"/>
        <v>2106253.4416639418</v>
      </c>
      <c r="BD97">
        <f t="shared" si="245"/>
        <v>2303651.7239070842</v>
      </c>
      <c r="BE97">
        <f t="shared" si="246"/>
        <v>2514882.642014842</v>
      </c>
      <c r="BF97">
        <f t="shared" si="247"/>
        <v>2740915.5145283332</v>
      </c>
      <c r="BG97">
        <f t="shared" si="248"/>
        <v>2982787.584745992</v>
      </c>
      <c r="BH97">
        <f t="shared" si="249"/>
        <v>3241608.7805341575</v>
      </c>
      <c r="BI97">
        <f t="shared" si="250"/>
        <v>3518566.8076802185</v>
      </c>
      <c r="BJ97">
        <f t="shared" si="251"/>
        <v>3814932.600161212</v>
      </c>
    </row>
    <row r="98" spans="1:62" x14ac:dyDescent="0.3">
      <c r="A98">
        <f>0.0125/12</f>
        <v>1.0416666666666667E-3</v>
      </c>
      <c r="B98">
        <v>1.25</v>
      </c>
      <c r="D98">
        <f t="shared" si="200"/>
        <v>20253.415652753294</v>
      </c>
      <c r="E98">
        <f t="shared" si="204"/>
        <v>70628.894559273394</v>
      </c>
      <c r="F98">
        <f t="shared" si="204"/>
        <v>123602.77564999116</v>
      </c>
      <c r="G98">
        <f t="shared" si="204"/>
        <v>179309.08631397359</v>
      </c>
      <c r="H98">
        <f t="shared" si="204"/>
        <v>237888.76716608836</v>
      </c>
      <c r="I98">
        <f t="shared" si="252"/>
        <v>300078.63971701212</v>
      </c>
      <c r="J98">
        <f t="shared" si="253"/>
        <v>365748.10915484396</v>
      </c>
      <c r="K98">
        <f t="shared" si="254"/>
        <v>434978.35004778294</v>
      </c>
      <c r="L98">
        <f t="shared" si="255"/>
        <v>508174.02633058903</v>
      </c>
      <c r="M98">
        <f t="shared" si="206"/>
        <v>586540.35693805281</v>
      </c>
      <c r="N98">
        <f t="shared" si="207"/>
        <v>669363.43186498585</v>
      </c>
      <c r="O98">
        <f t="shared" si="208"/>
        <v>756896.70906680275</v>
      </c>
      <c r="P98">
        <f t="shared" si="209"/>
        <v>849408.06081810698</v>
      </c>
      <c r="Q98">
        <f t="shared" si="210"/>
        <v>947180.59346442181</v>
      </c>
      <c r="R98">
        <f t="shared" si="211"/>
        <v>1051800.4143733361</v>
      </c>
      <c r="S98">
        <f t="shared" si="212"/>
        <v>1163901.6685915559</v>
      </c>
      <c r="T98">
        <f t="shared" si="213"/>
        <v>1282671.4687368907</v>
      </c>
      <c r="U98">
        <f t="shared" si="214"/>
        <v>1405603.0413851156</v>
      </c>
      <c r="V98">
        <f t="shared" si="215"/>
        <v>1531216.953287354</v>
      </c>
      <c r="W98">
        <f t="shared" si="216"/>
        <v>1663641.9820707678</v>
      </c>
      <c r="X98">
        <f t="shared" si="217"/>
        <v>1803247.4444174541</v>
      </c>
      <c r="Y98">
        <f t="shared" si="218"/>
        <v>1950422.6823319439</v>
      </c>
      <c r="Z98">
        <f t="shared" si="219"/>
        <v>2105578.1489668847</v>
      </c>
      <c r="AA98">
        <f t="shared" si="220"/>
        <v>2269146.5533250473</v>
      </c>
      <c r="AB98">
        <f t="shared" si="221"/>
        <v>2441584.0670300941</v>
      </c>
      <c r="AC98">
        <f t="shared" si="222"/>
        <v>2623371.5965316272</v>
      </c>
      <c r="AD98">
        <f t="shared" si="223"/>
        <v>2815016.124292546</v>
      </c>
      <c r="AE98">
        <f t="shared" si="224"/>
        <v>3017052.1226991131</v>
      </c>
      <c r="AI98">
        <f t="shared" si="202"/>
        <v>20342.173751943708</v>
      </c>
      <c r="AJ98">
        <f t="shared" si="225"/>
        <v>71570.739181719764</v>
      </c>
      <c r="AK98">
        <f t="shared" si="226"/>
        <v>126389.13367892348</v>
      </c>
      <c r="AL98">
        <f t="shared" si="227"/>
        <v>185048.91362865432</v>
      </c>
      <c r="AM98">
        <f t="shared" si="228"/>
        <v>247819.26316755536</v>
      </c>
      <c r="AN98">
        <f t="shared" si="229"/>
        <v>314988.22944414796</v>
      </c>
      <c r="AO98">
        <f t="shared" si="230"/>
        <v>386864.04443972942</v>
      </c>
      <c r="AP98">
        <f t="shared" si="231"/>
        <v>463776.53941554367</v>
      </c>
      <c r="AQ98">
        <f t="shared" si="232"/>
        <v>546078.65847698716</v>
      </c>
      <c r="AR98">
        <f t="shared" si="233"/>
        <v>634148.07820045413</v>
      </c>
      <c r="AS98">
        <f t="shared" si="234"/>
        <v>728388.94075513165</v>
      </c>
      <c r="AT98">
        <f t="shared" si="235"/>
        <v>829233.70847287634</v>
      </c>
      <c r="AU98">
        <f t="shared" si="236"/>
        <v>937145.14837661886</v>
      </c>
      <c r="AV98">
        <f t="shared" si="237"/>
        <v>1052618.4557741026</v>
      </c>
      <c r="AW98">
        <f t="shared" si="238"/>
        <v>1176183.5266619327</v>
      </c>
      <c r="AX98">
        <f t="shared" si="239"/>
        <v>1308407.389367776</v>
      </c>
      <c r="AY98">
        <f t="shared" si="240"/>
        <v>1449896.8065892861</v>
      </c>
      <c r="AZ98">
        <f t="shared" si="241"/>
        <v>1601301.0597702656</v>
      </c>
      <c r="BA98">
        <f t="shared" si="242"/>
        <v>1763314.9285912989</v>
      </c>
      <c r="BB98">
        <f t="shared" si="243"/>
        <v>1936681.8792474538</v>
      </c>
      <c r="BC98">
        <f t="shared" si="244"/>
        <v>2122197.4761437597</v>
      </c>
      <c r="BD98">
        <f t="shared" si="245"/>
        <v>2320713.0326643982</v>
      </c>
      <c r="BE98">
        <f t="shared" si="246"/>
        <v>2533139.5177686461</v>
      </c>
      <c r="BF98">
        <f t="shared" si="247"/>
        <v>2760451.7363405637</v>
      </c>
      <c r="BG98">
        <f t="shared" si="248"/>
        <v>3003692.8024756541</v>
      </c>
      <c r="BH98">
        <f t="shared" si="249"/>
        <v>3263978.9262319808</v>
      </c>
      <c r="BI98">
        <f t="shared" si="250"/>
        <v>3542504.5358116883</v>
      </c>
      <c r="BJ98">
        <f t="shared" si="251"/>
        <v>3840547.7586781243</v>
      </c>
    </row>
    <row r="99" spans="1:62" x14ac:dyDescent="0.3">
      <c r="A99">
        <f>0.01/12</f>
        <v>8.3333333333333339E-4</v>
      </c>
      <c r="B99">
        <v>1</v>
      </c>
      <c r="D99">
        <f t="shared" si="200"/>
        <v>24355.279998494858</v>
      </c>
      <c r="E99">
        <f t="shared" si="204"/>
        <v>74942.335916422351</v>
      </c>
      <c r="F99">
        <f t="shared" si="204"/>
        <v>128138.70730772112</v>
      </c>
      <c r="G99">
        <f t="shared" si="204"/>
        <v>184078.98447649227</v>
      </c>
      <c r="H99">
        <f t="shared" si="204"/>
        <v>242904.69998818592</v>
      </c>
      <c r="I99">
        <f t="shared" si="252"/>
        <v>305419.62651816412</v>
      </c>
      <c r="J99">
        <f t="shared" si="253"/>
        <v>371378.69831621682</v>
      </c>
      <c r="K99">
        <f t="shared" si="254"/>
        <v>440914.24457149371</v>
      </c>
      <c r="L99">
        <f t="shared" si="255"/>
        <v>514540.27033223637</v>
      </c>
      <c r="M99">
        <f t="shared" si="206"/>
        <v>593268.65338710661</v>
      </c>
      <c r="N99">
        <f t="shared" si="207"/>
        <v>676474.37092020211</v>
      </c>
      <c r="O99">
        <f t="shared" si="208"/>
        <v>764412.05186269141</v>
      </c>
      <c r="P99">
        <f t="shared" si="209"/>
        <v>857350.80605908658</v>
      </c>
      <c r="Q99">
        <f t="shared" si="210"/>
        <v>955575.04780622735</v>
      </c>
      <c r="R99">
        <f t="shared" si="211"/>
        <v>1060896.7629735162</v>
      </c>
      <c r="S99">
        <f t="shared" si="212"/>
        <v>1173539.1299458472</v>
      </c>
      <c r="T99">
        <f t="shared" si="213"/>
        <v>1292882.2319164837</v>
      </c>
      <c r="U99">
        <f t="shared" si="214"/>
        <v>1415819.3907976239</v>
      </c>
      <c r="V99">
        <f t="shared" si="215"/>
        <v>1541987.2600513513</v>
      </c>
      <c r="W99">
        <f t="shared" si="216"/>
        <v>1674996.2832116999</v>
      </c>
      <c r="X99">
        <f t="shared" si="217"/>
        <v>1815217.4056473349</v>
      </c>
      <c r="Y99">
        <f t="shared" si="218"/>
        <v>1963041.6863610279</v>
      </c>
      <c r="Z99">
        <f t="shared" si="219"/>
        <v>2118881.3886038284</v>
      </c>
      <c r="AA99">
        <f t="shared" si="220"/>
        <v>2283171.129625211</v>
      </c>
      <c r="AB99">
        <f t="shared" si="221"/>
        <v>2456369.0927656968</v>
      </c>
      <c r="AC99">
        <f t="shared" si="222"/>
        <v>2638958.3052723319</v>
      </c>
      <c r="AD99">
        <f t="shared" si="223"/>
        <v>2831447.9854006763</v>
      </c>
      <c r="AE99">
        <f t="shared" si="224"/>
        <v>3034374.9625602164</v>
      </c>
      <c r="AI99">
        <f t="shared" si="202"/>
        <v>24479.950455379709</v>
      </c>
      <c r="AJ99">
        <f t="shared" si="225"/>
        <v>75998.469565488296</v>
      </c>
      <c r="AK99">
        <f t="shared" si="226"/>
        <v>131127.13617554618</v>
      </c>
      <c r="AL99">
        <f t="shared" si="227"/>
        <v>190118.9304797925</v>
      </c>
      <c r="AM99">
        <f t="shared" si="228"/>
        <v>253244.56019708372</v>
      </c>
      <c r="AN99">
        <f t="shared" si="229"/>
        <v>320793.70282280183</v>
      </c>
      <c r="AO99">
        <f t="shared" si="230"/>
        <v>393076.33493125829</v>
      </c>
      <c r="AP99">
        <f t="shared" si="231"/>
        <v>470424.15462863562</v>
      </c>
      <c r="AQ99">
        <f t="shared" si="232"/>
        <v>553192.10368396691</v>
      </c>
      <c r="AR99">
        <f t="shared" si="233"/>
        <v>641759.99632306874</v>
      </c>
      <c r="AS99">
        <f t="shared" si="234"/>
        <v>736534.26215980574</v>
      </c>
      <c r="AT99">
        <f t="shared" si="235"/>
        <v>837949.81126283284</v>
      </c>
      <c r="AU99">
        <f t="shared" si="236"/>
        <v>946472.02991643047</v>
      </c>
      <c r="AV99">
        <f t="shared" si="237"/>
        <v>1062598.9162337841</v>
      </c>
      <c r="AW99">
        <f t="shared" si="238"/>
        <v>1186863.3654228393</v>
      </c>
      <c r="AX99">
        <f t="shared" si="239"/>
        <v>1319835.6151915975</v>
      </c>
      <c r="AY99">
        <f t="shared" si="240"/>
        <v>1462125.8625145815</v>
      </c>
      <c r="AZ99">
        <f t="shared" si="241"/>
        <v>1614387.0637685652</v>
      </c>
      <c r="BA99">
        <f t="shared" si="242"/>
        <v>1777317.9310871256</v>
      </c>
      <c r="BB99">
        <f t="shared" si="243"/>
        <v>1951666.1386839943</v>
      </c>
      <c r="BC99">
        <f t="shared" si="244"/>
        <v>2138231.7538587335</v>
      </c>
      <c r="BD99">
        <f t="shared" si="245"/>
        <v>2337870.9084292785</v>
      </c>
      <c r="BE99">
        <f t="shared" si="246"/>
        <v>2551499.7274392168</v>
      </c>
      <c r="BF99">
        <f t="shared" si="247"/>
        <v>2780098.5331682512</v>
      </c>
      <c r="BG99">
        <f t="shared" si="248"/>
        <v>3024716.343737666</v>
      </c>
      <c r="BH99">
        <f t="shared" si="249"/>
        <v>3286475.6869544536</v>
      </c>
      <c r="BI99">
        <f t="shared" si="250"/>
        <v>3566577.7514843824</v>
      </c>
      <c r="BJ99">
        <f t="shared" si="251"/>
        <v>3866307.8989922423</v>
      </c>
    </row>
    <row r="100" spans="1:62" x14ac:dyDescent="0.3">
      <c r="D100">
        <f t="shared" si="200"/>
        <v>28474.372174488537</v>
      </c>
      <c r="E100">
        <f t="shared" si="204"/>
        <v>79273.893727271337</v>
      </c>
      <c r="F100">
        <f t="shared" si="204"/>
        <v>132693.68987841357</v>
      </c>
      <c r="G100">
        <f t="shared" si="204"/>
        <v>188868.91621129354</v>
      </c>
      <c r="H100">
        <f t="shared" si="204"/>
        <v>247941.69972813633</v>
      </c>
      <c r="I100">
        <f t="shared" si="252"/>
        <v>310784.16707110923</v>
      </c>
      <c r="J100">
        <f t="shared" si="253"/>
        <v>377034.11837579135</v>
      </c>
      <c r="K100">
        <f t="shared" si="254"/>
        <v>446876.31639005395</v>
      </c>
      <c r="L100">
        <f t="shared" si="255"/>
        <v>520935.92638117127</v>
      </c>
      <c r="M100">
        <f t="shared" si="206"/>
        <v>600028.03456575505</v>
      </c>
      <c r="N100">
        <f t="shared" si="207"/>
        <v>683618.16251385352</v>
      </c>
      <c r="O100">
        <f t="shared" si="208"/>
        <v>771962.11554229702</v>
      </c>
      <c r="P100">
        <f t="shared" si="209"/>
        <v>865330.24678307946</v>
      </c>
      <c r="Q100">
        <f t="shared" si="210"/>
        <v>964008.28452709212</v>
      </c>
      <c r="R100">
        <f t="shared" si="211"/>
        <v>1070037.0196483894</v>
      </c>
      <c r="S100">
        <f t="shared" si="212"/>
        <v>1183223.1113260959</v>
      </c>
      <c r="T100">
        <f t="shared" si="213"/>
        <v>1303142.2824499444</v>
      </c>
      <c r="U100">
        <f t="shared" si="214"/>
        <v>1426080.7943110415</v>
      </c>
      <c r="V100">
        <f t="shared" si="215"/>
        <v>1552805.0638681776</v>
      </c>
      <c r="W100">
        <f t="shared" si="216"/>
        <v>1686400.6568206635</v>
      </c>
      <c r="X100">
        <f t="shared" si="217"/>
        <v>1827240.1544062395</v>
      </c>
      <c r="Y100">
        <f t="shared" si="218"/>
        <v>1975716.3401978798</v>
      </c>
      <c r="Z100">
        <f t="shared" si="219"/>
        <v>2132243.2955275713</v>
      </c>
      <c r="AA100">
        <f t="shared" si="220"/>
        <v>2297257.5543068582</v>
      </c>
      <c r="AB100">
        <f t="shared" si="221"/>
        <v>2471219.3204647936</v>
      </c>
      <c r="AC100">
        <f t="shared" si="222"/>
        <v>2654613.7513985829</v>
      </c>
      <c r="AD100">
        <f t="shared" si="223"/>
        <v>2847952.3110162932</v>
      </c>
      <c r="AE100">
        <f t="shared" si="224"/>
        <v>3051774.196145107</v>
      </c>
      <c r="AI100">
        <f t="shared" si="202"/>
        <v>28641.146974957159</v>
      </c>
      <c r="AJ100">
        <f t="shared" si="225"/>
        <v>80451.260903228962</v>
      </c>
      <c r="AK100">
        <f t="shared" si="226"/>
        <v>135891.95576629977</v>
      </c>
      <c r="AL100">
        <f t="shared" si="227"/>
        <v>195217.64362630813</v>
      </c>
      <c r="AM100">
        <f t="shared" si="228"/>
        <v>258700.56440779922</v>
      </c>
      <c r="AN100">
        <f t="shared" si="229"/>
        <v>326632.03518077888</v>
      </c>
      <c r="AO100">
        <f t="shared" si="230"/>
        <v>399323.78698696924</v>
      </c>
      <c r="AP100">
        <f t="shared" si="231"/>
        <v>477109.39534383372</v>
      </c>
      <c r="AQ100">
        <f t="shared" si="232"/>
        <v>560345.81099081819</v>
      </c>
      <c r="AR100">
        <f t="shared" si="233"/>
        <v>649414.99790225737</v>
      </c>
      <c r="AS100">
        <f t="shared" si="234"/>
        <v>744725.68608363019</v>
      </c>
      <c r="AT100">
        <f t="shared" si="235"/>
        <v>846715.2471945805</v>
      </c>
      <c r="AU100">
        <f t="shared" si="236"/>
        <v>955851.70160575747</v>
      </c>
      <c r="AV100">
        <f t="shared" si="237"/>
        <v>1072635.8660996673</v>
      </c>
      <c r="AW100">
        <f t="shared" si="238"/>
        <v>1197603.6520711326</v>
      </c>
      <c r="AX100">
        <f t="shared" si="239"/>
        <v>1331328.5247735819</v>
      </c>
      <c r="AY100">
        <f t="shared" si="240"/>
        <v>1474424.1348964141</v>
      </c>
      <c r="AZ100">
        <f t="shared" si="241"/>
        <v>1627547.1345494953</v>
      </c>
      <c r="BA100">
        <f t="shared" si="242"/>
        <v>1791400.1905770786</v>
      </c>
      <c r="BB100">
        <f t="shared" si="243"/>
        <v>1966735.2090289458</v>
      </c>
      <c r="BC100">
        <f t="shared" si="244"/>
        <v>2154356.7855855739</v>
      </c>
      <c r="BD100">
        <f t="shared" si="245"/>
        <v>2355125.8977709883</v>
      </c>
      <c r="BE100">
        <f t="shared" si="246"/>
        <v>2569963.8558965228</v>
      </c>
      <c r="BF100">
        <f t="shared" si="247"/>
        <v>2799856.5308659836</v>
      </c>
      <c r="BG100">
        <f t="shared" si="248"/>
        <v>3045858.8782432214</v>
      </c>
      <c r="BH100">
        <f t="shared" si="249"/>
        <v>3309099.779342616</v>
      </c>
      <c r="BI100">
        <f t="shared" si="250"/>
        <v>3590787.2215577839</v>
      </c>
      <c r="BJ100">
        <f t="shared" si="251"/>
        <v>3892213.8417005385</v>
      </c>
    </row>
    <row r="101" spans="1:62" x14ac:dyDescent="0.3">
      <c r="D101">
        <f t="shared" si="200"/>
        <v>32610.764537621388</v>
      </c>
      <c r="E101">
        <f t="shared" ref="E101:G105" si="256">(E100+4000)*1.00566-(0.00146*(E100+4000))</f>
        <v>83623.644080925878</v>
      </c>
      <c r="F101">
        <f t="shared" si="256"/>
        <v>137267.80337590291</v>
      </c>
      <c r="G101">
        <f t="shared" si="256"/>
        <v>193678.96565938098</v>
      </c>
      <c r="H101">
        <f>(H100+4000)*1.00566-(0.00125*(H100+4000))</f>
        <v>253052.76262393742</v>
      </c>
      <c r="I101">
        <f t="shared" si="252"/>
        <v>316172.3652478928</v>
      </c>
      <c r="J101">
        <f t="shared" si="253"/>
        <v>382714.47883782862</v>
      </c>
      <c r="K101">
        <f t="shared" si="254"/>
        <v>452864.68094533408</v>
      </c>
      <c r="L101">
        <f t="shared" si="255"/>
        <v>527361.13036105223</v>
      </c>
      <c r="M101">
        <f t="shared" si="206"/>
        <v>606818.64408544882</v>
      </c>
      <c r="N101">
        <f t="shared" si="207"/>
        <v>690794.95842466748</v>
      </c>
      <c r="O101">
        <f t="shared" si="208"/>
        <v>779547.06051610247</v>
      </c>
      <c r="P101">
        <f t="shared" si="209"/>
        <v>873346.55252321728</v>
      </c>
      <c r="Q101">
        <f t="shared" si="210"/>
        <v>972480.48280160723</v>
      </c>
      <c r="R101">
        <f t="shared" si="211"/>
        <v>1079221.3963422324</v>
      </c>
      <c r="S101">
        <f t="shared" si="212"/>
        <v>1192953.837284467</v>
      </c>
      <c r="T101">
        <f t="shared" si="213"/>
        <v>1313451.8582473304</v>
      </c>
      <c r="U101">
        <f t="shared" si="214"/>
        <v>1436387.4506139532</v>
      </c>
      <c r="V101">
        <f t="shared" si="215"/>
        <v>1563670.5741998362</v>
      </c>
      <c r="W101">
        <f t="shared" si="216"/>
        <v>1697855.3237172426</v>
      </c>
      <c r="X101">
        <f t="shared" si="217"/>
        <v>1839315.9234871711</v>
      </c>
      <c r="Y101">
        <f t="shared" si="218"/>
        <v>1988446.8892581526</v>
      </c>
      <c r="Z101">
        <f t="shared" si="219"/>
        <v>2145664.1284608478</v>
      </c>
      <c r="AA101">
        <f t="shared" si="220"/>
        <v>2311406.1001213514</v>
      </c>
      <c r="AB101">
        <f t="shared" si="221"/>
        <v>2486135.0376680433</v>
      </c>
      <c r="AC101">
        <f t="shared" si="222"/>
        <v>2670338.2380422507</v>
      </c>
      <c r="AD101">
        <f t="shared" si="223"/>
        <v>2864529.4207078749</v>
      </c>
      <c r="AE101">
        <f t="shared" si="224"/>
        <v>3069250.1603501071</v>
      </c>
      <c r="AI101">
        <f t="shared" si="202"/>
        <v>32825.895866835417</v>
      </c>
      <c r="AJ101">
        <f t="shared" si="225"/>
        <v>84929.255039941243</v>
      </c>
      <c r="AK101">
        <f t="shared" si="226"/>
        <v>140683.74423593702</v>
      </c>
      <c r="AL101">
        <f t="shared" si="227"/>
        <v>200345.21548923303</v>
      </c>
      <c r="AM101">
        <f t="shared" si="228"/>
        <v>264187.44960234733</v>
      </c>
      <c r="AN101">
        <f t="shared" si="229"/>
        <v>332503.41249990207</v>
      </c>
      <c r="AO101">
        <f t="shared" si="230"/>
        <v>405606.59962131549</v>
      </c>
      <c r="AP101">
        <f t="shared" si="231"/>
        <v>483832.4745214798</v>
      </c>
      <c r="AQ101">
        <f t="shared" si="232"/>
        <v>567540.00828102627</v>
      </c>
      <c r="AR101">
        <f t="shared" si="233"/>
        <v>657113.32679038413</v>
      </c>
      <c r="AS101">
        <f t="shared" si="234"/>
        <v>752963.47346686351</v>
      </c>
      <c r="AT101">
        <f t="shared" si="235"/>
        <v>855530.29549370182</v>
      </c>
      <c r="AU101">
        <f t="shared" si="236"/>
        <v>965284.4622368461</v>
      </c>
      <c r="AV101">
        <f t="shared" si="237"/>
        <v>1082729.6251017915</v>
      </c>
      <c r="AW101">
        <f t="shared" si="238"/>
        <v>1208404.7287418551</v>
      </c>
      <c r="AX101">
        <f t="shared" si="239"/>
        <v>1342886.4842238002</v>
      </c>
      <c r="AY101">
        <f t="shared" si="240"/>
        <v>1486792.0154999278</v>
      </c>
      <c r="AZ101">
        <f t="shared" si="241"/>
        <v>1640781.6913310455</v>
      </c>
      <c r="BA101">
        <f t="shared" si="242"/>
        <v>1805562.155655745</v>
      </c>
      <c r="BB101">
        <f t="shared" si="243"/>
        <v>1981889.5703120497</v>
      </c>
      <c r="BC101">
        <f t="shared" si="244"/>
        <v>2170573.0849919883</v>
      </c>
      <c r="BD101">
        <f t="shared" si="245"/>
        <v>2372478.5503523722</v>
      </c>
      <c r="BE101">
        <f t="shared" si="246"/>
        <v>2588532.4913208969</v>
      </c>
      <c r="BF101">
        <f t="shared" si="247"/>
        <v>2819726.3588306853</v>
      </c>
      <c r="BG101">
        <f t="shared" si="248"/>
        <v>3067121.0794940782</v>
      </c>
      <c r="BH101">
        <f t="shared" si="249"/>
        <v>3331851.9240936954</v>
      </c>
      <c r="BI101">
        <f t="shared" si="250"/>
        <v>3615133.7172318008</v>
      </c>
      <c r="BJ101">
        <f t="shared" si="251"/>
        <v>3918266.4120445638</v>
      </c>
    </row>
    <row r="102" spans="1:62" x14ac:dyDescent="0.3">
      <c r="D102">
        <f t="shared" si="200"/>
        <v>36764.529748679401</v>
      </c>
      <c r="E102">
        <f t="shared" si="256"/>
        <v>87991.663386065775</v>
      </c>
      <c r="F102">
        <f t="shared" si="256"/>
        <v>141861.1281500817</v>
      </c>
      <c r="G102">
        <f t="shared" si="256"/>
        <v>198509.2173151504</v>
      </c>
      <c r="H102">
        <f>(H101+4000)*1.00566-(0.00125*(H101+4000))</f>
        <v>258186.36530710896</v>
      </c>
      <c r="I102">
        <f t="shared" si="252"/>
        <v>321584.32537863601</v>
      </c>
      <c r="J102">
        <f t="shared" si="253"/>
        <v>388419.88968950341</v>
      </c>
      <c r="K102">
        <f t="shared" si="254"/>
        <v>458879.45418830303</v>
      </c>
      <c r="L102">
        <f t="shared" si="255"/>
        <v>533816.01878332032</v>
      </c>
      <c r="M102">
        <f t="shared" si="206"/>
        <v>613640.62622112362</v>
      </c>
      <c r="N102">
        <f t="shared" si="207"/>
        <v>698004.91113258945</v>
      </c>
      <c r="O102">
        <f t="shared" si="208"/>
        <v>787167.04793568677</v>
      </c>
      <c r="P102">
        <f t="shared" si="209"/>
        <v>881399.89359587454</v>
      </c>
      <c r="Q102">
        <f t="shared" si="210"/>
        <v>980991.82263215061</v>
      </c>
      <c r="R102">
        <f t="shared" si="211"/>
        <v>1088450.1060223763</v>
      </c>
      <c r="S102">
        <f t="shared" si="212"/>
        <v>1202731.5334570392</v>
      </c>
      <c r="T102">
        <f t="shared" si="213"/>
        <v>1323811.1983670902</v>
      </c>
      <c r="U102">
        <f t="shared" si="214"/>
        <v>1446739.5592711607</v>
      </c>
      <c r="V102">
        <f t="shared" si="215"/>
        <v>1574584.0014320575</v>
      </c>
      <c r="W102">
        <f t="shared" si="216"/>
        <v>1709360.5056948357</v>
      </c>
      <c r="X102">
        <f t="shared" si="217"/>
        <v>1851444.9467097495</v>
      </c>
      <c r="Y102">
        <f t="shared" si="218"/>
        <v>2001233.5800397811</v>
      </c>
      <c r="Z102">
        <f t="shared" si="219"/>
        <v>2159144.1472673602</v>
      </c>
      <c r="AA102">
        <f t="shared" si="220"/>
        <v>2325617.0410228865</v>
      </c>
      <c r="AB102">
        <f t="shared" si="221"/>
        <v>2501116.5331841595</v>
      </c>
      <c r="AC102">
        <f t="shared" si="222"/>
        <v>2686132.0696720169</v>
      </c>
      <c r="AD102">
        <f t="shared" si="223"/>
        <v>2881179.6354531967</v>
      </c>
      <c r="AE102">
        <f t="shared" si="224"/>
        <v>3086803.1935572508</v>
      </c>
      <c r="AI102">
        <f t="shared" si="202"/>
        <v>37034.330437441706</v>
      </c>
      <c r="AJ102">
        <f t="shared" si="225"/>
        <v>89432.594623467317</v>
      </c>
      <c r="AK102">
        <f t="shared" si="226"/>
        <v>145502.65422831243</v>
      </c>
      <c r="AL102">
        <f t="shared" si="227"/>
        <v>205501.80940890207</v>
      </c>
      <c r="AM102">
        <f t="shared" si="228"/>
        <v>269705.39056709659</v>
      </c>
      <c r="AN102">
        <f t="shared" si="229"/>
        <v>338408.0218146515</v>
      </c>
      <c r="AO102">
        <f t="shared" si="230"/>
        <v>411924.97297517216</v>
      </c>
      <c r="AP102">
        <f t="shared" si="231"/>
        <v>490593.60632727138</v>
      </c>
      <c r="AQ102">
        <f t="shared" si="232"/>
        <v>574774.92472789693</v>
      </c>
      <c r="AR102">
        <f t="shared" si="233"/>
        <v>664855.22822001774</v>
      </c>
      <c r="AS102">
        <f t="shared" si="234"/>
        <v>761247.88672668592</v>
      </c>
      <c r="AT102">
        <f t="shared" si="235"/>
        <v>864395.23696619621</v>
      </c>
      <c r="AU102">
        <f t="shared" si="236"/>
        <v>974770.61229310662</v>
      </c>
      <c r="AV102">
        <f t="shared" si="237"/>
        <v>1092880.5147798676</v>
      </c>
      <c r="AW102">
        <f t="shared" si="238"/>
        <v>1219266.939506534</v>
      </c>
      <c r="AX102">
        <f t="shared" si="239"/>
        <v>1354509.8617245071</v>
      </c>
      <c r="AY102">
        <f t="shared" si="240"/>
        <v>1499229.8983076573</v>
      </c>
      <c r="AZ102">
        <f t="shared" si="241"/>
        <v>1654091.1557039791</v>
      </c>
      <c r="BA102">
        <f t="shared" si="242"/>
        <v>1819804.2774567564</v>
      </c>
      <c r="BB102">
        <f t="shared" si="243"/>
        <v>1997129.7052800159</v>
      </c>
      <c r="BC102">
        <f t="shared" si="244"/>
        <v>2186881.168653043</v>
      </c>
      <c r="BD102">
        <f t="shared" si="245"/>
        <v>2389929.4189473665</v>
      </c>
      <c r="BE102">
        <f t="shared" si="246"/>
        <v>2607206.2252217731</v>
      </c>
      <c r="BF102">
        <f t="shared" si="247"/>
        <v>2839708.6500216671</v>
      </c>
      <c r="BG102">
        <f t="shared" si="248"/>
        <v>3088503.6248040148</v>
      </c>
      <c r="BH102">
        <f t="shared" si="249"/>
        <v>3354732.8459840654</v>
      </c>
      <c r="BI102">
        <f t="shared" si="250"/>
        <v>3639618.0140713328</v>
      </c>
      <c r="BJ102">
        <f t="shared" si="251"/>
        <v>3944466.4399367361</v>
      </c>
    </row>
    <row r="103" spans="1:62" x14ac:dyDescent="0.3">
      <c r="D103">
        <f t="shared" si="200"/>
        <v>40935.740773623853</v>
      </c>
      <c r="E103">
        <f t="shared" si="256"/>
        <v>92378.028372287255</v>
      </c>
      <c r="F103">
        <f t="shared" si="256"/>
        <v>146473.74488831204</v>
      </c>
      <c r="G103">
        <f t="shared" si="256"/>
        <v>203359.75602787404</v>
      </c>
      <c r="H103">
        <f>(H102+4000)*1.00566-(0.00125*(H102+4000))</f>
        <v>263342.60717811331</v>
      </c>
      <c r="I103">
        <f t="shared" si="252"/>
        <v>327020.15225355583</v>
      </c>
      <c r="J103">
        <f t="shared" si="253"/>
        <v>394150.4614030341</v>
      </c>
      <c r="K103">
        <f t="shared" si="254"/>
        <v>464920.7525812735</v>
      </c>
      <c r="L103">
        <f t="shared" si="255"/>
        <v>540300.72879009927</v>
      </c>
      <c r="M103">
        <f t="shared" si="206"/>
        <v>620494.12591426529</v>
      </c>
      <c r="N103">
        <f t="shared" si="207"/>
        <v>705248.17382202204</v>
      </c>
      <c r="O103">
        <f t="shared" si="208"/>
        <v>794822.23969714961</v>
      </c>
      <c r="P103">
        <f t="shared" si="209"/>
        <v>889490.44110428751</v>
      </c>
      <c r="Q103">
        <f t="shared" si="210"/>
        <v>989542.48485271109</v>
      </c>
      <c r="R103">
        <f t="shared" si="211"/>
        <v>1097723.3626841465</v>
      </c>
      <c r="S103">
        <f t="shared" si="212"/>
        <v>1212556.4265690362</v>
      </c>
      <c r="T103">
        <f t="shared" si="213"/>
        <v>1334220.5430216081</v>
      </c>
      <c r="U103">
        <f t="shared" si="214"/>
        <v>1457137.3207275465</v>
      </c>
      <c r="V103">
        <f t="shared" si="215"/>
        <v>1585545.556878373</v>
      </c>
      <c r="W103">
        <f t="shared" si="216"/>
        <v>1720916.4255249498</v>
      </c>
      <c r="X103">
        <f t="shared" si="217"/>
        <v>1863627.4589247394</v>
      </c>
      <c r="Y103">
        <f t="shared" si="218"/>
        <v>2014076.6601277564</v>
      </c>
      <c r="Z103">
        <f t="shared" si="219"/>
        <v>2172683.6129568093</v>
      </c>
      <c r="AA103">
        <f t="shared" si="220"/>
        <v>2339890.6521737976</v>
      </c>
      <c r="AB103">
        <f t="shared" si="221"/>
        <v>2516164.0970955016</v>
      </c>
      <c r="AC103">
        <f t="shared" si="222"/>
        <v>2701995.5520992707</v>
      </c>
      <c r="AD103">
        <f t="shared" si="223"/>
        <v>2897903.2776455451</v>
      </c>
      <c r="AE103">
        <f t="shared" si="224"/>
        <v>3104433.6356408382</v>
      </c>
      <c r="AI103">
        <f t="shared" si="202"/>
        <v>41266.584747717628</v>
      </c>
      <c r="AJ103">
        <f t="shared" si="225"/>
        <v>93961.423109036143</v>
      </c>
      <c r="AK103">
        <f t="shared" si="226"/>
        <v>150348.83925124467</v>
      </c>
      <c r="AL103">
        <f t="shared" si="227"/>
        <v>210687.58965015647</v>
      </c>
      <c r="AM103">
        <f t="shared" si="228"/>
        <v>275254.56307770638</v>
      </c>
      <c r="AN103">
        <f t="shared" si="229"/>
        <v>344346.05121812242</v>
      </c>
      <c r="AO103">
        <f t="shared" si="230"/>
        <v>418279.10832221166</v>
      </c>
      <c r="AP103">
        <f t="shared" si="231"/>
        <v>497393.00613908371</v>
      </c>
      <c r="AQ103">
        <f t="shared" si="232"/>
        <v>582050.79080185678</v>
      </c>
      <c r="AR103">
        <f t="shared" si="233"/>
        <v>672640.94881174306</v>
      </c>
      <c r="AS103">
        <f t="shared" si="234"/>
        <v>769579.18976555893</v>
      </c>
      <c r="AT103">
        <f t="shared" si="235"/>
        <v>873310.3540074249</v>
      </c>
      <c r="AU103">
        <f t="shared" si="236"/>
        <v>984310.45395868563</v>
      </c>
      <c r="AV103">
        <f t="shared" si="237"/>
        <v>1103088.8584935216</v>
      </c>
      <c r="AW103">
        <f t="shared" si="238"/>
        <v>1230190.6303841411</v>
      </c>
      <c r="AX103">
        <f t="shared" si="239"/>
        <v>1366199.0275418677</v>
      </c>
      <c r="AY103">
        <f t="shared" si="240"/>
        <v>1511738.1795320786</v>
      </c>
      <c r="AZ103">
        <f t="shared" si="241"/>
        <v>1667475.9516452637</v>
      </c>
      <c r="BA103">
        <f t="shared" si="242"/>
        <v>1834127.0096671616</v>
      </c>
      <c r="BB103">
        <f t="shared" si="243"/>
        <v>2012456.0994119009</v>
      </c>
      <c r="BC103">
        <f t="shared" si="244"/>
        <v>2203281.556067619</v>
      </c>
      <c r="BD103">
        <f t="shared" si="245"/>
        <v>2407479.0594586087</v>
      </c>
      <c r="BE103">
        <f t="shared" si="246"/>
        <v>2625985.6524565285</v>
      </c>
      <c r="BF103">
        <f t="shared" si="247"/>
        <v>2859804.0409807898</v>
      </c>
      <c r="BG103">
        <f t="shared" si="248"/>
        <v>3110007.1953204055</v>
      </c>
      <c r="BH103">
        <f t="shared" si="249"/>
        <v>3377743.2738923351</v>
      </c>
      <c r="BI103">
        <f t="shared" si="250"/>
        <v>3664240.8920309767</v>
      </c>
      <c r="BJ103">
        <f t="shared" si="251"/>
        <v>3970814.7599867783</v>
      </c>
    </row>
    <row r="104" spans="1:62" x14ac:dyDescent="0.3">
      <c r="D104">
        <f t="shared" si="200"/>
        <v>45124.470884873073</v>
      </c>
      <c r="E104">
        <f t="shared" si="256"/>
        <v>96782.816091450863</v>
      </c>
      <c r="F104">
        <f t="shared" si="256"/>
        <v>151105.73461684294</v>
      </c>
      <c r="G104">
        <f t="shared" si="256"/>
        <v>208230.66700319113</v>
      </c>
      <c r="H104">
        <f>(H103+4000)*1.00566-(0.00125*(H103+4000))</f>
        <v>268521.58807576878</v>
      </c>
      <c r="I104">
        <f t="shared" si="252"/>
        <v>332479.95112499403</v>
      </c>
      <c r="J104">
        <f t="shared" si="253"/>
        <v>399906.30493782146</v>
      </c>
      <c r="K104">
        <f t="shared" si="254"/>
        <v>470988.69310015696</v>
      </c>
      <c r="L104">
        <f t="shared" si="255"/>
        <v>546815.39815710951</v>
      </c>
      <c r="M104">
        <f t="shared" si="206"/>
        <v>627379.2887759892</v>
      </c>
      <c r="N104">
        <f t="shared" si="207"/>
        <v>712524.90038507979</v>
      </c>
      <c r="O104">
        <f t="shared" si="208"/>
        <v>802512.79844455037</v>
      </c>
      <c r="P104">
        <f t="shared" si="209"/>
        <v>897618.36694218928</v>
      </c>
      <c r="Q104">
        <f t="shared" si="210"/>
        <v>998132.65113273065</v>
      </c>
      <c r="R104">
        <f t="shared" si="211"/>
        <v>1107041.3813558228</v>
      </c>
      <c r="S104">
        <f t="shared" si="212"/>
        <v>1222428.744440085</v>
      </c>
      <c r="T104">
        <f t="shared" si="213"/>
        <v>1344680.1335827736</v>
      </c>
      <c r="U104">
        <f t="shared" si="214"/>
        <v>1467580.9363119551</v>
      </c>
      <c r="V104">
        <f t="shared" si="215"/>
        <v>1596555.4527842067</v>
      </c>
      <c r="W104">
        <f t="shared" si="216"/>
        <v>1732523.3069615148</v>
      </c>
      <c r="X104">
        <f t="shared" si="217"/>
        <v>1875863.6960185973</v>
      </c>
      <c r="Y104">
        <f t="shared" si="218"/>
        <v>2026976.3781989198</v>
      </c>
      <c r="Z104">
        <f t="shared" si="219"/>
        <v>2186282.7876899489</v>
      </c>
      <c r="AA104">
        <f t="shared" si="220"/>
        <v>2354227.2099498841</v>
      </c>
      <c r="AB104">
        <f t="shared" si="221"/>
        <v>2531278.0207636924</v>
      </c>
      <c r="AC104">
        <f t="shared" si="222"/>
        <v>2717928.9924840289</v>
      </c>
      <c r="AD104">
        <f t="shared" si="223"/>
        <v>2914700.6710999617</v>
      </c>
      <c r="AE104">
        <f t="shared" si="224"/>
        <v>3122141.827974014</v>
      </c>
      <c r="AI104">
        <f t="shared" si="202"/>
        <v>45522.793617389711</v>
      </c>
      <c r="AJ104">
        <f t="shared" si="225"/>
        <v>98515.884763833281</v>
      </c>
      <c r="AK104">
        <f t="shared" si="226"/>
        <v>155222.45368140671</v>
      </c>
      <c r="AL104">
        <f t="shared" si="227"/>
        <v>215902.72140757635</v>
      </c>
      <c r="AM104">
        <f t="shared" si="228"/>
        <v>280835.1439047262</v>
      </c>
      <c r="AN104">
        <f t="shared" si="229"/>
        <v>350317.68986801698</v>
      </c>
      <c r="AO104">
        <f t="shared" si="230"/>
        <v>424669.2080753154</v>
      </c>
      <c r="AP104">
        <f t="shared" si="231"/>
        <v>504230.89055383095</v>
      </c>
      <c r="AQ104">
        <f t="shared" si="232"/>
        <v>589367.83827779524</v>
      </c>
      <c r="AR104">
        <f t="shared" si="233"/>
        <v>680470.7365820175</v>
      </c>
      <c r="AS104">
        <f t="shared" si="234"/>
        <v>777957.64797963202</v>
      </c>
      <c r="AT104">
        <f t="shared" si="235"/>
        <v>882275.93061110692</v>
      </c>
      <c r="AU104">
        <f t="shared" si="236"/>
        <v>993904.29112809175</v>
      </c>
      <c r="AV104">
        <f t="shared" si="237"/>
        <v>1113354.9814325948</v>
      </c>
      <c r="AW104">
        <f t="shared" si="238"/>
        <v>1241176.1493521153</v>
      </c>
      <c r="AX104">
        <f t="shared" si="239"/>
        <v>1377954.3540377547</v>
      </c>
      <c r="AY104">
        <f t="shared" si="240"/>
        <v>1524317.2576282301</v>
      </c>
      <c r="AZ104">
        <f t="shared" si="241"/>
        <v>1680936.505531576</v>
      </c>
      <c r="BA104">
        <f t="shared" si="242"/>
        <v>1848530.8085418777</v>
      </c>
      <c r="BB104">
        <f t="shared" si="243"/>
        <v>2027869.2409345722</v>
      </c>
      <c r="BC104">
        <f t="shared" si="244"/>
        <v>2219774.7696749619</v>
      </c>
      <c r="BD104">
        <f t="shared" si="245"/>
        <v>2425128.0309351445</v>
      </c>
      <c r="BE104">
        <f t="shared" si="246"/>
        <v>2644871.3712494327</v>
      </c>
      <c r="BF104">
        <f t="shared" si="247"/>
        <v>2880013.1718527409</v>
      </c>
      <c r="BG104">
        <f t="shared" si="248"/>
        <v>3131632.4760459191</v>
      </c>
      <c r="BH104">
        <f t="shared" si="249"/>
        <v>3400883.9408225659</v>
      </c>
      <c r="BI104">
        <f t="shared" si="250"/>
        <v>3689003.1354798721</v>
      </c>
      <c r="BJ104">
        <f t="shared" si="251"/>
        <v>3997312.2115283036</v>
      </c>
    </row>
    <row r="105" spans="1:62" x14ac:dyDescent="0.3">
      <c r="D105">
        <f t="shared" si="200"/>
        <v>49330.793662589538</v>
      </c>
      <c r="E105">
        <f t="shared" si="256"/>
        <v>101206.10391903495</v>
      </c>
      <c r="F105">
        <f t="shared" si="256"/>
        <v>155757.17870223368</v>
      </c>
      <c r="G105">
        <f t="shared" si="256"/>
        <v>213122.03580460453</v>
      </c>
      <c r="H105">
        <f>(H104+4000)*1.00566-(0.00125*(H104+4000))</f>
        <v>273723.40827918291</v>
      </c>
      <c r="I105">
        <f t="shared" si="252"/>
        <v>337963.82770945522</v>
      </c>
      <c r="J105">
        <f t="shared" si="253"/>
        <v>405687.53174259723</v>
      </c>
      <c r="K105">
        <f t="shared" si="254"/>
        <v>477083.39323672862</v>
      </c>
      <c r="L105">
        <f t="shared" si="255"/>
        <v>553360.16529659543</v>
      </c>
      <c r="M105">
        <f>(M104+4000)*1.00566-(0.00104*(M104+4000))</f>
        <v>634296.26109013427</v>
      </c>
      <c r="N105">
        <f>(N104+4000)*1.00566-(0.00104*(N104+4000))</f>
        <v>719835.24542485888</v>
      </c>
      <c r="O105">
        <f>(O104+4000)*1.00566-(0.00104*(O104+4000))</f>
        <v>810238.88757336419</v>
      </c>
      <c r="P105">
        <f>(P104+4000)*1.00566-(0.00104*(P104+4000))</f>
        <v>905783.84379746229</v>
      </c>
      <c r="Q105">
        <f>(Q104+4000)*1.00566-(0.000833*(Q104+4000))</f>
        <v>1006969.9454397482</v>
      </c>
      <c r="R105">
        <f t="shared" si="211"/>
        <v>1116404.3781036274</v>
      </c>
      <c r="S105">
        <f t="shared" si="212"/>
        <v>1232348.7159894973</v>
      </c>
      <c r="T105">
        <f t="shared" si="213"/>
        <v>1355190.2125875778</v>
      </c>
      <c r="U105">
        <f t="shared" si="214"/>
        <v>1478070.6082410908</v>
      </c>
      <c r="V105">
        <f t="shared" si="215"/>
        <v>1607613.9023309851</v>
      </c>
      <c r="W105" s="3">
        <f t="shared" si="216"/>
        <v>1744181.3747452151</v>
      </c>
      <c r="X105">
        <f t="shared" si="217"/>
        <v>1888153.8949180394</v>
      </c>
      <c r="Y105">
        <f t="shared" si="218"/>
        <v>2039932.9840267771</v>
      </c>
      <c r="Z105">
        <f t="shared" si="219"/>
        <v>2199941.9347836617</v>
      </c>
      <c r="AA105">
        <f t="shared" si="220"/>
        <v>2368626.9919457631</v>
      </c>
      <c r="AB105" s="3">
        <f t="shared" si="221"/>
        <v>2546458.5968352603</v>
      </c>
      <c r="AC105">
        <f t="shared" si="222"/>
        <v>2733932.6993408832</v>
      </c>
      <c r="AD105">
        <f t="shared" si="223"/>
        <v>2931572.1410595127</v>
      </c>
      <c r="AE105">
        <f t="shared" si="224"/>
        <v>3139928.1134353792</v>
      </c>
      <c r="AI105">
        <f t="shared" si="202"/>
        <v>49803.092629264138</v>
      </c>
      <c r="AJ105">
        <f t="shared" si="225"/>
        <v>103096.12467159658</v>
      </c>
      <c r="AK105">
        <f t="shared" si="226"/>
        <v>160123.65276924346</v>
      </c>
      <c r="AL105">
        <f t="shared" si="227"/>
        <v>221147.37081074322</v>
      </c>
      <c r="AM105">
        <f t="shared" si="228"/>
        <v>286447.31081922696</v>
      </c>
      <c r="AN105">
        <f t="shared" si="229"/>
        <v>356323.12799266994</v>
      </c>
      <c r="AO105">
        <f t="shared" si="230"/>
        <v>431095.47579302167</v>
      </c>
      <c r="AP105">
        <f t="shared" si="231"/>
        <v>511107.47739436565</v>
      </c>
      <c r="AQ105">
        <f t="shared" si="232"/>
        <v>596726.30024244753</v>
      </c>
      <c r="AR105">
        <f t="shared" si="233"/>
        <v>688344.8409510717</v>
      </c>
      <c r="AS105">
        <f t="shared" si="234"/>
        <v>786383.52826719673</v>
      </c>
      <c r="AT105">
        <f t="shared" si="235"/>
        <v>891292.25237836572</v>
      </c>
      <c r="AU105">
        <f t="shared" si="236"/>
        <v>1003552.4294158767</v>
      </c>
      <c r="AV105">
        <f t="shared" si="237"/>
        <v>1123679.2106275032</v>
      </c>
      <c r="AW105">
        <f t="shared" si="238"/>
        <v>1252223.8463574483</v>
      </c>
      <c r="AX105">
        <f t="shared" si="239"/>
        <v>1389776.2156816083</v>
      </c>
      <c r="AY105">
        <f t="shared" si="240"/>
        <v>1536967.5333064059</v>
      </c>
      <c r="AZ105">
        <f t="shared" si="241"/>
        <v>1694473.2461528848</v>
      </c>
      <c r="BA105">
        <f t="shared" si="242"/>
        <v>1863016.1329182247</v>
      </c>
      <c r="BB105" s="3">
        <f t="shared" si="243"/>
        <v>2043369.6208382619</v>
      </c>
      <c r="BC105">
        <f t="shared" si="244"/>
        <v>2236361.3348713224</v>
      </c>
      <c r="BD105">
        <f t="shared" si="245"/>
        <v>2442876.8955902373</v>
      </c>
      <c r="BE105">
        <f t="shared" si="246"/>
        <v>2663863.9832107043</v>
      </c>
      <c r="BF105">
        <f t="shared" si="247"/>
        <v>2900336.6864054273</v>
      </c>
      <c r="BG105" s="3">
        <f t="shared" si="248"/>
        <v>3153380.1558603388</v>
      </c>
      <c r="BH105">
        <f t="shared" si="249"/>
        <v>3424155.5839276216</v>
      </c>
      <c r="BI105">
        <f t="shared" si="250"/>
        <v>3713905.5332266884</v>
      </c>
      <c r="BJ105">
        <f t="shared" si="251"/>
        <v>4023959.638645554</v>
      </c>
    </row>
    <row r="108" spans="1:62" x14ac:dyDescent="0.3">
      <c r="D108" t="s">
        <v>60</v>
      </c>
      <c r="AI108" t="s">
        <v>60</v>
      </c>
      <c r="AJ108" t="s">
        <v>66</v>
      </c>
    </row>
    <row r="109" spans="1:62" x14ac:dyDescent="0.3">
      <c r="D109" t="s">
        <v>61</v>
      </c>
      <c r="AI109" t="s">
        <v>61</v>
      </c>
    </row>
    <row r="110" spans="1:62" x14ac:dyDescent="0.3">
      <c r="D110" t="s">
        <v>54</v>
      </c>
      <c r="AI110" t="s">
        <v>54</v>
      </c>
    </row>
    <row r="111" spans="1:62" x14ac:dyDescent="0.3">
      <c r="D111" t="s">
        <v>15</v>
      </c>
      <c r="E111" t="s">
        <v>16</v>
      </c>
      <c r="F111" t="s">
        <v>17</v>
      </c>
      <c r="G111" t="s">
        <v>18</v>
      </c>
      <c r="H111" t="s">
        <v>19</v>
      </c>
      <c r="I111" t="s">
        <v>20</v>
      </c>
      <c r="J111" t="s">
        <v>21</v>
      </c>
      <c r="K111" t="s">
        <v>22</v>
      </c>
      <c r="L111" t="s">
        <v>23</v>
      </c>
      <c r="M111" t="s">
        <v>24</v>
      </c>
      <c r="N111" t="s">
        <v>25</v>
      </c>
      <c r="O111" t="s">
        <v>26</v>
      </c>
      <c r="P111" t="s">
        <v>27</v>
      </c>
      <c r="Q111" t="s">
        <v>28</v>
      </c>
      <c r="R111" t="s">
        <v>29</v>
      </c>
      <c r="S111" t="s">
        <v>30</v>
      </c>
      <c r="T111" t="s">
        <v>31</v>
      </c>
      <c r="U111" t="s">
        <v>32</v>
      </c>
      <c r="V111" t="s">
        <v>33</v>
      </c>
      <c r="W111" t="s">
        <v>34</v>
      </c>
      <c r="X111" t="s">
        <v>35</v>
      </c>
      <c r="Y111" t="s">
        <v>36</v>
      </c>
      <c r="Z111" t="s">
        <v>37</v>
      </c>
      <c r="AA111" t="s">
        <v>38</v>
      </c>
      <c r="AB111" t="s">
        <v>39</v>
      </c>
      <c r="AC111" t="s">
        <v>67</v>
      </c>
      <c r="AD111" t="s">
        <v>68</v>
      </c>
      <c r="AE111" t="s">
        <v>69</v>
      </c>
      <c r="AI111" t="s">
        <v>15</v>
      </c>
      <c r="AJ111" t="s">
        <v>16</v>
      </c>
      <c r="AK111" t="s">
        <v>17</v>
      </c>
      <c r="AL111" t="s">
        <v>18</v>
      </c>
      <c r="AM111" t="s">
        <v>19</v>
      </c>
      <c r="AN111" t="s">
        <v>20</v>
      </c>
      <c r="AO111" t="s">
        <v>21</v>
      </c>
      <c r="AP111" t="s">
        <v>22</v>
      </c>
      <c r="AQ111" t="s">
        <v>23</v>
      </c>
      <c r="AR111" t="s">
        <v>24</v>
      </c>
      <c r="AS111" t="s">
        <v>25</v>
      </c>
      <c r="AT111" t="s">
        <v>26</v>
      </c>
      <c r="AU111" t="s">
        <v>27</v>
      </c>
      <c r="AV111" t="s">
        <v>28</v>
      </c>
      <c r="AW111" t="s">
        <v>29</v>
      </c>
      <c r="AX111" t="s">
        <v>30</v>
      </c>
      <c r="AY111" t="s">
        <v>31</v>
      </c>
      <c r="AZ111" t="s">
        <v>32</v>
      </c>
      <c r="BA111" t="s">
        <v>33</v>
      </c>
      <c r="BB111" t="s">
        <v>34</v>
      </c>
      <c r="BC111" t="s">
        <v>35</v>
      </c>
      <c r="BD111" t="s">
        <v>36</v>
      </c>
      <c r="BE111" t="s">
        <v>37</v>
      </c>
      <c r="BF111" t="s">
        <v>38</v>
      </c>
      <c r="BG111" t="s">
        <v>39</v>
      </c>
      <c r="BH111" t="s">
        <v>67</v>
      </c>
      <c r="BI111" t="s">
        <v>68</v>
      </c>
      <c r="BJ111" t="s">
        <v>69</v>
      </c>
    </row>
    <row r="112" spans="1:62" x14ac:dyDescent="0.3">
      <c r="D112">
        <v>0</v>
      </c>
      <c r="AI112">
        <v>0</v>
      </c>
    </row>
    <row r="113" spans="1:62" x14ac:dyDescent="0.3">
      <c r="D113">
        <f t="shared" ref="D113:D124" si="257">(D112+4000)*1.00644-(0.00146*(D112+4000))</f>
        <v>4019.92</v>
      </c>
      <c r="E113">
        <f>(D124+4000)*1.00644-(0.00146*(D124+4000))</f>
        <v>53849.328862794224</v>
      </c>
      <c r="F113">
        <f>(E124+4000)*1.00644-(0.00146*(E124+4000))</f>
        <v>106739.47451425793</v>
      </c>
      <c r="G113">
        <f>(F124+4000)*1.00644-(0.00146*(F124+4000))</f>
        <v>162878.36058323833</v>
      </c>
      <c r="H113">
        <f>(G124+4000)*1.00644-(0.00146*(G124+4000))</f>
        <v>222465.53869074929</v>
      </c>
      <c r="I113">
        <f>(H124+4000)*1.00644-(0.00125*(H124+4000))</f>
        <v>286113.1931923377</v>
      </c>
      <c r="J113">
        <f>(I124+4000)*1.00644-(0.00125*(I124+4000))</f>
        <v>354100.37161350541</v>
      </c>
      <c r="K113">
        <f>(J124+4000)*1.00644-(0.00125*(J124+4000))</f>
        <v>426444.77354020008</v>
      </c>
      <c r="L113">
        <f t="shared" ref="L113:Q113" si="258">(K124+4000)*1.00644-(0.00104*(K124+4000))</f>
        <v>503530.82217120181</v>
      </c>
      <c r="M113">
        <f t="shared" si="258"/>
        <v>586864.96565762535</v>
      </c>
      <c r="N113">
        <f t="shared" si="258"/>
        <v>675762.46544963995</v>
      </c>
      <c r="O113">
        <f t="shared" si="258"/>
        <v>770594.72913707688</v>
      </c>
      <c r="P113">
        <f t="shared" si="258"/>
        <v>871757.95934179635</v>
      </c>
      <c r="Q113">
        <f t="shared" si="258"/>
        <v>979674.80902476783</v>
      </c>
      <c r="R113">
        <f>(Q124+4000)*1.00644-(0.000833*(Q124+4000))</f>
        <v>1097014.4418727038</v>
      </c>
      <c r="S113">
        <f>(R124+4000)*1.00644-(0.000833*(R124+4000))</f>
        <v>1222931.1414076278</v>
      </c>
      <c r="T113">
        <f>(S124+4000)*1.00644-(0.000833*(S124+4000))</f>
        <v>1357586.2347364223</v>
      </c>
      <c r="U113">
        <f t="shared" ref="U113:AE113" si="259">(T124+4000)*1.00644-(0.00125*(T124+4000))</f>
        <v>1500963.4806495667</v>
      </c>
      <c r="V113">
        <f t="shared" si="259"/>
        <v>1646809.0781304806</v>
      </c>
      <c r="W113">
        <f t="shared" si="259"/>
        <v>1802001.7595804443</v>
      </c>
      <c r="X113">
        <f t="shared" si="259"/>
        <v>1967140.5693328737</v>
      </c>
      <c r="Y113">
        <f t="shared" si="259"/>
        <v>2142862.9438137971</v>
      </c>
      <c r="Z113">
        <f t="shared" si="259"/>
        <v>2329847.1720488523</v>
      </c>
      <c r="AA113">
        <f t="shared" si="259"/>
        <v>2528815.0138614797</v>
      </c>
      <c r="AB113">
        <f t="shared" si="259"/>
        <v>2740534.4858685434</v>
      </c>
      <c r="AC113">
        <f t="shared" si="259"/>
        <v>2965822.8260273677</v>
      </c>
      <c r="AD113">
        <f t="shared" si="259"/>
        <v>3205549.6481773122</v>
      </c>
      <c r="AE113">
        <f t="shared" si="259"/>
        <v>3460640.2987524681</v>
      </c>
      <c r="AI113">
        <f t="shared" ref="AI113:AI124" si="260">(AI112+4000)*1.00644-0</f>
        <v>4025.76</v>
      </c>
      <c r="AJ113">
        <f t="shared" ref="AJ113:BJ113" si="261">(AI124+4000)*1.00644-0</f>
        <v>54405.628898176365</v>
      </c>
      <c r="AK113">
        <f t="shared" si="261"/>
        <v>108819.76039490792</v>
      </c>
      <c r="AL113">
        <f t="shared" si="261"/>
        <v>167591.20564276905</v>
      </c>
      <c r="AM113">
        <f t="shared" si="261"/>
        <v>231068.88472195837</v>
      </c>
      <c r="AN113">
        <f t="shared" si="261"/>
        <v>299629.65814325167</v>
      </c>
      <c r="AO113">
        <f t="shared" si="261"/>
        <v>373680.56423044304</v>
      </c>
      <c r="AP113">
        <f t="shared" si="261"/>
        <v>453661.23566538614</v>
      </c>
      <c r="AQ113">
        <f t="shared" si="261"/>
        <v>540046.50954241678</v>
      </c>
      <c r="AR113">
        <f t="shared" si="261"/>
        <v>633349.24642778549</v>
      </c>
      <c r="AS113">
        <f t="shared" si="261"/>
        <v>734123.37516056548</v>
      </c>
      <c r="AT113">
        <f t="shared" si="261"/>
        <v>842967.18147171161</v>
      </c>
      <c r="AU113">
        <f t="shared" si="261"/>
        <v>960526.85994546534</v>
      </c>
      <c r="AV113">
        <f t="shared" si="261"/>
        <v>1087500.350410739</v>
      </c>
      <c r="AW113">
        <f t="shared" si="261"/>
        <v>1224641.4815387414</v>
      </c>
      <c r="AX113">
        <f t="shared" si="261"/>
        <v>1372764.4462469674</v>
      </c>
      <c r="AY113">
        <f t="shared" si="261"/>
        <v>1532748.6354795611</v>
      </c>
      <c r="AZ113">
        <f t="shared" si="261"/>
        <v>1705543.8590617219</v>
      </c>
      <c r="BA113">
        <f t="shared" si="261"/>
        <v>1892175.984623827</v>
      </c>
      <c r="BB113">
        <f t="shared" si="261"/>
        <v>2093753.0280729916</v>
      </c>
      <c r="BC113">
        <f t="shared" si="261"/>
        <v>2311471.731770576</v>
      </c>
      <c r="BD113">
        <f t="shared" si="261"/>
        <v>2546624.669469608</v>
      </c>
      <c r="BE113">
        <f t="shared" si="261"/>
        <v>2800607.9201934114</v>
      </c>
      <c r="BF113">
        <f t="shared" si="261"/>
        <v>3074929.3566144696</v>
      </c>
      <c r="BG113">
        <f t="shared" si="261"/>
        <v>3371217.5971407974</v>
      </c>
      <c r="BH113">
        <f t="shared" si="261"/>
        <v>3691231.6748574316</v>
      </c>
      <c r="BI113">
        <f t="shared" si="261"/>
        <v>4036871.4807265671</v>
      </c>
      <c r="BJ113">
        <f t="shared" si="261"/>
        <v>4410189.0430465583</v>
      </c>
    </row>
    <row r="114" spans="1:62" x14ac:dyDescent="0.3">
      <c r="D114">
        <f t="shared" si="257"/>
        <v>8059.8592015999993</v>
      </c>
      <c r="E114">
        <f t="shared" ref="E114:H118" si="262">(E113+4000)*1.00644-(0.00146*(E113+4000))</f>
        <v>58137.418520530933</v>
      </c>
      <c r="F114">
        <f t="shared" si="262"/>
        <v>111290.95709733893</v>
      </c>
      <c r="G114">
        <f t="shared" si="262"/>
        <v>167709.41481894287</v>
      </c>
      <c r="H114">
        <f t="shared" si="262"/>
        <v>227593.33707342923</v>
      </c>
      <c r="I114">
        <f t="shared" ref="I114:I124" si="263">(I113+4000)*1.00644-(0.00125*(I113+4000))</f>
        <v>291618.88066500594</v>
      </c>
      <c r="J114">
        <f t="shared" ref="J114:J124" si="264">(J113+4000)*1.00644-(0.00125*(J113+4000))</f>
        <v>359958.91254217952</v>
      </c>
      <c r="K114">
        <f t="shared" ref="K114:K124" si="265">(K113+4000)*1.00644-(0.00125*(K113+4000))</f>
        <v>432678.78191487375</v>
      </c>
      <c r="L114">
        <f t="shared" ref="L114:Q115" si="266">(L113+4000)*1.00644-(0.00104*(L113+4000))</f>
        <v>510271.48861092632</v>
      </c>
      <c r="M114">
        <f t="shared" si="266"/>
        <v>594055.63647217653</v>
      </c>
      <c r="N114">
        <f t="shared" si="266"/>
        <v>683433.18276306801</v>
      </c>
      <c r="O114">
        <f t="shared" si="266"/>
        <v>778777.54067441716</v>
      </c>
      <c r="P114">
        <f t="shared" si="266"/>
        <v>880487.05232224206</v>
      </c>
      <c r="Q114">
        <f t="shared" si="266"/>
        <v>988986.65299350151</v>
      </c>
      <c r="R114">
        <f t="shared" ref="R114:R124" si="267">(R113+4000)*1.00644-(0.000833*(R113+4000))</f>
        <v>1107187.8298482841</v>
      </c>
      <c r="S114">
        <f t="shared" ref="S114:S124" si="268">(S113+4000)*1.00644-(0.000833*(S113+4000))</f>
        <v>1233810.5443175004</v>
      </c>
      <c r="T114">
        <f t="shared" ref="T114:T124" si="269">(T113+4000)*1.00644-(0.000833*(T113+4000))</f>
        <v>1369220.6487545895</v>
      </c>
      <c r="U114">
        <f t="shared" ref="U114:U124" si="270">(U113+4000)*1.00644-(0.00125*(U113+4000))</f>
        <v>1512774.2411141382</v>
      </c>
      <c r="V114">
        <f t="shared" ref="V114:V124" si="271">(V113+4000)*1.00644-(0.00125*(V113+4000))</f>
        <v>1659376.7772459777</v>
      </c>
      <c r="W114">
        <f t="shared" ref="W114:W124" si="272">(W113+4000)*1.00644-(0.00125*(W113+4000))</f>
        <v>1815374.9087126667</v>
      </c>
      <c r="X114">
        <f t="shared" ref="X114:X124" si="273">(X113+4000)*1.00644-(0.00125*(X113+4000))</f>
        <v>1981370.7888877115</v>
      </c>
      <c r="Y114">
        <f t="shared" ref="Y114:Y124" si="274">(Y113+4000)*1.00644-(0.00125*(Y113+4000))</f>
        <v>2158005.1624921905</v>
      </c>
      <c r="Z114">
        <f t="shared" ref="Z114:Z124" si="275">(Z113+4000)*1.00644-(0.00125*(Z113+4000))</f>
        <v>2345959.8388717859</v>
      </c>
      <c r="AA114">
        <f t="shared" ref="AA114:AA124" si="276">(AA113+4000)*1.00644-(0.00125*(AA113+4000))</f>
        <v>2545960.3237834205</v>
      </c>
      <c r="AB114">
        <f t="shared" ref="AB114:AB124" si="277">(AB113+4000)*1.00644-(0.00125*(AB113+4000))</f>
        <v>2758778.6198502015</v>
      </c>
      <c r="AC114">
        <f t="shared" ref="AC114:AC124" si="278">(AC113+4000)*1.00644-(0.00125*(AC113+4000))</f>
        <v>2985236.2064944496</v>
      </c>
      <c r="AD114">
        <f t="shared" ref="AD114:AD124" si="279">(AD113+4000)*1.00644-(0.00125*(AD113+4000))</f>
        <v>3226207.2108513527</v>
      </c>
      <c r="AE114">
        <f t="shared" ref="AE114:AE124" si="280">(AE113+4000)*1.00644-(0.00125*(AE113+4000))</f>
        <v>3482621.7819029936</v>
      </c>
      <c r="AI114">
        <f t="shared" si="260"/>
        <v>8077.4458943999998</v>
      </c>
      <c r="AJ114">
        <f t="shared" ref="AJ114:AJ124" si="281">(AJ113+4000)*1.00644-0</f>
        <v>58781.761148280617</v>
      </c>
      <c r="AK114">
        <f t="shared" ref="AK114:AK124" si="282">(AK113+4000)*1.00644-0</f>
        <v>113546.31965185112</v>
      </c>
      <c r="AL114">
        <f t="shared" ref="AL114:AL124" si="283">(AL113+4000)*1.00644-0</f>
        <v>172696.25300710849</v>
      </c>
      <c r="AM114">
        <f t="shared" ref="AM114:AM124" si="284">(AM113+4000)*1.00644-0</f>
        <v>236582.72833956778</v>
      </c>
      <c r="AN114">
        <f t="shared" ref="AN114:AN124" si="285">(AN113+4000)*1.00644-0</f>
        <v>305585.03314169421</v>
      </c>
      <c r="AO114">
        <f t="shared" ref="AO114:AO124" si="286">(AO113+4000)*1.00644-0</f>
        <v>380112.82706408709</v>
      </c>
      <c r="AP114">
        <f t="shared" ref="AP114:AP124" si="287">(AP113+4000)*1.00644-0</f>
        <v>460608.57402307121</v>
      </c>
      <c r="AQ114">
        <f t="shared" ref="AQ114:AQ124" si="288">(AQ113+4000)*1.00644-0</f>
        <v>547550.16906386998</v>
      </c>
      <c r="AR114">
        <f t="shared" ref="AR114:AR124" si="289">(AR113+4000)*1.00644-0</f>
        <v>641453.77557478042</v>
      </c>
      <c r="AS114">
        <f t="shared" ref="AS114:AS124" si="290">(AS113+4000)*1.00644-0</f>
        <v>742876.88969659957</v>
      </c>
      <c r="AT114">
        <f t="shared" ref="AT114:AT124" si="291">(AT113+4000)*1.00644-0</f>
        <v>852421.65012038941</v>
      </c>
      <c r="AU114">
        <f t="shared" ref="AU114:AU124" si="292">(AU113+4000)*1.00644-0</f>
        <v>970738.41292351414</v>
      </c>
      <c r="AV114">
        <f t="shared" ref="AV114:AV124" si="293">(AV113+4000)*1.00644-0</f>
        <v>1098529.6126673841</v>
      </c>
      <c r="AW114">
        <f t="shared" ref="AW114:AW124" si="294">(AW113+4000)*1.00644-0</f>
        <v>1236553.9326798508</v>
      </c>
      <c r="AX114">
        <f t="shared" ref="AX114:AX124" si="295">(AX113+4000)*1.00644-0</f>
        <v>1385630.8092807978</v>
      </c>
      <c r="AY114">
        <f t="shared" ref="AY114:AY124" si="296">(AY113+4000)*1.00644-0</f>
        <v>1546645.2966920494</v>
      </c>
      <c r="AZ114">
        <f t="shared" ref="AZ114:AZ124" si="297">(AZ113+4000)*1.00644-0</f>
        <v>1720553.3215140793</v>
      </c>
      <c r="BA114">
        <f t="shared" ref="BA114:BA124" si="298">(BA113+4000)*1.00644-0</f>
        <v>1908387.3579648044</v>
      </c>
      <c r="BB114">
        <f t="shared" ref="BB114:BB124" si="299">(BB113+4000)*1.00644-0</f>
        <v>2111262.5575737813</v>
      </c>
      <c r="BC114">
        <f t="shared" ref="BC114:BC124" si="300">(BC113+4000)*1.00644-0</f>
        <v>2330383.3697231784</v>
      </c>
      <c r="BD114">
        <f t="shared" ref="BD114:BD124" si="301">(BD113+4000)*1.00644-0</f>
        <v>2567050.6923409924</v>
      </c>
      <c r="BE114">
        <f t="shared" ref="BE114:BE124" si="302">(BE113+4000)*1.00644-0</f>
        <v>2822669.5951994569</v>
      </c>
      <c r="BF114">
        <f t="shared" ref="BF114:BF124" si="303">(BF113+4000)*1.00644-0</f>
        <v>3098757.6616710667</v>
      </c>
      <c r="BG114">
        <f t="shared" ref="BG114:BG124" si="304">(BG113+4000)*1.00644-0</f>
        <v>3396953.9984663841</v>
      </c>
      <c r="BH114">
        <f t="shared" ref="BH114:BH124" si="305">(BH113+4000)*1.00644-0</f>
        <v>3719028.9668435133</v>
      </c>
      <c r="BI114">
        <f t="shared" ref="BI114:BI124" si="306">(BI113+4000)*1.00644-0</f>
        <v>4066894.6930624461</v>
      </c>
      <c r="BJ114">
        <f t="shared" ref="BJ114:BJ124" si="307">(BJ113+4000)*1.00644-0</f>
        <v>4442616.4204837782</v>
      </c>
    </row>
    <row r="115" spans="1:62" x14ac:dyDescent="0.3">
      <c r="A115">
        <f>0.0175/12</f>
        <v>1.4583333333333334E-3</v>
      </c>
      <c r="B115">
        <v>1.75</v>
      </c>
      <c r="D115">
        <f t="shared" si="257"/>
        <v>12119.917300423969</v>
      </c>
      <c r="E115">
        <f t="shared" si="262"/>
        <v>62446.862864763178</v>
      </c>
      <c r="F115">
        <f t="shared" si="262"/>
        <v>115865.10606368368</v>
      </c>
      <c r="G115">
        <f t="shared" si="262"/>
        <v>172564.52770474119</v>
      </c>
      <c r="H115">
        <f t="shared" si="262"/>
        <v>232746.6718920549</v>
      </c>
      <c r="I115">
        <f t="shared" si="263"/>
        <v>297153.14265565731</v>
      </c>
      <c r="J115">
        <f t="shared" si="264"/>
        <v>365847.8592982734</v>
      </c>
      <c r="K115">
        <f t="shared" si="265"/>
        <v>438945.14479301195</v>
      </c>
      <c r="L115">
        <f t="shared" si="266"/>
        <v>517048.55464942532</v>
      </c>
      <c r="M115">
        <f t="shared" si="266"/>
        <v>601285.1369091263</v>
      </c>
      <c r="N115">
        <f t="shared" si="266"/>
        <v>691145.3219499886</v>
      </c>
      <c r="O115">
        <f t="shared" si="266"/>
        <v>787004.53939405899</v>
      </c>
      <c r="P115">
        <f t="shared" si="266"/>
        <v>889263.28240478213</v>
      </c>
      <c r="Q115">
        <f t="shared" si="266"/>
        <v>998348.7809196664</v>
      </c>
      <c r="R115">
        <f t="shared" si="267"/>
        <v>1117418.2600102436</v>
      </c>
      <c r="S115">
        <f t="shared" si="268"/>
        <v>1244750.9480394886</v>
      </c>
      <c r="T115">
        <f t="shared" si="269"/>
        <v>1380920.2969321564</v>
      </c>
      <c r="U115">
        <f t="shared" si="270"/>
        <v>1524646.2994255205</v>
      </c>
      <c r="V115">
        <f t="shared" si="271"/>
        <v>1672009.7027198842</v>
      </c>
      <c r="W115">
        <f t="shared" si="272"/>
        <v>1828817.4644888854</v>
      </c>
      <c r="X115">
        <f t="shared" si="273"/>
        <v>1995674.8632820386</v>
      </c>
      <c r="Y115">
        <f t="shared" si="274"/>
        <v>2173225.9692855254</v>
      </c>
      <c r="Z115">
        <f t="shared" si="275"/>
        <v>2362156.1304355306</v>
      </c>
      <c r="AA115">
        <f t="shared" si="276"/>
        <v>2563194.6178638567</v>
      </c>
      <c r="AB115">
        <f t="shared" si="277"/>
        <v>2777117.4408872244</v>
      </c>
      <c r="AC115">
        <f t="shared" si="278"/>
        <v>3004750.342406156</v>
      </c>
      <c r="AD115">
        <f t="shared" si="279"/>
        <v>3246971.986275671</v>
      </c>
      <c r="AE115">
        <f t="shared" si="280"/>
        <v>3504717.3489510701</v>
      </c>
      <c r="AI115">
        <f t="shared" si="260"/>
        <v>12155.224645959936</v>
      </c>
      <c r="AJ115">
        <f t="shared" si="281"/>
        <v>63186.075690075544</v>
      </c>
      <c r="AK115">
        <f t="shared" si="282"/>
        <v>118303.31795040905</v>
      </c>
      <c r="AL115">
        <f t="shared" si="283"/>
        <v>177834.17687647426</v>
      </c>
      <c r="AM115">
        <f t="shared" si="284"/>
        <v>242132.08111007459</v>
      </c>
      <c r="AN115">
        <f t="shared" si="285"/>
        <v>311578.76075512671</v>
      </c>
      <c r="AO115">
        <f t="shared" si="286"/>
        <v>386586.51367037982</v>
      </c>
      <c r="AP115">
        <f t="shared" si="287"/>
        <v>467600.65323977981</v>
      </c>
      <c r="AQ115">
        <f t="shared" si="288"/>
        <v>555102.15215264133</v>
      </c>
      <c r="AR115">
        <f t="shared" si="289"/>
        <v>649610.49788948195</v>
      </c>
      <c r="AS115">
        <f t="shared" si="290"/>
        <v>751686.77686624567</v>
      </c>
      <c r="AT115">
        <f t="shared" si="291"/>
        <v>861937.00554716471</v>
      </c>
      <c r="AU115">
        <f t="shared" si="292"/>
        <v>981015.72830274154</v>
      </c>
      <c r="AV115">
        <f t="shared" si="293"/>
        <v>1109629.903372962</v>
      </c>
      <c r="AW115">
        <f t="shared" si="294"/>
        <v>1248543.1000063091</v>
      </c>
      <c r="AX115">
        <f t="shared" si="295"/>
        <v>1398580.0316925661</v>
      </c>
      <c r="AY115">
        <f t="shared" si="296"/>
        <v>1560631.4524027461</v>
      </c>
      <c r="AZ115">
        <f t="shared" si="297"/>
        <v>1735659.4449046301</v>
      </c>
      <c r="BA115">
        <f t="shared" si="298"/>
        <v>1924703.1325500978</v>
      </c>
      <c r="BB115">
        <f t="shared" si="299"/>
        <v>2128884.8484445564</v>
      </c>
      <c r="BC115">
        <f t="shared" si="300"/>
        <v>2349416.7986241956</v>
      </c>
      <c r="BD115">
        <f t="shared" si="301"/>
        <v>2587608.2587996684</v>
      </c>
      <c r="BE115">
        <f t="shared" si="302"/>
        <v>2844873.3473925414</v>
      </c>
      <c r="BF115">
        <f t="shared" si="303"/>
        <v>3122739.4210122284</v>
      </c>
      <c r="BG115">
        <f t="shared" si="304"/>
        <v>3422856.1422165078</v>
      </c>
      <c r="BH115">
        <f t="shared" si="305"/>
        <v>3747005.2733899853</v>
      </c>
      <c r="BI115">
        <f t="shared" si="306"/>
        <v>4097111.2548857681</v>
      </c>
      <c r="BJ115">
        <f t="shared" si="307"/>
        <v>4475252.6302316934</v>
      </c>
    </row>
    <row r="116" spans="1:62" x14ac:dyDescent="0.3">
      <c r="A116">
        <f>0.015/12</f>
        <v>1.25E-3</v>
      </c>
      <c r="B116">
        <v>1.5</v>
      </c>
      <c r="D116">
        <f t="shared" si="257"/>
        <v>16200.19448858008</v>
      </c>
      <c r="E116">
        <f t="shared" si="262"/>
        <v>66777.768241829704</v>
      </c>
      <c r="F116">
        <f t="shared" si="262"/>
        <v>120462.03429188083</v>
      </c>
      <c r="G116">
        <f t="shared" si="262"/>
        <v>177443.81905271081</v>
      </c>
      <c r="H116">
        <f t="shared" si="262"/>
        <v>237925.67031807735</v>
      </c>
      <c r="I116">
        <f t="shared" si="263"/>
        <v>302716.1274660402</v>
      </c>
      <c r="J116">
        <f t="shared" si="264"/>
        <v>371767.36968803144</v>
      </c>
      <c r="K116">
        <f t="shared" si="265"/>
        <v>445244.03009448765</v>
      </c>
      <c r="L116">
        <f t="shared" ref="L116:L124" si="308">(L115+4000)*1.00644-(0.00104*(L115+4000))</f>
        <v>523862.21684453223</v>
      </c>
      <c r="M116">
        <f t="shared" ref="M116:M124" si="309">(M115+4000)*1.00644-(0.00104*(M115+4000))</f>
        <v>608553.67664843553</v>
      </c>
      <c r="N116">
        <f t="shared" ref="N116:N124" si="310">(N115+4000)*1.00644-(0.00104*(N115+4000))</f>
        <v>698899.10668851854</v>
      </c>
      <c r="O116">
        <f t="shared" ref="O116:O124" si="311">(O115+4000)*1.00644-(0.00104*(O115+4000))</f>
        <v>795275.96390678687</v>
      </c>
      <c r="P116">
        <f t="shared" ref="P116:P124" si="312">(P115+4000)*1.00644-(0.00104*(P115+4000))</f>
        <v>898086.90412976791</v>
      </c>
      <c r="Q116">
        <f t="shared" ref="Q116:Q124" si="313">(Q115+4000)*1.00644-(0.000833*(Q115+4000))</f>
        <v>1007968.950534283</v>
      </c>
      <c r="R116">
        <f t="shared" si="267"/>
        <v>1127706.0521941211</v>
      </c>
      <c r="S116">
        <f t="shared" si="268"/>
        <v>1255752.6946051461</v>
      </c>
      <c r="T116">
        <f t="shared" si="269"/>
        <v>1392685.5450370549</v>
      </c>
      <c r="U116">
        <f t="shared" si="270"/>
        <v>1536579.9737195389</v>
      </c>
      <c r="V116">
        <f t="shared" si="271"/>
        <v>1684708.1930770003</v>
      </c>
      <c r="W116">
        <f t="shared" si="272"/>
        <v>1842329.7871295826</v>
      </c>
      <c r="X116">
        <f t="shared" si="273"/>
        <v>2010053.1758224724</v>
      </c>
      <c r="Y116">
        <f t="shared" si="274"/>
        <v>2188525.7720661173</v>
      </c>
      <c r="Z116">
        <f t="shared" si="275"/>
        <v>2378436.4807524909</v>
      </c>
      <c r="AA116">
        <f t="shared" si="276"/>
        <v>2580518.3579305704</v>
      </c>
      <c r="AB116">
        <f t="shared" si="277"/>
        <v>2795551.4404054293</v>
      </c>
      <c r="AC116">
        <f t="shared" si="278"/>
        <v>3024365.7566832439</v>
      </c>
      <c r="AD116">
        <f t="shared" si="279"/>
        <v>3267844.5308844419</v>
      </c>
      <c r="AE116">
        <f t="shared" si="280"/>
        <v>3526927.5919921263</v>
      </c>
      <c r="AI116">
        <f t="shared" si="260"/>
        <v>16259.264292679918</v>
      </c>
      <c r="AJ116">
        <f t="shared" si="281"/>
        <v>67618.754017519634</v>
      </c>
      <c r="AK116">
        <f t="shared" si="282"/>
        <v>123090.95131800968</v>
      </c>
      <c r="AL116">
        <f t="shared" si="283"/>
        <v>183005.18897555876</v>
      </c>
      <c r="AM116">
        <f t="shared" si="284"/>
        <v>247717.17171242347</v>
      </c>
      <c r="AN116">
        <f t="shared" si="285"/>
        <v>317611.08797438972</v>
      </c>
      <c r="AO116">
        <f t="shared" si="286"/>
        <v>393101.89081841707</v>
      </c>
      <c r="AP116">
        <f t="shared" si="287"/>
        <v>474637.76144664397</v>
      </c>
      <c r="AQ116">
        <f t="shared" si="288"/>
        <v>562702.7700125043</v>
      </c>
      <c r="AR116">
        <f t="shared" si="289"/>
        <v>657819.74949589022</v>
      </c>
      <c r="AS116">
        <f t="shared" si="290"/>
        <v>760553.39970926428</v>
      </c>
      <c r="AT116">
        <f t="shared" si="291"/>
        <v>871513.63986288849</v>
      </c>
      <c r="AU116">
        <f t="shared" si="292"/>
        <v>991359.2295930112</v>
      </c>
      <c r="AV116">
        <f t="shared" si="293"/>
        <v>1120801.6799506838</v>
      </c>
      <c r="AW116">
        <f t="shared" si="294"/>
        <v>1260609.4775703498</v>
      </c>
      <c r="AX116">
        <f t="shared" si="295"/>
        <v>1411612.6470966663</v>
      </c>
      <c r="AY116">
        <f t="shared" si="296"/>
        <v>1574707.6789562197</v>
      </c>
      <c r="AZ116">
        <f t="shared" si="297"/>
        <v>1750862.8517298158</v>
      </c>
      <c r="BA116">
        <f t="shared" si="298"/>
        <v>1941123.9807237205</v>
      </c>
      <c r="BB116">
        <f t="shared" si="299"/>
        <v>2146620.6268685395</v>
      </c>
      <c r="BC116">
        <f t="shared" si="300"/>
        <v>2368572.8028073353</v>
      </c>
      <c r="BD116">
        <f t="shared" si="301"/>
        <v>2608298.2159863384</v>
      </c>
      <c r="BE116">
        <f t="shared" si="302"/>
        <v>2867220.0917497491</v>
      </c>
      <c r="BF116">
        <f t="shared" si="303"/>
        <v>3146875.6228835471</v>
      </c>
      <c r="BG116">
        <f t="shared" si="304"/>
        <v>3448925.0957723823</v>
      </c>
      <c r="BH116">
        <f t="shared" si="305"/>
        <v>3775161.7473506168</v>
      </c>
      <c r="BI116">
        <f t="shared" si="306"/>
        <v>4127522.4113672324</v>
      </c>
      <c r="BJ116">
        <f t="shared" si="307"/>
        <v>4508099.0171703855</v>
      </c>
    </row>
    <row r="117" spans="1:62" x14ac:dyDescent="0.3">
      <c r="A117">
        <f>0.0125/12</f>
        <v>1.0416666666666667E-3</v>
      </c>
      <c r="B117">
        <v>1.25</v>
      </c>
      <c r="D117">
        <f t="shared" si="257"/>
        <v>20300.791457133208</v>
      </c>
      <c r="E117">
        <f t="shared" si="262"/>
        <v>71130.241527674007</v>
      </c>
      <c r="F117">
        <f t="shared" si="262"/>
        <v>125081.8552226544</v>
      </c>
      <c r="G117">
        <f t="shared" si="262"/>
        <v>182347.40927159332</v>
      </c>
      <c r="H117">
        <f t="shared" si="262"/>
        <v>243130.46015626137</v>
      </c>
      <c r="I117">
        <f t="shared" si="263"/>
        <v>308307.98416758893</v>
      </c>
      <c r="J117">
        <f t="shared" si="264"/>
        <v>377717.60233671236</v>
      </c>
      <c r="K117">
        <f t="shared" si="265"/>
        <v>451575.60661067808</v>
      </c>
      <c r="L117">
        <f t="shared" si="308"/>
        <v>530712.67281549261</v>
      </c>
      <c r="M117">
        <f t="shared" si="309"/>
        <v>615861.46650233713</v>
      </c>
      <c r="N117">
        <f t="shared" si="310"/>
        <v>706694.76186463656</v>
      </c>
      <c r="O117">
        <f t="shared" si="311"/>
        <v>803592.05411188351</v>
      </c>
      <c r="P117">
        <f t="shared" si="312"/>
        <v>906958.17341206875</v>
      </c>
      <c r="Q117">
        <f t="shared" si="313"/>
        <v>1017643.0604399287</v>
      </c>
      <c r="R117">
        <f t="shared" si="267"/>
        <v>1138051.5280287734</v>
      </c>
      <c r="S117">
        <f t="shared" si="268"/>
        <v>1266816.1279637972</v>
      </c>
      <c r="T117">
        <f t="shared" si="269"/>
        <v>1404516.7608880778</v>
      </c>
      <c r="U117">
        <f t="shared" si="270"/>
        <v>1548575.5837831434</v>
      </c>
      <c r="V117">
        <f t="shared" si="271"/>
        <v>1697472.58859907</v>
      </c>
      <c r="W117">
        <f t="shared" si="272"/>
        <v>1855912.2387247852</v>
      </c>
      <c r="X117">
        <f t="shared" si="273"/>
        <v>2024506.111804991</v>
      </c>
      <c r="Y117">
        <f t="shared" si="274"/>
        <v>2203904.9808231406</v>
      </c>
      <c r="Z117">
        <f t="shared" si="275"/>
        <v>2394801.3260875964</v>
      </c>
      <c r="AA117">
        <f t="shared" si="276"/>
        <v>2597932.0082082297</v>
      </c>
      <c r="AB117">
        <f t="shared" si="277"/>
        <v>2814081.1123811333</v>
      </c>
      <c r="AC117">
        <f t="shared" si="278"/>
        <v>3044082.9749604296</v>
      </c>
      <c r="AD117">
        <f t="shared" si="279"/>
        <v>3288825.4039997319</v>
      </c>
      <c r="AE117">
        <f t="shared" si="280"/>
        <v>3549253.1061945655</v>
      </c>
      <c r="AI117">
        <f t="shared" si="260"/>
        <v>20389.733954724776</v>
      </c>
      <c r="AJ117">
        <f t="shared" si="281"/>
        <v>72079.978793392467</v>
      </c>
      <c r="AK117">
        <f t="shared" si="282"/>
        <v>127909.41704449766</v>
      </c>
      <c r="AL117">
        <f t="shared" si="283"/>
        <v>188209.50239256135</v>
      </c>
      <c r="AM117">
        <f t="shared" si="284"/>
        <v>253338.23029825147</v>
      </c>
      <c r="AN117">
        <f t="shared" si="285"/>
        <v>323682.26338094479</v>
      </c>
      <c r="AO117">
        <f t="shared" si="286"/>
        <v>399659.2269952877</v>
      </c>
      <c r="AP117">
        <f t="shared" si="287"/>
        <v>481720.18863036035</v>
      </c>
      <c r="AQ117">
        <f t="shared" si="288"/>
        <v>570352.33585138479</v>
      </c>
      <c r="AR117">
        <f t="shared" si="289"/>
        <v>666081.86868264375</v>
      </c>
      <c r="AS117">
        <f t="shared" si="290"/>
        <v>769477.12360339193</v>
      </c>
      <c r="AT117">
        <f t="shared" si="291"/>
        <v>881151.94770360552</v>
      </c>
      <c r="AU117">
        <f t="shared" si="292"/>
        <v>1001769.3430315902</v>
      </c>
      <c r="AV117">
        <f t="shared" si="293"/>
        <v>1132045.4027695663</v>
      </c>
      <c r="AW117">
        <f t="shared" si="294"/>
        <v>1272753.5626059028</v>
      </c>
      <c r="AX117">
        <f t="shared" si="295"/>
        <v>1424729.1925439688</v>
      </c>
      <c r="AY117">
        <f t="shared" si="296"/>
        <v>1588874.5564086977</v>
      </c>
      <c r="AZ117">
        <f t="shared" si="297"/>
        <v>1766164.1684949559</v>
      </c>
      <c r="BA117">
        <f t="shared" si="298"/>
        <v>1957650.5791595813</v>
      </c>
      <c r="BB117">
        <f t="shared" si="299"/>
        <v>2164470.6237055729</v>
      </c>
      <c r="BC117">
        <f t="shared" si="300"/>
        <v>2387852.1716574146</v>
      </c>
      <c r="BD117">
        <f t="shared" si="301"/>
        <v>2629121.4164972906</v>
      </c>
      <c r="BE117">
        <f t="shared" si="302"/>
        <v>2889710.7491406174</v>
      </c>
      <c r="BF117">
        <f t="shared" si="303"/>
        <v>3171167.2618949171</v>
      </c>
      <c r="BG117">
        <f t="shared" si="304"/>
        <v>3475161.9333891566</v>
      </c>
      <c r="BH117">
        <f t="shared" si="305"/>
        <v>3803499.549003555</v>
      </c>
      <c r="BI117">
        <f t="shared" si="306"/>
        <v>4158129.4156964375</v>
      </c>
      <c r="BJ117">
        <f t="shared" si="307"/>
        <v>4541156.9348409623</v>
      </c>
    </row>
    <row r="118" spans="1:62" x14ac:dyDescent="0.3">
      <c r="A118">
        <f>0.01/12</f>
        <v>8.3333333333333339E-4</v>
      </c>
      <c r="B118">
        <v>1</v>
      </c>
      <c r="D118">
        <f t="shared" si="257"/>
        <v>24421.809398589732</v>
      </c>
      <c r="E118">
        <f t="shared" si="262"/>
        <v>75504.390130481828</v>
      </c>
      <c r="F118">
        <f t="shared" si="262"/>
        <v>129724.68286166321</v>
      </c>
      <c r="G118">
        <f t="shared" si="262"/>
        <v>187275.41936976585</v>
      </c>
      <c r="H118">
        <f t="shared" si="262"/>
        <v>248361.16984783954</v>
      </c>
      <c r="I118">
        <f t="shared" si="263"/>
        <v>313928.86260541872</v>
      </c>
      <c r="J118">
        <f t="shared" si="264"/>
        <v>383698.71669283987</v>
      </c>
      <c r="K118">
        <f t="shared" si="265"/>
        <v>457940.04400898749</v>
      </c>
      <c r="L118">
        <f t="shared" si="308"/>
        <v>537600.12124869623</v>
      </c>
      <c r="M118">
        <f t="shared" si="309"/>
        <v>623208.71842144965</v>
      </c>
      <c r="N118">
        <f t="shared" si="310"/>
        <v>714532.51357870561</v>
      </c>
      <c r="O118">
        <f t="shared" si="311"/>
        <v>811953.05120408768</v>
      </c>
      <c r="P118">
        <f t="shared" si="312"/>
        <v>915877.34754849388</v>
      </c>
      <c r="Q118">
        <f t="shared" si="313"/>
        <v>1027371.4130798153</v>
      </c>
      <c r="R118">
        <f t="shared" si="267"/>
        <v>1148455.0109464307</v>
      </c>
      <c r="S118">
        <f t="shared" si="268"/>
        <v>1277941.5939932901</v>
      </c>
      <c r="T118">
        <f t="shared" si="269"/>
        <v>1416414.3143663772</v>
      </c>
      <c r="U118">
        <f t="shared" si="270"/>
        <v>1560633.451062978</v>
      </c>
      <c r="V118">
        <f t="shared" si="271"/>
        <v>1710303.2313338991</v>
      </c>
      <c r="W118">
        <f t="shared" si="272"/>
        <v>1869565.1832437669</v>
      </c>
      <c r="X118">
        <f t="shared" si="273"/>
        <v>2039034.0585252589</v>
      </c>
      <c r="Y118">
        <f t="shared" si="274"/>
        <v>2219364.0076736128</v>
      </c>
      <c r="Z118">
        <f t="shared" si="275"/>
        <v>2411251.1049699909</v>
      </c>
      <c r="AA118">
        <f t="shared" si="276"/>
        <v>2615436.0353308301</v>
      </c>
      <c r="AB118">
        <f t="shared" si="277"/>
        <v>2832706.9533543913</v>
      </c>
      <c r="AC118">
        <f t="shared" si="278"/>
        <v>3063902.5256004743</v>
      </c>
      <c r="AD118">
        <f t="shared" si="279"/>
        <v>3309915.1678464902</v>
      </c>
      <c r="AE118">
        <f t="shared" si="280"/>
        <v>3571694.4898157152</v>
      </c>
      <c r="AI118">
        <f t="shared" si="260"/>
        <v>24546.803841393204</v>
      </c>
      <c r="AJ118">
        <f t="shared" si="281"/>
        <v>76569.93385682191</v>
      </c>
      <c r="AK118">
        <f t="shared" si="282"/>
        <v>132758.91369026425</v>
      </c>
      <c r="AL118">
        <f t="shared" si="283"/>
        <v>193447.33158796944</v>
      </c>
      <c r="AM118">
        <f t="shared" si="284"/>
        <v>258995.48850137219</v>
      </c>
      <c r="AN118">
        <f t="shared" si="285"/>
        <v>329792.53715711809</v>
      </c>
      <c r="AO118">
        <f t="shared" si="286"/>
        <v>406258.79241713736</v>
      </c>
      <c r="AP118">
        <f t="shared" si="287"/>
        <v>488848.22664513986</v>
      </c>
      <c r="AQ118">
        <f t="shared" si="288"/>
        <v>578051.16489426768</v>
      </c>
      <c r="AR118">
        <f t="shared" si="289"/>
        <v>674397.19591696002</v>
      </c>
      <c r="AS118">
        <f t="shared" si="290"/>
        <v>778458.31627939781</v>
      </c>
      <c r="AT118">
        <f t="shared" si="291"/>
        <v>890852.32624681678</v>
      </c>
      <c r="AU118">
        <f t="shared" si="292"/>
        <v>1012246.4976007136</v>
      </c>
      <c r="AV118">
        <f t="shared" si="293"/>
        <v>1143361.5351634023</v>
      </c>
      <c r="AW118">
        <f t="shared" si="294"/>
        <v>1284975.8555490847</v>
      </c>
      <c r="AX118">
        <f t="shared" si="295"/>
        <v>1437930.2085439519</v>
      </c>
      <c r="AY118">
        <f t="shared" si="296"/>
        <v>1603132.6685519698</v>
      </c>
      <c r="AZ118">
        <f t="shared" si="297"/>
        <v>1781564.0257400633</v>
      </c>
      <c r="BA118">
        <f t="shared" si="298"/>
        <v>1974283.6088893691</v>
      </c>
      <c r="BB118">
        <f t="shared" si="299"/>
        <v>2182435.5745222368</v>
      </c>
      <c r="BC118">
        <f t="shared" si="300"/>
        <v>2407255.6996428883</v>
      </c>
      <c r="BD118">
        <f t="shared" si="301"/>
        <v>2650078.7184195332</v>
      </c>
      <c r="BE118">
        <f t="shared" si="302"/>
        <v>2912346.2463650829</v>
      </c>
      <c r="BF118">
        <f t="shared" si="303"/>
        <v>3195615.3390615205</v>
      </c>
      <c r="BG118">
        <f t="shared" si="304"/>
        <v>3501567.7362401825</v>
      </c>
      <c r="BH118">
        <f t="shared" si="305"/>
        <v>3832019.8460991378</v>
      </c>
      <c r="BI118">
        <f t="shared" si="306"/>
        <v>4188933.5291335224</v>
      </c>
      <c r="BJ118">
        <f t="shared" si="307"/>
        <v>4574427.7455013385</v>
      </c>
    </row>
    <row r="119" spans="1:62" x14ac:dyDescent="0.3">
      <c r="D119">
        <f t="shared" si="257"/>
        <v>28563.350009394708</v>
      </c>
      <c r="E119">
        <f t="shared" ref="E119:G124" si="314">(E118+4000)*1.00644-(0.00146*(E118+4000))</f>
        <v>79900.321993331629</v>
      </c>
      <c r="F119">
        <f t="shared" si="314"/>
        <v>134390.6317823143</v>
      </c>
      <c r="G119">
        <f t="shared" si="314"/>
        <v>192227.97095822729</v>
      </c>
      <c r="H119">
        <f t="shared" ref="H119:H124" si="315">(H118+4000)*1.00644-(0.00125*(H118+4000))</f>
        <v>253670.92431934981</v>
      </c>
      <c r="I119">
        <f t="shared" si="263"/>
        <v>319578.91340234084</v>
      </c>
      <c r="J119">
        <f t="shared" si="264"/>
        <v>389710.87303247571</v>
      </c>
      <c r="K119">
        <f t="shared" si="265"/>
        <v>464337.51283739414</v>
      </c>
      <c r="L119">
        <f t="shared" si="308"/>
        <v>544524.76190343918</v>
      </c>
      <c r="M119">
        <f t="shared" si="309"/>
        <v>630595.64550092549</v>
      </c>
      <c r="N119">
        <f t="shared" si="310"/>
        <v>722412.58915203065</v>
      </c>
      <c r="O119">
        <f t="shared" si="311"/>
        <v>820359.19768058974</v>
      </c>
      <c r="P119">
        <f t="shared" si="312"/>
        <v>924844.68522525579</v>
      </c>
      <c r="Q119">
        <f t="shared" si="313"/>
        <v>1037154.3125929539</v>
      </c>
      <c r="R119">
        <f t="shared" si="267"/>
        <v>1158916.8261928074</v>
      </c>
      <c r="S119">
        <f t="shared" si="268"/>
        <v>1289129.4405108104</v>
      </c>
      <c r="T119">
        <f t="shared" si="269"/>
        <v>1428378.5774270296</v>
      </c>
      <c r="U119">
        <f t="shared" si="270"/>
        <v>1572753.8986739949</v>
      </c>
      <c r="V119">
        <f t="shared" si="271"/>
        <v>1723200.465104522</v>
      </c>
      <c r="W119">
        <f t="shared" si="272"/>
        <v>1883288.9865448021</v>
      </c>
      <c r="X119">
        <f t="shared" si="273"/>
        <v>2053637.405289005</v>
      </c>
      <c r="Y119">
        <f t="shared" si="274"/>
        <v>2234903.2668734388</v>
      </c>
      <c r="Z119">
        <f t="shared" si="275"/>
        <v>2427786.2582047852</v>
      </c>
      <c r="AA119">
        <f t="shared" si="276"/>
        <v>2633030.9083541972</v>
      </c>
      <c r="AB119">
        <f t="shared" si="277"/>
        <v>2851429.4624423003</v>
      </c>
      <c r="AC119">
        <f t="shared" si="278"/>
        <v>3083824.9397083409</v>
      </c>
      <c r="AD119">
        <f t="shared" si="279"/>
        <v>3331114.3875676133</v>
      </c>
      <c r="AE119">
        <f t="shared" si="280"/>
        <v>3594252.3442178587</v>
      </c>
      <c r="AI119">
        <f t="shared" si="260"/>
        <v>28730.645258131775</v>
      </c>
      <c r="AJ119">
        <f t="shared" si="281"/>
        <v>81088.804230859838</v>
      </c>
      <c r="AK119">
        <f t="shared" si="282"/>
        <v>137639.64109442956</v>
      </c>
      <c r="AL119">
        <f t="shared" si="283"/>
        <v>198718.89240339596</v>
      </c>
      <c r="AM119">
        <f t="shared" si="284"/>
        <v>264689.17944732099</v>
      </c>
      <c r="AN119">
        <f t="shared" si="285"/>
        <v>335942.16109640995</v>
      </c>
      <c r="AO119">
        <f t="shared" si="286"/>
        <v>412900.85904030374</v>
      </c>
      <c r="AP119">
        <f t="shared" si="287"/>
        <v>496022.16922473453</v>
      </c>
      <c r="AQ119">
        <f t="shared" si="288"/>
        <v>585799.57439618674</v>
      </c>
      <c r="AR119">
        <f t="shared" si="289"/>
        <v>682766.07385866519</v>
      </c>
      <c r="AS119">
        <f t="shared" si="290"/>
        <v>787497.34783623717</v>
      </c>
      <c r="AT119">
        <f t="shared" si="291"/>
        <v>900615.17522784625</v>
      </c>
      <c r="AU119">
        <f t="shared" si="292"/>
        <v>1022791.1250452623</v>
      </c>
      <c r="AV119">
        <f t="shared" si="293"/>
        <v>1154750.5434498547</v>
      </c>
      <c r="AW119">
        <f t="shared" si="294"/>
        <v>1297276.8600588208</v>
      </c>
      <c r="AX119">
        <f t="shared" si="295"/>
        <v>1451216.2390869749</v>
      </c>
      <c r="AY119">
        <f t="shared" si="296"/>
        <v>1617482.6029374446</v>
      </c>
      <c r="AZ119">
        <f t="shared" si="297"/>
        <v>1797063.0580658293</v>
      </c>
      <c r="BA119">
        <f t="shared" si="298"/>
        <v>1991023.7553306166</v>
      </c>
      <c r="BB119">
        <f t="shared" si="299"/>
        <v>2200516.2196221598</v>
      </c>
      <c r="BC119">
        <f t="shared" si="300"/>
        <v>2426784.1863485887</v>
      </c>
      <c r="BD119">
        <f t="shared" si="301"/>
        <v>2671170.9853661549</v>
      </c>
      <c r="BE119">
        <f t="shared" si="302"/>
        <v>2935127.5161916739</v>
      </c>
      <c r="BF119">
        <f t="shared" si="303"/>
        <v>3220220.8618450765</v>
      </c>
      <c r="BG119">
        <f t="shared" si="304"/>
        <v>3528143.5924615692</v>
      </c>
      <c r="BH119">
        <f t="shared" si="305"/>
        <v>3860723.8139080163</v>
      </c>
      <c r="BI119">
        <f t="shared" si="306"/>
        <v>4219936.021061142</v>
      </c>
      <c r="BJ119">
        <f t="shared" si="307"/>
        <v>4607912.8201823672</v>
      </c>
    </row>
    <row r="120" spans="1:62" x14ac:dyDescent="0.3">
      <c r="D120">
        <f t="shared" si="257"/>
        <v>32725.515492441496</v>
      </c>
      <c r="E120">
        <f t="shared" si="314"/>
        <v>84318.14559685842</v>
      </c>
      <c r="F120">
        <f t="shared" si="314"/>
        <v>139079.81712859022</v>
      </c>
      <c r="G120">
        <f t="shared" si="314"/>
        <v>197205.18625359927</v>
      </c>
      <c r="H120">
        <f t="shared" si="315"/>
        <v>259008.23641656723</v>
      </c>
      <c r="I120">
        <f t="shared" si="263"/>
        <v>325258.28796289902</v>
      </c>
      <c r="J120">
        <f t="shared" si="264"/>
        <v>395754.23246351426</v>
      </c>
      <c r="K120">
        <f t="shared" si="265"/>
        <v>470768.18452902022</v>
      </c>
      <c r="L120">
        <f t="shared" si="308"/>
        <v>551486.79561771767</v>
      </c>
      <c r="M120">
        <f t="shared" si="309"/>
        <v>638022.46198663046</v>
      </c>
      <c r="N120">
        <f t="shared" si="310"/>
        <v>730335.2171334516</v>
      </c>
      <c r="O120">
        <f t="shared" si="311"/>
        <v>828810.73734806501</v>
      </c>
      <c r="P120">
        <f t="shared" si="312"/>
        <v>933860.44652547222</v>
      </c>
      <c r="Q120">
        <f t="shared" si="313"/>
        <v>1046992.0648236626</v>
      </c>
      <c r="R120">
        <f t="shared" si="267"/>
        <v>1169437.3008372704</v>
      </c>
      <c r="S120">
        <f t="shared" si="268"/>
        <v>1300380.0172837544</v>
      </c>
      <c r="T120">
        <f t="shared" si="269"/>
        <v>1440409.9241106629</v>
      </c>
      <c r="U120">
        <f t="shared" si="270"/>
        <v>1584937.2514081129</v>
      </c>
      <c r="V120">
        <f t="shared" si="271"/>
        <v>1736164.6355184144</v>
      </c>
      <c r="W120">
        <f t="shared" si="272"/>
        <v>1897084.0163849695</v>
      </c>
      <c r="X120">
        <f t="shared" si="273"/>
        <v>2068316.543422455</v>
      </c>
      <c r="Y120">
        <f t="shared" si="274"/>
        <v>2250523.1748285117</v>
      </c>
      <c r="Z120">
        <f t="shared" si="275"/>
        <v>2444407.2288848683</v>
      </c>
      <c r="AA120">
        <f t="shared" si="276"/>
        <v>2650717.0987685551</v>
      </c>
      <c r="AB120">
        <f t="shared" si="277"/>
        <v>2870249.141352376</v>
      </c>
      <c r="AC120">
        <f t="shared" si="278"/>
        <v>3103850.7511454271</v>
      </c>
      <c r="AD120">
        <f t="shared" si="279"/>
        <v>3352423.6312390892</v>
      </c>
      <c r="AE120">
        <f t="shared" si="280"/>
        <v>3616927.2738843495</v>
      </c>
      <c r="AI120">
        <f t="shared" si="260"/>
        <v>32941.430613594144</v>
      </c>
      <c r="AJ120">
        <f t="shared" si="281"/>
        <v>85636.776130106577</v>
      </c>
      <c r="AK120">
        <f t="shared" si="282"/>
        <v>142551.8003830777</v>
      </c>
      <c r="AL120">
        <f t="shared" si="283"/>
        <v>204024.40207047382</v>
      </c>
      <c r="AM120">
        <f t="shared" si="284"/>
        <v>270419.53776296176</v>
      </c>
      <c r="AN120">
        <f t="shared" si="285"/>
        <v>342131.38861387083</v>
      </c>
      <c r="AO120">
        <f t="shared" si="286"/>
        <v>419585.70057252329</v>
      </c>
      <c r="AP120">
        <f t="shared" si="287"/>
        <v>503242.31199454184</v>
      </c>
      <c r="AQ120">
        <f t="shared" si="288"/>
        <v>593597.88365529815</v>
      </c>
      <c r="AR120">
        <f t="shared" si="289"/>
        <v>691188.84737431502</v>
      </c>
      <c r="AS120">
        <f t="shared" si="290"/>
        <v>796594.59075630258</v>
      </c>
      <c r="AT120">
        <f t="shared" si="291"/>
        <v>910440.89695631363</v>
      </c>
      <c r="AU120">
        <f t="shared" si="292"/>
        <v>1033403.6598905538</v>
      </c>
      <c r="AV120">
        <f t="shared" si="293"/>
        <v>1166212.8969496717</v>
      </c>
      <c r="AW120">
        <f t="shared" si="294"/>
        <v>1309657.0830375997</v>
      </c>
      <c r="AX120">
        <f t="shared" si="295"/>
        <v>1464587.831666695</v>
      </c>
      <c r="AY120">
        <f t="shared" si="296"/>
        <v>1631924.9509003616</v>
      </c>
      <c r="AZ120">
        <f t="shared" si="297"/>
        <v>1812661.9041597734</v>
      </c>
      <c r="BA120">
        <f t="shared" si="298"/>
        <v>2007871.7083149457</v>
      </c>
      <c r="BB120">
        <f t="shared" si="299"/>
        <v>2218713.3040765268</v>
      </c>
      <c r="BC120">
        <f t="shared" si="300"/>
        <v>2446438.4365086737</v>
      </c>
      <c r="BD120">
        <f t="shared" si="301"/>
        <v>2692399.0865119128</v>
      </c>
      <c r="BE120">
        <f t="shared" si="302"/>
        <v>2958055.4973959485</v>
      </c>
      <c r="BF120">
        <f t="shared" si="303"/>
        <v>3244984.8441953589</v>
      </c>
      <c r="BG120">
        <f t="shared" si="304"/>
        <v>3554890.5971970218</v>
      </c>
      <c r="BH120">
        <f t="shared" si="305"/>
        <v>3889612.6352695841</v>
      </c>
      <c r="BI120">
        <f t="shared" si="306"/>
        <v>4251138.1690367758</v>
      </c>
      <c r="BJ120">
        <f t="shared" si="307"/>
        <v>4641613.5387443416</v>
      </c>
    </row>
    <row r="121" spans="1:62" x14ac:dyDescent="0.3">
      <c r="D121">
        <f t="shared" si="257"/>
        <v>36908.40855959386</v>
      </c>
      <c r="E121">
        <f t="shared" si="314"/>
        <v>88757.969961930765</v>
      </c>
      <c r="F121">
        <f t="shared" si="314"/>
        <v>143792.35461789061</v>
      </c>
      <c r="G121">
        <f t="shared" si="314"/>
        <v>202207.1880811422</v>
      </c>
      <c r="H121">
        <f t="shared" si="315"/>
        <v>264373.24916356924</v>
      </c>
      <c r="I121">
        <f t="shared" si="263"/>
        <v>330967.13847742649</v>
      </c>
      <c r="J121">
        <f t="shared" si="264"/>
        <v>401828.95692999987</v>
      </c>
      <c r="K121">
        <f t="shared" si="265"/>
        <v>477232.23140672583</v>
      </c>
      <c r="L121">
        <f t="shared" si="308"/>
        <v>558486.42431405338</v>
      </c>
      <c r="M121">
        <f t="shared" si="309"/>
        <v>645489.38328135828</v>
      </c>
      <c r="N121">
        <f t="shared" si="310"/>
        <v>738300.62730597216</v>
      </c>
      <c r="O121">
        <f t="shared" si="311"/>
        <v>837307.91532974457</v>
      </c>
      <c r="P121">
        <f t="shared" si="312"/>
        <v>942924.8929367098</v>
      </c>
      <c r="Q121">
        <f t="shared" si="313"/>
        <v>1056884.9773311289</v>
      </c>
      <c r="R121">
        <f t="shared" si="267"/>
        <v>1180016.7637830651</v>
      </c>
      <c r="S121">
        <f t="shared" si="268"/>
        <v>1311693.6760406643</v>
      </c>
      <c r="T121">
        <f t="shared" si="269"/>
        <v>1452508.7305551514</v>
      </c>
      <c r="U121">
        <f t="shared" si="270"/>
        <v>1597183.8357429211</v>
      </c>
      <c r="V121">
        <f t="shared" si="271"/>
        <v>1749196.089976755</v>
      </c>
      <c r="W121">
        <f t="shared" si="272"/>
        <v>1910950.6424300075</v>
      </c>
      <c r="X121">
        <f t="shared" si="273"/>
        <v>2083071.8662828174</v>
      </c>
      <c r="Y121">
        <f t="shared" si="274"/>
        <v>2266224.1501058713</v>
      </c>
      <c r="Z121">
        <f t="shared" si="275"/>
        <v>2461114.462402781</v>
      </c>
      <c r="AA121">
        <f t="shared" si="276"/>
        <v>2668495.0805111639</v>
      </c>
      <c r="AB121">
        <f t="shared" si="277"/>
        <v>2889166.494395995</v>
      </c>
      <c r="AC121">
        <f t="shared" si="278"/>
        <v>3123980.4965438717</v>
      </c>
      <c r="AD121">
        <f t="shared" si="279"/>
        <v>3373843.4698852203</v>
      </c>
      <c r="AE121">
        <f t="shared" si="280"/>
        <v>3639719.8864358091</v>
      </c>
      <c r="AI121">
        <f t="shared" si="260"/>
        <v>37179.333426745688</v>
      </c>
      <c r="AJ121">
        <f t="shared" si="281"/>
        <v>90214.036968384462</v>
      </c>
      <c r="AK121">
        <f t="shared" si="282"/>
        <v>147495.59397754472</v>
      </c>
      <c r="AL121">
        <f t="shared" si="283"/>
        <v>209364.07921980767</v>
      </c>
      <c r="AM121">
        <f t="shared" si="284"/>
        <v>276186.79958615522</v>
      </c>
      <c r="AN121">
        <f t="shared" si="285"/>
        <v>348360.47475654416</v>
      </c>
      <c r="AO121">
        <f t="shared" si="286"/>
        <v>426313.59248421033</v>
      </c>
      <c r="AP121">
        <f t="shared" si="287"/>
        <v>510508.95248378668</v>
      </c>
      <c r="AQ121">
        <f t="shared" si="288"/>
        <v>601446.41402603826</v>
      </c>
      <c r="AR121">
        <f t="shared" si="289"/>
        <v>699665.86355140561</v>
      </c>
      <c r="AS121">
        <f t="shared" si="290"/>
        <v>805750.41992077313</v>
      </c>
      <c r="AT121">
        <f t="shared" si="291"/>
        <v>920329.89633271226</v>
      </c>
      <c r="AU121">
        <f t="shared" si="292"/>
        <v>1044084.539460249</v>
      </c>
      <c r="AV121">
        <f t="shared" si="293"/>
        <v>1177749.0680060275</v>
      </c>
      <c r="AW121">
        <f t="shared" si="294"/>
        <v>1322117.0346523619</v>
      </c>
      <c r="AX121">
        <f t="shared" si="295"/>
        <v>1478045.5373026284</v>
      </c>
      <c r="AY121">
        <f t="shared" si="296"/>
        <v>1646460.30758416</v>
      </c>
      <c r="AZ121">
        <f t="shared" si="297"/>
        <v>1828361.2068225623</v>
      </c>
      <c r="BA121">
        <f t="shared" si="298"/>
        <v>2024828.162116494</v>
      </c>
      <c r="BB121">
        <f t="shared" si="299"/>
        <v>2237027.5777547797</v>
      </c>
      <c r="BC121">
        <f t="shared" si="300"/>
        <v>2466219.2600397896</v>
      </c>
      <c r="BD121">
        <f t="shared" si="301"/>
        <v>2713763.8966290494</v>
      </c>
      <c r="BE121">
        <f t="shared" si="302"/>
        <v>2981131.1347991782</v>
      </c>
      <c r="BF121">
        <f t="shared" si="303"/>
        <v>3269908.3065919769</v>
      </c>
      <c r="BG121">
        <f t="shared" si="304"/>
        <v>3581809.8526429706</v>
      </c>
      <c r="BH121">
        <f t="shared" si="305"/>
        <v>3918687.5006407201</v>
      </c>
      <c r="BI121">
        <f t="shared" si="306"/>
        <v>4282541.2588453731</v>
      </c>
      <c r="BJ121">
        <f t="shared" si="307"/>
        <v>4675531.2899338547</v>
      </c>
    </row>
    <row r="122" spans="1:62" x14ac:dyDescent="0.3">
      <c r="D122">
        <f t="shared" si="257"/>
        <v>41112.132434220635</v>
      </c>
      <c r="E122">
        <f t="shared" si="314"/>
        <v>93219.904652341182</v>
      </c>
      <c r="F122">
        <f t="shared" si="314"/>
        <v>148528.36054388768</v>
      </c>
      <c r="G122">
        <f t="shared" si="314"/>
        <v>207234.09987778627</v>
      </c>
      <c r="H122">
        <f t="shared" si="315"/>
        <v>269766.10632672819</v>
      </c>
      <c r="I122">
        <f t="shared" si="263"/>
        <v>336705.61792612437</v>
      </c>
      <c r="J122">
        <f t="shared" si="264"/>
        <v>407935.20921646658</v>
      </c>
      <c r="K122">
        <f t="shared" si="265"/>
        <v>483729.82668772672</v>
      </c>
      <c r="L122">
        <f t="shared" si="308"/>
        <v>565523.85100534919</v>
      </c>
      <c r="M122">
        <f t="shared" si="309"/>
        <v>652996.62595107756</v>
      </c>
      <c r="N122">
        <f t="shared" si="310"/>
        <v>746309.05069342442</v>
      </c>
      <c r="O122">
        <f t="shared" si="311"/>
        <v>845850.97807252523</v>
      </c>
      <c r="P122">
        <f t="shared" si="312"/>
        <v>952038.28735856805</v>
      </c>
      <c r="Q122">
        <f t="shared" si="313"/>
        <v>1066833.3593990246</v>
      </c>
      <c r="R122">
        <f t="shared" si="267"/>
        <v>1190655.5457775968</v>
      </c>
      <c r="S122">
        <f t="shared" si="268"/>
        <v>1323070.7704822242</v>
      </c>
      <c r="T122">
        <f t="shared" si="269"/>
        <v>1464675.375007374</v>
      </c>
      <c r="U122">
        <f t="shared" si="270"/>
        <v>1609493.9798504268</v>
      </c>
      <c r="V122">
        <f t="shared" si="271"/>
        <v>1762295.1776837343</v>
      </c>
      <c r="W122">
        <f t="shared" si="272"/>
        <v>1924889.2362642193</v>
      </c>
      <c r="X122">
        <f t="shared" si="273"/>
        <v>2097903.7692688252</v>
      </c>
      <c r="Y122">
        <f t="shared" si="274"/>
        <v>2282006.6134449206</v>
      </c>
      <c r="Z122">
        <f t="shared" si="275"/>
        <v>2477908.4064626512</v>
      </c>
      <c r="AA122">
        <f t="shared" si="276"/>
        <v>2686365.3299790169</v>
      </c>
      <c r="AB122">
        <f t="shared" si="277"/>
        <v>2908182.0285019102</v>
      </c>
      <c r="AC122">
        <f t="shared" si="278"/>
        <v>3144214.7153209341</v>
      </c>
      <c r="AD122">
        <f t="shared" si="279"/>
        <v>3395374.4774939246</v>
      </c>
      <c r="AE122">
        <f t="shared" si="280"/>
        <v>3662630.7926464109</v>
      </c>
      <c r="AI122">
        <f t="shared" si="260"/>
        <v>41444.528334013929</v>
      </c>
      <c r="AJ122">
        <f t="shared" si="281"/>
        <v>94820.775366460861</v>
      </c>
      <c r="AK122">
        <f t="shared" si="282"/>
        <v>152471.2256027601</v>
      </c>
      <c r="AL122">
        <f t="shared" si="283"/>
        <v>214738.14388998324</v>
      </c>
      <c r="AM122">
        <f t="shared" si="284"/>
        <v>281991.20257549005</v>
      </c>
      <c r="AN122">
        <f t="shared" si="285"/>
        <v>354629.67621397629</v>
      </c>
      <c r="AO122">
        <f t="shared" si="286"/>
        <v>433084.81201980863</v>
      </c>
      <c r="AP122">
        <f t="shared" si="287"/>
        <v>517822.39013778226</v>
      </c>
      <c r="AQ122">
        <f t="shared" si="288"/>
        <v>609345.4889323659</v>
      </c>
      <c r="AR122">
        <f t="shared" si="289"/>
        <v>708197.47171267669</v>
      </c>
      <c r="AS122">
        <f t="shared" si="290"/>
        <v>814965.21262506291</v>
      </c>
      <c r="AT122">
        <f t="shared" si="291"/>
        <v>930282.5808650949</v>
      </c>
      <c r="AU122">
        <f t="shared" si="292"/>
        <v>1054834.203894373</v>
      </c>
      <c r="AV122">
        <f t="shared" si="293"/>
        <v>1189359.5320039864</v>
      </c>
      <c r="AW122">
        <f t="shared" si="294"/>
        <v>1334657.2283555232</v>
      </c>
      <c r="AX122">
        <f t="shared" si="295"/>
        <v>1491589.9105628573</v>
      </c>
      <c r="AY122">
        <f t="shared" si="296"/>
        <v>1661089.2719650019</v>
      </c>
      <c r="AZ122">
        <f t="shared" si="297"/>
        <v>1844161.6129944995</v>
      </c>
      <c r="BA122">
        <f t="shared" si="298"/>
        <v>2041893.8154805242</v>
      </c>
      <c r="BB122">
        <f t="shared" si="299"/>
        <v>2255459.7953555207</v>
      </c>
      <c r="BC122">
        <f t="shared" si="300"/>
        <v>2486127.4720744458</v>
      </c>
      <c r="BD122">
        <f t="shared" si="301"/>
        <v>2735266.2961233407</v>
      </c>
      <c r="BE122">
        <f t="shared" si="302"/>
        <v>3004355.379307285</v>
      </c>
      <c r="BF122">
        <f t="shared" si="303"/>
        <v>3294992.2760864291</v>
      </c>
      <c r="BG122">
        <f t="shared" si="304"/>
        <v>3608902.4680939913</v>
      </c>
      <c r="BH122">
        <f t="shared" si="305"/>
        <v>3947949.6081448463</v>
      </c>
      <c r="BI122">
        <f t="shared" si="306"/>
        <v>4314146.5845523374</v>
      </c>
      <c r="BJ122">
        <f t="shared" si="307"/>
        <v>4709667.4714410286</v>
      </c>
    </row>
    <row r="123" spans="1:62" x14ac:dyDescent="0.3">
      <c r="D123">
        <f t="shared" si="257"/>
        <v>45336.790853743056</v>
      </c>
      <c r="E123">
        <f t="shared" si="314"/>
        <v>97704.059777509843</v>
      </c>
      <c r="F123">
        <f t="shared" si="314"/>
        <v>153287.95177939624</v>
      </c>
      <c r="G123">
        <f t="shared" si="314"/>
        <v>212286.04569517766</v>
      </c>
      <c r="H123">
        <f t="shared" si="315"/>
        <v>275186.95241856389</v>
      </c>
      <c r="I123">
        <f t="shared" si="263"/>
        <v>342473.88008316094</v>
      </c>
      <c r="J123">
        <f t="shared" si="264"/>
        <v>414073.15295230004</v>
      </c>
      <c r="K123">
        <f t="shared" si="265"/>
        <v>490261.14448823599</v>
      </c>
      <c r="L123">
        <f t="shared" si="308"/>
        <v>572599.27980077802</v>
      </c>
      <c r="M123">
        <f t="shared" si="309"/>
        <v>660544.40773121337</v>
      </c>
      <c r="N123">
        <f t="shared" si="310"/>
        <v>754360.71956716885</v>
      </c>
      <c r="O123">
        <f t="shared" si="311"/>
        <v>854440.17335411685</v>
      </c>
      <c r="P123">
        <f t="shared" si="312"/>
        <v>961200.8941103043</v>
      </c>
      <c r="Q123">
        <f t="shared" si="313"/>
        <v>1076837.5220451751</v>
      </c>
      <c r="R123">
        <f t="shared" si="267"/>
        <v>1201353.9794227718</v>
      </c>
      <c r="S123">
        <f t="shared" si="268"/>
        <v>1334511.6562923179</v>
      </c>
      <c r="T123">
        <f t="shared" si="269"/>
        <v>1476910.2378350403</v>
      </c>
      <c r="U123">
        <f t="shared" si="270"/>
        <v>1621868.0136058505</v>
      </c>
      <c r="V123">
        <f t="shared" si="271"/>
        <v>1775462.2496559129</v>
      </c>
      <c r="W123">
        <f t="shared" si="272"/>
        <v>1938900.1714004304</v>
      </c>
      <c r="X123">
        <f t="shared" si="273"/>
        <v>2112812.6498313304</v>
      </c>
      <c r="Y123">
        <f t="shared" si="274"/>
        <v>2297870.9877686999</v>
      </c>
      <c r="Z123">
        <f t="shared" si="275"/>
        <v>2494789.5110921925</v>
      </c>
      <c r="AA123">
        <f t="shared" si="276"/>
        <v>2704328.3260416081</v>
      </c>
      <c r="AB123">
        <f t="shared" si="277"/>
        <v>2927296.2532298351</v>
      </c>
      <c r="AC123">
        <f t="shared" si="278"/>
        <v>3164553.9496934498</v>
      </c>
      <c r="AD123">
        <f t="shared" si="279"/>
        <v>3417017.2310321182</v>
      </c>
      <c r="AE123">
        <f t="shared" si="280"/>
        <v>3685660.6064602458</v>
      </c>
      <c r="AI123">
        <f t="shared" si="260"/>
        <v>45737.191096484981</v>
      </c>
      <c r="AJ123">
        <f t="shared" si="281"/>
        <v>99457.181159820873</v>
      </c>
      <c r="AK123">
        <f t="shared" si="282"/>
        <v>157478.90029564188</v>
      </c>
      <c r="AL123">
        <f t="shared" si="283"/>
        <v>220146.81753663474</v>
      </c>
      <c r="AM123">
        <f t="shared" si="284"/>
        <v>287832.9859200762</v>
      </c>
      <c r="AN123">
        <f t="shared" si="285"/>
        <v>360939.25132879429</v>
      </c>
      <c r="AO123">
        <f t="shared" si="286"/>
        <v>439899.63820921618</v>
      </c>
      <c r="AP123">
        <f t="shared" si="287"/>
        <v>525182.92633026955</v>
      </c>
      <c r="AQ123">
        <f t="shared" si="288"/>
        <v>617295.43388109037</v>
      </c>
      <c r="AR123">
        <f t="shared" si="289"/>
        <v>716784.02343050635</v>
      </c>
      <c r="AS123">
        <f t="shared" si="290"/>
        <v>824239.34859436832</v>
      </c>
      <c r="AT123">
        <f t="shared" si="291"/>
        <v>940299.36068586609</v>
      </c>
      <c r="AU123">
        <f t="shared" si="292"/>
        <v>1065653.0961674529</v>
      </c>
      <c r="AV123">
        <f t="shared" si="293"/>
        <v>1201044.7673900921</v>
      </c>
      <c r="AW123">
        <f t="shared" si="294"/>
        <v>1347278.1809061328</v>
      </c>
      <c r="AX123">
        <f t="shared" si="295"/>
        <v>1505221.5095868821</v>
      </c>
      <c r="AY123">
        <f t="shared" si="296"/>
        <v>1675812.4468764565</v>
      </c>
      <c r="AZ123">
        <f t="shared" si="297"/>
        <v>1860063.7737821841</v>
      </c>
      <c r="BA123">
        <f t="shared" si="298"/>
        <v>2059069.3716522187</v>
      </c>
      <c r="BB123">
        <f t="shared" si="299"/>
        <v>2274010.7164376103</v>
      </c>
      <c r="BC123">
        <f t="shared" si="300"/>
        <v>2506163.892994605</v>
      </c>
      <c r="BD123">
        <f t="shared" si="301"/>
        <v>2756907.171070375</v>
      </c>
      <c r="BE123">
        <f t="shared" si="302"/>
        <v>3027729.1879500239</v>
      </c>
      <c r="BF123">
        <f t="shared" si="303"/>
        <v>3320237.7863444258</v>
      </c>
      <c r="BG123">
        <f t="shared" si="304"/>
        <v>3636169.5599885164</v>
      </c>
      <c r="BH123">
        <f t="shared" si="305"/>
        <v>3977400.163621299</v>
      </c>
      <c r="BI123">
        <f t="shared" si="306"/>
        <v>4345955.4485568544</v>
      </c>
      <c r="BJ123">
        <f t="shared" si="307"/>
        <v>4744023.4899571091</v>
      </c>
    </row>
    <row r="124" spans="1:62" x14ac:dyDescent="0.3">
      <c r="D124">
        <f t="shared" si="257"/>
        <v>49582.488072194697</v>
      </c>
      <c r="E124">
        <f t="shared" si="314"/>
        <v>102210.54599520183</v>
      </c>
      <c r="F124">
        <f t="shared" si="314"/>
        <v>158071.24577925765</v>
      </c>
      <c r="G124">
        <f t="shared" si="314"/>
        <v>217363.15020273963</v>
      </c>
      <c r="H124">
        <f t="shared" si="315"/>
        <v>280635.93270161626</v>
      </c>
      <c r="I124">
        <f t="shared" si="263"/>
        <v>348272.07952079253</v>
      </c>
      <c r="J124">
        <f t="shared" si="264"/>
        <v>420242.95261612243</v>
      </c>
      <c r="K124">
        <f t="shared" si="265"/>
        <v>496826.35982812993</v>
      </c>
      <c r="L124">
        <f t="shared" si="308"/>
        <v>579712.91591170221</v>
      </c>
      <c r="M124">
        <f t="shared" si="309"/>
        <v>668132.94753296196</v>
      </c>
      <c r="N124">
        <f t="shared" si="310"/>
        <v>762455.86745283159</v>
      </c>
      <c r="O124">
        <f t="shared" si="311"/>
        <v>863075.7502902291</v>
      </c>
      <c r="P124">
        <f t="shared" si="312"/>
        <v>970412.97893849993</v>
      </c>
      <c r="Q124">
        <f t="shared" si="313"/>
        <v>1086897.7780312824</v>
      </c>
      <c r="R124">
        <f t="shared" si="267"/>
        <v>1212112.3991853953</v>
      </c>
      <c r="S124">
        <f t="shared" si="268"/>
        <v>1346016.6911491491</v>
      </c>
      <c r="T124">
        <f t="shared" si="269"/>
        <v>1489213.7015385814</v>
      </c>
      <c r="U124">
        <f t="shared" si="270"/>
        <v>1634306.268596465</v>
      </c>
      <c r="V124">
        <f t="shared" si="271"/>
        <v>1788697.658731627</v>
      </c>
      <c r="W124" s="3">
        <f t="shared" si="272"/>
        <v>1952983.8232899986</v>
      </c>
      <c r="X124">
        <f t="shared" si="273"/>
        <v>2127798.9074839554</v>
      </c>
      <c r="Y124">
        <f t="shared" si="274"/>
        <v>2313817.698195219</v>
      </c>
      <c r="Z124">
        <f t="shared" si="275"/>
        <v>2511758.2286547613</v>
      </c>
      <c r="AA124">
        <f t="shared" si="276"/>
        <v>2722384.5500537641</v>
      </c>
      <c r="AB124" s="3">
        <f t="shared" si="277"/>
        <v>2946509.6807840983</v>
      </c>
      <c r="AC124">
        <f t="shared" si="278"/>
        <v>3184998.7446923587</v>
      </c>
      <c r="AD124">
        <f t="shared" si="279"/>
        <v>3438772.3104611747</v>
      </c>
      <c r="AE124">
        <f t="shared" si="280"/>
        <v>3708809.9450077745</v>
      </c>
      <c r="AI124">
        <f t="shared" si="260"/>
        <v>50057.498607146343</v>
      </c>
      <c r="AJ124">
        <f t="shared" si="281"/>
        <v>104123.44540649012</v>
      </c>
      <c r="AK124">
        <f t="shared" si="282"/>
        <v>162518.82441354581</v>
      </c>
      <c r="AL124">
        <f t="shared" si="283"/>
        <v>225590.32304157066</v>
      </c>
      <c r="AM124">
        <f t="shared" si="284"/>
        <v>293712.39034940151</v>
      </c>
      <c r="AN124">
        <f t="shared" si="285"/>
        <v>367289.46010735171</v>
      </c>
      <c r="AO124">
        <f t="shared" si="286"/>
        <v>446758.35187928355</v>
      </c>
      <c r="AP124">
        <f t="shared" si="287"/>
        <v>532590.86437583645</v>
      </c>
      <c r="AQ124">
        <f t="shared" si="288"/>
        <v>625296.57647528464</v>
      </c>
      <c r="AR124">
        <f t="shared" si="289"/>
        <v>725425.87254139886</v>
      </c>
      <c r="AS124">
        <f t="shared" si="290"/>
        <v>833573.20999931602</v>
      </c>
      <c r="AT124">
        <f t="shared" si="291"/>
        <v>950380.64856868307</v>
      </c>
      <c r="AU124">
        <f t="shared" si="292"/>
        <v>1076541.6621067713</v>
      </c>
      <c r="AV124">
        <f t="shared" si="293"/>
        <v>1212805.2556920843</v>
      </c>
      <c r="AW124">
        <f t="shared" si="294"/>
        <v>1359980.4123911683</v>
      </c>
      <c r="AX124">
        <f t="shared" si="295"/>
        <v>1518940.8961086215</v>
      </c>
      <c r="AY124">
        <f t="shared" si="296"/>
        <v>1690630.4390343409</v>
      </c>
      <c r="AZ124">
        <f t="shared" si="297"/>
        <v>1876068.3444853413</v>
      </c>
      <c r="BA124">
        <f t="shared" si="298"/>
        <v>2076355.5384056591</v>
      </c>
      <c r="BB124" s="3">
        <f t="shared" si="299"/>
        <v>2292681.1054514684</v>
      </c>
      <c r="BC124">
        <f t="shared" si="300"/>
        <v>2526329.3484654902</v>
      </c>
      <c r="BD124">
        <f t="shared" si="301"/>
        <v>2778687.4132520682</v>
      </c>
      <c r="BE124">
        <f t="shared" si="302"/>
        <v>3051253.523920422</v>
      </c>
      <c r="BF124">
        <f t="shared" si="303"/>
        <v>3345645.8776884838</v>
      </c>
      <c r="BG124" s="3">
        <f t="shared" si="304"/>
        <v>3663612.2519548424</v>
      </c>
      <c r="BH124">
        <f t="shared" si="305"/>
        <v>4007040.3806750202</v>
      </c>
      <c r="BI124">
        <f t="shared" si="306"/>
        <v>4377969.1616455605</v>
      </c>
      <c r="BJ124">
        <f t="shared" si="307"/>
        <v>4778600.7612324329</v>
      </c>
    </row>
    <row r="127" spans="1:62" x14ac:dyDescent="0.3">
      <c r="D127" t="s">
        <v>62</v>
      </c>
      <c r="AI127" t="s">
        <v>62</v>
      </c>
      <c r="AJ127" t="s">
        <v>66</v>
      </c>
    </row>
    <row r="128" spans="1:62" x14ac:dyDescent="0.3">
      <c r="D128" t="s">
        <v>63</v>
      </c>
      <c r="AI128" t="s">
        <v>63</v>
      </c>
    </row>
    <row r="129" spans="1:62" x14ac:dyDescent="0.3">
      <c r="D129" t="s">
        <v>54</v>
      </c>
      <c r="AI129" t="s">
        <v>54</v>
      </c>
    </row>
    <row r="130" spans="1:62" x14ac:dyDescent="0.3">
      <c r="D130" t="s">
        <v>15</v>
      </c>
      <c r="E130" t="s">
        <v>16</v>
      </c>
      <c r="F130" t="s">
        <v>17</v>
      </c>
      <c r="G130" t="s">
        <v>18</v>
      </c>
      <c r="H130" t="s">
        <v>19</v>
      </c>
      <c r="I130" t="s">
        <v>20</v>
      </c>
      <c r="J130" t="s">
        <v>21</v>
      </c>
      <c r="K130" t="s">
        <v>22</v>
      </c>
      <c r="L130" t="s">
        <v>23</v>
      </c>
      <c r="M130" t="s">
        <v>24</v>
      </c>
      <c r="N130" t="s">
        <v>25</v>
      </c>
      <c r="O130" t="s">
        <v>26</v>
      </c>
      <c r="P130" t="s">
        <v>27</v>
      </c>
      <c r="Q130" t="s">
        <v>28</v>
      </c>
      <c r="R130" t="s">
        <v>29</v>
      </c>
      <c r="S130" t="s">
        <v>30</v>
      </c>
      <c r="T130" t="s">
        <v>31</v>
      </c>
      <c r="U130" t="s">
        <v>32</v>
      </c>
      <c r="V130" t="s">
        <v>33</v>
      </c>
      <c r="W130" t="s">
        <v>34</v>
      </c>
      <c r="X130" t="s">
        <v>35</v>
      </c>
      <c r="Y130" t="s">
        <v>36</v>
      </c>
      <c r="Z130" t="s">
        <v>37</v>
      </c>
      <c r="AA130" t="s">
        <v>38</v>
      </c>
      <c r="AB130" t="s">
        <v>39</v>
      </c>
      <c r="AC130" t="s">
        <v>67</v>
      </c>
      <c r="AD130" t="s">
        <v>68</v>
      </c>
      <c r="AE130" t="s">
        <v>69</v>
      </c>
      <c r="AI130" t="s">
        <v>15</v>
      </c>
      <c r="AJ130" t="s">
        <v>16</v>
      </c>
      <c r="AK130" t="s">
        <v>17</v>
      </c>
      <c r="AL130" t="s">
        <v>18</v>
      </c>
      <c r="AM130" t="s">
        <v>19</v>
      </c>
      <c r="AN130" t="s">
        <v>20</v>
      </c>
      <c r="AO130" t="s">
        <v>21</v>
      </c>
      <c r="AP130" t="s">
        <v>22</v>
      </c>
      <c r="AQ130" t="s">
        <v>23</v>
      </c>
      <c r="AR130" t="s">
        <v>24</v>
      </c>
      <c r="AS130" t="s">
        <v>25</v>
      </c>
      <c r="AT130" t="s">
        <v>26</v>
      </c>
      <c r="AU130" t="s">
        <v>27</v>
      </c>
      <c r="AV130" t="s">
        <v>28</v>
      </c>
      <c r="AW130" t="s">
        <v>29</v>
      </c>
      <c r="AX130" t="s">
        <v>30</v>
      </c>
      <c r="AY130" t="s">
        <v>31</v>
      </c>
      <c r="AZ130" t="s">
        <v>32</v>
      </c>
      <c r="BA130" t="s">
        <v>33</v>
      </c>
      <c r="BB130" t="s">
        <v>34</v>
      </c>
      <c r="BC130" t="s">
        <v>35</v>
      </c>
      <c r="BD130" t="s">
        <v>36</v>
      </c>
      <c r="BE130" t="s">
        <v>37</v>
      </c>
      <c r="BF130" t="s">
        <v>38</v>
      </c>
      <c r="BG130" t="s">
        <v>39</v>
      </c>
      <c r="BH130" t="s">
        <v>67</v>
      </c>
      <c r="BI130" t="s">
        <v>68</v>
      </c>
      <c r="BJ130" t="s">
        <v>69</v>
      </c>
    </row>
    <row r="131" spans="1:62" x14ac:dyDescent="0.3">
      <c r="D131">
        <v>0</v>
      </c>
      <c r="AI131">
        <v>0</v>
      </c>
    </row>
    <row r="132" spans="1:62" x14ac:dyDescent="0.3">
      <c r="D132">
        <f t="shared" ref="D132:D143" si="316">(D131+4000)*1.00721-(0.00146*(D131+4000))</f>
        <v>4022.9999999999995</v>
      </c>
      <c r="E132">
        <f>(D143+4000)*1.00721-(0.00146*(D143+4000))</f>
        <v>54141.909027713744</v>
      </c>
      <c r="F132">
        <f>(E143+4000)*1.00721-(0.00146*(E143+4000))</f>
        <v>107830.51204954676</v>
      </c>
      <c r="G132">
        <f>(F143+4000)*1.00721-(0.00146*(F143+4000))</f>
        <v>165343.05871815214</v>
      </c>
      <c r="H132">
        <f>(G143+4000)*1.00721-(0.00146*(G143+4000))</f>
        <v>226951.90748934128</v>
      </c>
      <c r="I132">
        <f>(H143+4000)*1.00721-(0.00125*(H143+4000))</f>
        <v>293414.69614675676</v>
      </c>
      <c r="J132">
        <f>(I143+4000)*1.00721-(0.00125*(I143+4000))</f>
        <v>365002.22396685352</v>
      </c>
      <c r="K132">
        <f>(J143+4000)*1.00721-(0.00125*(J143+4000))</f>
        <v>441880.90280633001</v>
      </c>
      <c r="L132">
        <f>(K143+4000)*1.00721-(0.00104*(K143+4000))</f>
        <v>524874.80600816524</v>
      </c>
      <c r="M132">
        <f>(L143+4000)*1.00721-(0.00104*(L143+4000))</f>
        <v>615052.08262658317</v>
      </c>
      <c r="N132">
        <f>(M143+4000)*1.00721-(0.00104*(M143+4000))</f>
        <v>712137.38470781012</v>
      </c>
      <c r="O132">
        <f>(N143+4000)*1.00721-(0.00104*(N143+4000))</f>
        <v>816659.90117375902</v>
      </c>
      <c r="P132">
        <f>(O143+4000)*1.00721-(0.00104*(O143+4000))</f>
        <v>929189.359435466</v>
      </c>
      <c r="Q132">
        <f>(P143+4000)*1.00721-(0.000833*(P143+4000))</f>
        <v>1051411.6738147233</v>
      </c>
      <c r="R132">
        <f>(Q143+4000)*1.00721-(0.000833*(Q143+4000))</f>
        <v>1184789.6034957697</v>
      </c>
      <c r="S132">
        <f>(R143+4000)*1.00721-(0.000833*(R143+4000))</f>
        <v>1328739.8472994326</v>
      </c>
      <c r="T132">
        <f>(S143+4000)*1.00721-(0.000833*(S143+4000))</f>
        <v>1484100.4286241443</v>
      </c>
      <c r="U132">
        <f t="shared" ref="U132:AE132" si="317">(T143+4000)*1.00721-(0.00125*(T143+4000))</f>
        <v>1651091.371576583</v>
      </c>
      <c r="V132">
        <f t="shared" si="317"/>
        <v>1823026.9983454428</v>
      </c>
      <c r="W132">
        <f t="shared" si="317"/>
        <v>2007670.6679053875</v>
      </c>
      <c r="X132">
        <f t="shared" si="317"/>
        <v>2205961.6524399365</v>
      </c>
      <c r="Y132">
        <f t="shared" si="317"/>
        <v>2418908.6472726823</v>
      </c>
      <c r="Z132">
        <f t="shared" si="317"/>
        <v>2647594.9020448774</v>
      </c>
      <c r="AA132">
        <f t="shared" si="317"/>
        <v>2893183.7311467347</v>
      </c>
      <c r="AB132">
        <f t="shared" si="317"/>
        <v>3156924.4314336982</v>
      </c>
      <c r="AC132">
        <f t="shared" si="317"/>
        <v>3440158.6373307761</v>
      </c>
      <c r="AD132">
        <f t="shared" si="317"/>
        <v>3744327.1456530141</v>
      </c>
      <c r="AE132">
        <f t="shared" si="317"/>
        <v>4070977.2448595869</v>
      </c>
      <c r="AI132">
        <f t="shared" ref="AI132:AI143" si="318">(AI131+4000)*1.00721-0</f>
        <v>4028.8399999999997</v>
      </c>
      <c r="AJ132">
        <f t="shared" ref="AJ132:BJ132" si="319">(AI143+4000)*1.00721-0</f>
        <v>54701.651446638985</v>
      </c>
      <c r="AK132">
        <f t="shared" si="319"/>
        <v>109936.7773612204</v>
      </c>
      <c r="AL132">
        <f t="shared" si="319"/>
        <v>170144.98463648537</v>
      </c>
      <c r="AM132">
        <f t="shared" si="319"/>
        <v>235774.02346419101</v>
      </c>
      <c r="AN132">
        <f t="shared" si="319"/>
        <v>307311.95711759821</v>
      </c>
      <c r="AO132">
        <f t="shared" si="319"/>
        <v>385290.79153013002</v>
      </c>
      <c r="AP132">
        <f t="shared" si="319"/>
        <v>470290.43166227784</v>
      </c>
      <c r="AQ132">
        <f t="shared" si="319"/>
        <v>562942.9940790548</v>
      </c>
      <c r="AR132">
        <f t="shared" si="319"/>
        <v>663937.50780933106</v>
      </c>
      <c r="AS132">
        <f t="shared" si="319"/>
        <v>774025.03844591533</v>
      </c>
      <c r="AT132">
        <f t="shared" si="319"/>
        <v>894024.27359276218</v>
      </c>
      <c r="AU132">
        <f t="shared" si="319"/>
        <v>1024827.6111965842</v>
      </c>
      <c r="AV132">
        <f t="shared" si="319"/>
        <v>1167407.7960399461</v>
      </c>
      <c r="AW132">
        <f t="shared" si="319"/>
        <v>1322825.1537494273</v>
      </c>
      <c r="AX132">
        <f t="shared" si="319"/>
        <v>1492235.4761159816</v>
      </c>
      <c r="AY132">
        <f t="shared" si="319"/>
        <v>1676898.61636823</v>
      </c>
      <c r="AZ132">
        <f t="shared" si="319"/>
        <v>1878187.8583191324</v>
      </c>
      <c r="BA132">
        <f t="shared" si="319"/>
        <v>2097600.1290615359</v>
      </c>
      <c r="BB132">
        <f t="shared" si="319"/>
        <v>2336767.1311613317</v>
      </c>
      <c r="BC132">
        <f t="shared" si="319"/>
        <v>2597467.4771349588</v>
      </c>
      <c r="BD132">
        <f t="shared" si="319"/>
        <v>2881639.9164516907</v>
      </c>
      <c r="BE132">
        <f t="shared" si="319"/>
        <v>3191397.7534259125</v>
      </c>
      <c r="BF132">
        <f t="shared" si="319"/>
        <v>3529044.5632208786</v>
      </c>
      <c r="BG132">
        <f t="shared" si="319"/>
        <v>3897091.3228391204</v>
      </c>
      <c r="BH132">
        <f t="shared" si="319"/>
        <v>4298275.0844974769</v>
      </c>
      <c r="BI132">
        <f t="shared" si="319"/>
        <v>4735579.3302549813</v>
      </c>
      <c r="BJ132">
        <f t="shared" si="319"/>
        <v>5212256.1592648085</v>
      </c>
    </row>
    <row r="133" spans="1:62" x14ac:dyDescent="0.3">
      <c r="D133">
        <f t="shared" si="316"/>
        <v>8069.1322499999997</v>
      </c>
      <c r="E133">
        <f t="shared" ref="E133:H136" si="320">(E132+4000)*1.00721-(0.00146*(E132+4000))</f>
        <v>58476.225004623098</v>
      </c>
      <c r="F133">
        <f t="shared" si="320"/>
        <v>112473.53749383164</v>
      </c>
      <c r="G133">
        <f t="shared" si="320"/>
        <v>170316.78130578151</v>
      </c>
      <c r="H133">
        <f t="shared" si="320"/>
        <v>232279.880957405</v>
      </c>
      <c r="I133">
        <f t="shared" ref="I133:K140" si="321">(I132+4000)*1.00721-(0.00125*(I132+4000))</f>
        <v>299187.28773579141</v>
      </c>
      <c r="J133">
        <f t="shared" si="321"/>
        <v>371201.47722169594</v>
      </c>
      <c r="K133">
        <f t="shared" si="321"/>
        <v>448538.35298705567</v>
      </c>
      <c r="L133">
        <f t="shared" ref="L133:P139" si="322">(L132+4000)*1.00721-(0.00104*(L132+4000))</f>
        <v>532137.96356123558</v>
      </c>
      <c r="M133">
        <f t="shared" si="322"/>
        <v>622871.63397638919</v>
      </c>
      <c r="N133">
        <f t="shared" si="322"/>
        <v>720555.95237145724</v>
      </c>
      <c r="O133">
        <f t="shared" si="322"/>
        <v>825723.37276400113</v>
      </c>
      <c r="P133">
        <f t="shared" si="322"/>
        <v>938947.13778318278</v>
      </c>
      <c r="Q133">
        <f t="shared" ref="Q133:Q143" si="323">(Q132+4000)*1.00721-(0.000833*(Q132+4000))</f>
        <v>1062142.0340586395</v>
      </c>
      <c r="R133">
        <f t="shared" ref="R133:R143" si="324">(R132+4000)*1.00721-(0.000833*(R132+4000))</f>
        <v>1196370.5147972621</v>
      </c>
      <c r="S133">
        <f t="shared" ref="S133:S143" si="325">(S132+4000)*1.00721-(0.000833*(S132+4000))</f>
        <v>1341238.7293056611</v>
      </c>
      <c r="T133">
        <f t="shared" ref="T133:T143" si="326">(T132+4000)*1.00721-(0.000833*(T132+4000))</f>
        <v>1497590.0450574802</v>
      </c>
      <c r="U133">
        <f t="shared" ref="U133:U143" si="327">(U132+4000)*1.00721-(0.00125*(U132+4000))</f>
        <v>1664955.7161511793</v>
      </c>
      <c r="V133">
        <f t="shared" ref="V133:V143" si="328">(V132+4000)*1.00721-(0.00125*(V132+4000))</f>
        <v>1837916.0792555816</v>
      </c>
      <c r="W133">
        <f t="shared" ref="W133:W143" si="329">(W132+4000)*1.00721-(0.00125*(W132+4000))</f>
        <v>2023660.2250861034</v>
      </c>
      <c r="X133">
        <f t="shared" ref="X133:X143" si="330">(X132+4000)*1.00721-(0.00125*(X132+4000))</f>
        <v>2223133.0238884785</v>
      </c>
      <c r="Y133">
        <f t="shared" ref="Y133:Y143" si="331">(Y132+4000)*1.00721-(0.00125*(Y132+4000))</f>
        <v>2437349.1828104272</v>
      </c>
      <c r="Z133">
        <f t="shared" ref="Z133:Z143" si="332">(Z132+4000)*1.00721-(0.00125*(Z132+4000))</f>
        <v>2667398.4076610645</v>
      </c>
      <c r="AA133">
        <f t="shared" ref="AA133:AA143" si="333">(AA132+4000)*1.00721-(0.00125*(AA132+4000))</f>
        <v>2914450.9461843688</v>
      </c>
      <c r="AB133">
        <f t="shared" ref="AB133:AB143" si="334">(AB132+4000)*1.00721-(0.00125*(AB132+4000))</f>
        <v>3179763.5410450432</v>
      </c>
      <c r="AC133">
        <f t="shared" ref="AC133:AC143" si="335">(AC132+4000)*1.00721-(0.00125*(AC132+4000))</f>
        <v>3464685.8228092673</v>
      </c>
      <c r="AD133">
        <f t="shared" ref="AD133:AD143" si="336">(AD132+4000)*1.00721-(0.00125*(AD132+4000))</f>
        <v>3770667.1754411059</v>
      </c>
      <c r="AE133">
        <f t="shared" ref="AE133:AE143" si="337">(AE132+4000)*1.00721-(0.00125*(AE132+4000))</f>
        <v>4099264.1092389501</v>
      </c>
      <c r="AI133">
        <f t="shared" si="318"/>
        <v>8086.7279363999996</v>
      </c>
      <c r="AJ133">
        <f t="shared" ref="AJ133:AJ143" si="338">(AJ132+4000)*1.00721-0</f>
        <v>59124.890353569252</v>
      </c>
      <c r="AK133">
        <f t="shared" ref="AK133:AK143" si="339">(AK132+4000)*1.00721-0</f>
        <v>114758.26152599479</v>
      </c>
      <c r="AL133">
        <f t="shared" ref="AL133:AL143" si="340">(AL132+4000)*1.00721-0</f>
        <v>175400.56997571443</v>
      </c>
      <c r="AM133">
        <f t="shared" ref="AM133:AM143" si="341">(AM132+4000)*1.00721-0</f>
        <v>241502.79417336782</v>
      </c>
      <c r="AN133">
        <f t="shared" ref="AN133:AN143" si="342">(AN132+4000)*1.00721-0</f>
        <v>313556.51632841607</v>
      </c>
      <c r="AO133">
        <f t="shared" ref="AO133:AO143" si="343">(AO132+4000)*1.00721-0</f>
        <v>392097.57813706226</v>
      </c>
      <c r="AP133">
        <f t="shared" ref="AP133:AP143" si="344">(AP132+4000)*1.00721-0</f>
        <v>477710.06567456282</v>
      </c>
      <c r="AQ133">
        <f t="shared" ref="AQ133:AQ143" si="345">(AQ132+4000)*1.00721-0</f>
        <v>571030.6530663647</v>
      </c>
      <c r="AR133">
        <f t="shared" ref="AR133:AR143" si="346">(AR132+4000)*1.00721-0</f>
        <v>672753.33724063635</v>
      </c>
      <c r="AS133">
        <f t="shared" ref="AS133:AS143" si="347">(AS132+4000)*1.00721-0</f>
        <v>783634.59897311032</v>
      </c>
      <c r="AT133">
        <f t="shared" ref="AT133:AT143" si="348">(AT132+4000)*1.00721-0</f>
        <v>904499.02860536589</v>
      </c>
      <c r="AU133">
        <f t="shared" ref="AU133:AU143" si="349">(AU132+4000)*1.00721-0</f>
        <v>1036245.4582733115</v>
      </c>
      <c r="AV133">
        <f t="shared" ref="AV133:AV143" si="350">(AV132+4000)*1.00721-0</f>
        <v>1179853.6462493942</v>
      </c>
      <c r="AW133">
        <f t="shared" ref="AW133:AW143" si="351">(AW132+4000)*1.00721-0</f>
        <v>1336391.5631079606</v>
      </c>
      <c r="AX133">
        <f t="shared" ref="AX133:AX143" si="352">(AX132+4000)*1.00721-0</f>
        <v>1507023.3338987776</v>
      </c>
      <c r="AY133">
        <f t="shared" ref="AY133:AY143" si="353">(AY132+4000)*1.00721-0</f>
        <v>1693017.8953922449</v>
      </c>
      <c r="AZ133">
        <f t="shared" ref="AZ133:AZ143" si="354">(AZ132+4000)*1.00721-0</f>
        <v>1895758.4327776132</v>
      </c>
      <c r="BA133">
        <f t="shared" ref="BA133:BA143" si="355">(BA132+4000)*1.00721-0</f>
        <v>2116752.6659920695</v>
      </c>
      <c r="BB133">
        <f t="shared" ref="BB133:BB143" si="356">(BB132+4000)*1.00721-0</f>
        <v>2357644.0621770048</v>
      </c>
      <c r="BC133">
        <f t="shared" ref="BC133:BC143" si="357">(BC132+4000)*1.00721-0</f>
        <v>2620224.0576451016</v>
      </c>
      <c r="BD133">
        <f t="shared" ref="BD133:BD143" si="358">(BD132+4000)*1.00721-0</f>
        <v>2906445.380249307</v>
      </c>
      <c r="BE133">
        <f t="shared" ref="BE133:BE143" si="359">(BE132+4000)*1.00721-0</f>
        <v>3218436.571228113</v>
      </c>
      <c r="BF133">
        <f t="shared" ref="BF133:BF143" si="360">(BF132+4000)*1.00721-0</f>
        <v>3558517.8145217011</v>
      </c>
      <c r="BG133">
        <f t="shared" ref="BG133:BG143" si="361">(BG132+4000)*1.00721-0</f>
        <v>3929218.1912767901</v>
      </c>
      <c r="BH133">
        <f t="shared" ref="BH133:BH143" si="362">(BH132+4000)*1.00721-0</f>
        <v>4333294.4878567038</v>
      </c>
      <c r="BI133">
        <f t="shared" ref="BI133:BI143" si="363">(BI132+4000)*1.00721-0</f>
        <v>4773751.6972261192</v>
      </c>
      <c r="BJ133">
        <f t="shared" ref="BJ133:BJ143" si="364">(BJ132+4000)*1.00721-0</f>
        <v>5253865.3661731072</v>
      </c>
    </row>
    <row r="134" spans="1:62" x14ac:dyDescent="0.3">
      <c r="A134">
        <f>0.0175/12</f>
        <v>1.4583333333333334E-3</v>
      </c>
      <c r="B134">
        <v>1.75</v>
      </c>
      <c r="D134">
        <f t="shared" si="316"/>
        <v>12138.529760437499</v>
      </c>
      <c r="E134">
        <f t="shared" si="320"/>
        <v>62835.463298399678</v>
      </c>
      <c r="F134">
        <f t="shared" si="320"/>
        <v>117143.26033442115</v>
      </c>
      <c r="G134">
        <f t="shared" si="320"/>
        <v>175319.10279828974</v>
      </c>
      <c r="H134">
        <f t="shared" si="320"/>
        <v>237638.49027291007</v>
      </c>
      <c r="I134">
        <f t="shared" si="321"/>
        <v>304994.28397069668</v>
      </c>
      <c r="J134">
        <f t="shared" si="321"/>
        <v>377437.67802593723</v>
      </c>
      <c r="K134">
        <f t="shared" si="321"/>
        <v>455235.48157085845</v>
      </c>
      <c r="L134">
        <f t="shared" si="322"/>
        <v>539445.9347964084</v>
      </c>
      <c r="M134">
        <f t="shared" si="322"/>
        <v>630739.43195802346</v>
      </c>
      <c r="N134">
        <f t="shared" si="322"/>
        <v>729026.46259758901</v>
      </c>
      <c r="O134">
        <f t="shared" si="322"/>
        <v>834842.76597395504</v>
      </c>
      <c r="P134">
        <f t="shared" si="322"/>
        <v>948765.12162330502</v>
      </c>
      <c r="Q134">
        <f t="shared" si="323"/>
        <v>1072940.8218098313</v>
      </c>
      <c r="R134">
        <f t="shared" si="324"/>
        <v>1208025.2775701242</v>
      </c>
      <c r="S134">
        <f t="shared" si="325"/>
        <v>1353817.316682443</v>
      </c>
      <c r="T134">
        <f t="shared" si="326"/>
        <v>1511165.6847748116</v>
      </c>
      <c r="U134">
        <f t="shared" si="327"/>
        <v>1678902.6922194401</v>
      </c>
      <c r="V134">
        <f t="shared" si="328"/>
        <v>1852893.8990879448</v>
      </c>
      <c r="W134">
        <f t="shared" si="329"/>
        <v>2039745.0800276166</v>
      </c>
      <c r="X134">
        <f t="shared" si="330"/>
        <v>2240406.7367108534</v>
      </c>
      <c r="Y134">
        <f t="shared" si="331"/>
        <v>2455899.6239399775</v>
      </c>
      <c r="Z134">
        <f t="shared" si="332"/>
        <v>2687319.9421707243</v>
      </c>
      <c r="AA134">
        <f t="shared" si="333"/>
        <v>2935844.9138236274</v>
      </c>
      <c r="AB134">
        <f t="shared" si="334"/>
        <v>3202738.7717496715</v>
      </c>
      <c r="AC134">
        <f t="shared" si="335"/>
        <v>3489359.1903132107</v>
      </c>
      <c r="AD134">
        <f t="shared" si="336"/>
        <v>3797164.1918067345</v>
      </c>
      <c r="AE134">
        <f t="shared" si="337"/>
        <v>4127719.5633300138</v>
      </c>
      <c r="AI134">
        <f t="shared" si="318"/>
        <v>12173.873244821441</v>
      </c>
      <c r="AJ134">
        <f t="shared" si="338"/>
        <v>63580.020813018484</v>
      </c>
      <c r="AK134">
        <f t="shared" si="339"/>
        <v>119614.5085915972</v>
      </c>
      <c r="AL134">
        <f t="shared" si="340"/>
        <v>180694.04808523931</v>
      </c>
      <c r="AM134">
        <f t="shared" si="341"/>
        <v>247272.86931935779</v>
      </c>
      <c r="AN134">
        <f t="shared" si="342"/>
        <v>319846.09881114395</v>
      </c>
      <c r="AO134">
        <f t="shared" si="343"/>
        <v>398953.44167543045</v>
      </c>
      <c r="AP134">
        <f t="shared" si="344"/>
        <v>485183.1952480764</v>
      </c>
      <c r="AQ134">
        <f t="shared" si="345"/>
        <v>579176.62407497317</v>
      </c>
      <c r="AR134">
        <f t="shared" si="346"/>
        <v>681632.72880214127</v>
      </c>
      <c r="AS134">
        <f t="shared" si="347"/>
        <v>793313.44443170645</v>
      </c>
      <c r="AT134">
        <f t="shared" si="348"/>
        <v>915049.3066016105</v>
      </c>
      <c r="AU134">
        <f t="shared" si="349"/>
        <v>1047745.6280274621</v>
      </c>
      <c r="AV134">
        <f t="shared" si="350"/>
        <v>1192389.2310388521</v>
      </c>
      <c r="AW134">
        <f t="shared" si="351"/>
        <v>1350055.7862779689</v>
      </c>
      <c r="AX134">
        <f t="shared" si="352"/>
        <v>1521917.8121361877</v>
      </c>
      <c r="AY134">
        <f t="shared" si="353"/>
        <v>1709253.3944180228</v>
      </c>
      <c r="AZ134">
        <f t="shared" si="354"/>
        <v>1913455.6910779397</v>
      </c>
      <c r="BA134">
        <f t="shared" si="355"/>
        <v>2136043.2927138722</v>
      </c>
      <c r="BB134">
        <f t="shared" si="356"/>
        <v>2378671.5158653008</v>
      </c>
      <c r="BC134">
        <f t="shared" si="357"/>
        <v>2643144.7131007225</v>
      </c>
      <c r="BD134">
        <f t="shared" si="358"/>
        <v>2931429.6914409045</v>
      </c>
      <c r="BE134">
        <f t="shared" si="359"/>
        <v>3245670.3389066677</v>
      </c>
      <c r="BF134">
        <f t="shared" si="360"/>
        <v>3588203.5679644025</v>
      </c>
      <c r="BG134">
        <f t="shared" si="361"/>
        <v>3961576.6944358954</v>
      </c>
      <c r="BH134">
        <f t="shared" si="362"/>
        <v>4368566.3811141504</v>
      </c>
      <c r="BI134">
        <f t="shared" si="363"/>
        <v>4812199.2869631192</v>
      </c>
      <c r="BJ134">
        <f t="shared" si="364"/>
        <v>5295774.5754632149</v>
      </c>
    </row>
    <row r="135" spans="1:62" x14ac:dyDescent="0.3">
      <c r="A135">
        <f>0.015/12</f>
        <v>1.25E-3</v>
      </c>
      <c r="B135">
        <v>1.5</v>
      </c>
      <c r="D135">
        <f t="shared" si="316"/>
        <v>16231.326306560015</v>
      </c>
      <c r="E135">
        <f t="shared" si="320"/>
        <v>67219.767212365463</v>
      </c>
      <c r="F135">
        <f t="shared" si="320"/>
        <v>121839.83408134406</v>
      </c>
      <c r="G135">
        <f t="shared" si="320"/>
        <v>180350.1876393799</v>
      </c>
      <c r="H135">
        <f t="shared" si="320"/>
        <v>243027.9115919793</v>
      </c>
      <c r="I135">
        <f t="shared" si="321"/>
        <v>310835.88990316202</v>
      </c>
      <c r="J135">
        <f t="shared" si="321"/>
        <v>383711.04658697179</v>
      </c>
      <c r="K135">
        <f t="shared" si="321"/>
        <v>461972.52504102077</v>
      </c>
      <c r="L135">
        <f t="shared" si="322"/>
        <v>546798.99621410226</v>
      </c>
      <c r="M135">
        <f t="shared" si="322"/>
        <v>638655.77425320446</v>
      </c>
      <c r="N135">
        <f t="shared" si="322"/>
        <v>737549.23587181605</v>
      </c>
      <c r="O135">
        <f t="shared" si="322"/>
        <v>844018.42584001436</v>
      </c>
      <c r="P135">
        <f t="shared" si="322"/>
        <v>958643.68242372083</v>
      </c>
      <c r="Q135">
        <f t="shared" si="323"/>
        <v>1083808.4734305125</v>
      </c>
      <c r="R135">
        <f t="shared" si="324"/>
        <v>1219754.3627651888</v>
      </c>
      <c r="S135">
        <f t="shared" si="325"/>
        <v>1366476.1177109268</v>
      </c>
      <c r="T135">
        <f t="shared" si="326"/>
        <v>1524827.8963466205</v>
      </c>
      <c r="U135">
        <f t="shared" si="327"/>
        <v>1692932.7922650678</v>
      </c>
      <c r="V135">
        <f t="shared" si="328"/>
        <v>1867960.9867265087</v>
      </c>
      <c r="W135">
        <f t="shared" si="329"/>
        <v>2055925.8007045812</v>
      </c>
      <c r="X135">
        <f t="shared" si="330"/>
        <v>2257783.4008616502</v>
      </c>
      <c r="Y135">
        <f t="shared" si="331"/>
        <v>2474560.6256986596</v>
      </c>
      <c r="Z135">
        <f t="shared" si="332"/>
        <v>2707360.2090260615</v>
      </c>
      <c r="AA135">
        <f t="shared" si="333"/>
        <v>2957366.389510016</v>
      </c>
      <c r="AB135">
        <f t="shared" si="334"/>
        <v>3225850.9348292993</v>
      </c>
      <c r="AC135">
        <f t="shared" si="335"/>
        <v>3514179.6110874773</v>
      </c>
      <c r="AD135">
        <f t="shared" si="336"/>
        <v>3823819.1303899023</v>
      </c>
      <c r="AE135">
        <f t="shared" si="337"/>
        <v>4156344.6119274604</v>
      </c>
      <c r="AI135">
        <f t="shared" si="318"/>
        <v>16290.486870916602</v>
      </c>
      <c r="AJ135">
        <f t="shared" si="338"/>
        <v>68067.272763080357</v>
      </c>
      <c r="AK135">
        <f t="shared" si="339"/>
        <v>124505.76919854261</v>
      </c>
      <c r="AL135">
        <f t="shared" si="340"/>
        <v>186025.69217193389</v>
      </c>
      <c r="AM135">
        <f t="shared" si="341"/>
        <v>253084.54670715035</v>
      </c>
      <c r="AN135">
        <f t="shared" si="342"/>
        <v>326181.02918357227</v>
      </c>
      <c r="AO135">
        <f t="shared" si="343"/>
        <v>405858.73598991026</v>
      </c>
      <c r="AP135">
        <f t="shared" si="344"/>
        <v>492710.20608581498</v>
      </c>
      <c r="AQ135">
        <f t="shared" si="345"/>
        <v>587381.32753455371</v>
      </c>
      <c r="AR135">
        <f t="shared" si="346"/>
        <v>690576.14077680465</v>
      </c>
      <c r="AS135">
        <f t="shared" si="347"/>
        <v>803062.07436605904</v>
      </c>
      <c r="AT135">
        <f t="shared" si="348"/>
        <v>925675.652102208</v>
      </c>
      <c r="AU135">
        <f t="shared" si="349"/>
        <v>1059328.7140055399</v>
      </c>
      <c r="AV135">
        <f t="shared" si="350"/>
        <v>1205015.1973946423</v>
      </c>
      <c r="AW135">
        <f t="shared" si="351"/>
        <v>1363818.5284970331</v>
      </c>
      <c r="AX135">
        <f t="shared" si="352"/>
        <v>1536919.6795616895</v>
      </c>
      <c r="AY135">
        <f t="shared" si="353"/>
        <v>1725605.9513917766</v>
      </c>
      <c r="AZ135">
        <f t="shared" si="354"/>
        <v>1931280.5466106115</v>
      </c>
      <c r="BA135">
        <f t="shared" si="355"/>
        <v>2155473.0048543392</v>
      </c>
      <c r="BB135">
        <f t="shared" si="356"/>
        <v>2399850.5774946893</v>
      </c>
      <c r="BC135">
        <f t="shared" si="357"/>
        <v>2666230.6264821785</v>
      </c>
      <c r="BD135">
        <f t="shared" si="358"/>
        <v>2956594.1395161934</v>
      </c>
      <c r="BE135">
        <f t="shared" si="359"/>
        <v>3273100.4620501846</v>
      </c>
      <c r="BF135">
        <f t="shared" si="360"/>
        <v>3618103.3556894255</v>
      </c>
      <c r="BG135">
        <f t="shared" si="361"/>
        <v>3994168.5024027778</v>
      </c>
      <c r="BH135">
        <f t="shared" si="362"/>
        <v>4404092.5847219834</v>
      </c>
      <c r="BI135">
        <f t="shared" si="363"/>
        <v>4850924.0838221228</v>
      </c>
      <c r="BJ135">
        <f t="shared" si="364"/>
        <v>5337985.950152304</v>
      </c>
    </row>
    <row r="136" spans="1:62" x14ac:dyDescent="0.3">
      <c r="A136">
        <f>0.0125/12</f>
        <v>1.0416666666666667E-3</v>
      </c>
      <c r="B136">
        <v>1.25</v>
      </c>
      <c r="D136">
        <f t="shared" si="316"/>
        <v>20347.656432822732</v>
      </c>
      <c r="E136">
        <f t="shared" si="320"/>
        <v>71629.280873836571</v>
      </c>
      <c r="F136">
        <f t="shared" si="320"/>
        <v>126563.41312731178</v>
      </c>
      <c r="G136">
        <f t="shared" si="320"/>
        <v>185410.20121830632</v>
      </c>
      <c r="H136">
        <f t="shared" si="320"/>
        <v>248448.32208363316</v>
      </c>
      <c r="I136">
        <f t="shared" si="321"/>
        <v>316712.31180698483</v>
      </c>
      <c r="J136">
        <f t="shared" si="321"/>
        <v>390021.80442463013</v>
      </c>
      <c r="K136">
        <f t="shared" si="321"/>
        <v>468749.72129026521</v>
      </c>
      <c r="L136">
        <f t="shared" si="322"/>
        <v>554197.42602074321</v>
      </c>
      <c r="M136">
        <f t="shared" si="322"/>
        <v>646620.96038034675</v>
      </c>
      <c r="N136">
        <f t="shared" si="322"/>
        <v>746124.59465714509</v>
      </c>
      <c r="O136">
        <f t="shared" si="322"/>
        <v>853250.69952744711</v>
      </c>
      <c r="P136">
        <f t="shared" si="322"/>
        <v>968583.19394427515</v>
      </c>
      <c r="Q136">
        <f t="shared" si="323"/>
        <v>1094745.4280655787</v>
      </c>
      <c r="R136">
        <f t="shared" si="324"/>
        <v>1231558.2443365422</v>
      </c>
      <c r="S136">
        <f t="shared" si="325"/>
        <v>1379215.6439135694</v>
      </c>
      <c r="T136">
        <f t="shared" si="326"/>
        <v>1538577.2318416229</v>
      </c>
      <c r="U136">
        <f t="shared" si="327"/>
        <v>1707046.5117069674</v>
      </c>
      <c r="V136">
        <f t="shared" si="328"/>
        <v>1883117.8742073986</v>
      </c>
      <c r="W136">
        <f t="shared" si="329"/>
        <v>2072202.9584767804</v>
      </c>
      <c r="X136">
        <f t="shared" si="330"/>
        <v>2275263.6299307859</v>
      </c>
      <c r="Y136">
        <f t="shared" si="331"/>
        <v>2493332.8470278233</v>
      </c>
      <c r="Z136">
        <f t="shared" si="332"/>
        <v>2727519.9158718563</v>
      </c>
      <c r="AA136">
        <f t="shared" si="333"/>
        <v>2979016.1331914957</v>
      </c>
      <c r="AB136">
        <f t="shared" si="334"/>
        <v>3249100.8464008821</v>
      </c>
      <c r="AC136">
        <f t="shared" si="335"/>
        <v>3539147.9615695584</v>
      </c>
      <c r="AD136">
        <f t="shared" si="336"/>
        <v>3850632.9324070262</v>
      </c>
      <c r="AE136">
        <f t="shared" si="337"/>
        <v>4185140.2658145479</v>
      </c>
      <c r="AI136">
        <f t="shared" si="318"/>
        <v>20436.781281255913</v>
      </c>
      <c r="AJ136">
        <f t="shared" si="338"/>
        <v>72586.877799702168</v>
      </c>
      <c r="AK136">
        <f t="shared" si="339"/>
        <v>129432.29579446409</v>
      </c>
      <c r="AL136">
        <f t="shared" si="340"/>
        <v>191395.77741249351</v>
      </c>
      <c r="AM136">
        <f t="shared" si="341"/>
        <v>258938.12628890888</v>
      </c>
      <c r="AN136">
        <f t="shared" si="342"/>
        <v>332561.63440398581</v>
      </c>
      <c r="AO136">
        <f t="shared" si="343"/>
        <v>412813.8174763975</v>
      </c>
      <c r="AP136">
        <f t="shared" si="344"/>
        <v>500291.48667169368</v>
      </c>
      <c r="AQ136">
        <f t="shared" si="345"/>
        <v>595645.18690607778</v>
      </c>
      <c r="AR136">
        <f t="shared" si="346"/>
        <v>699584.03475180536</v>
      </c>
      <c r="AS136">
        <f t="shared" si="347"/>
        <v>812880.99192223826</v>
      </c>
      <c r="AT136">
        <f t="shared" si="348"/>
        <v>936378.61355386488</v>
      </c>
      <c r="AU136">
        <f t="shared" si="349"/>
        <v>1070995.3140335197</v>
      </c>
      <c r="AV136">
        <f t="shared" si="350"/>
        <v>1217732.1969678577</v>
      </c>
      <c r="AW136">
        <f t="shared" si="351"/>
        <v>1377680.5000874966</v>
      </c>
      <c r="AX136">
        <f t="shared" si="352"/>
        <v>1552029.7104513291</v>
      </c>
      <c r="AY136">
        <f t="shared" si="353"/>
        <v>1742076.4103013112</v>
      </c>
      <c r="AZ136">
        <f t="shared" si="354"/>
        <v>1949233.9193516739</v>
      </c>
      <c r="BA136">
        <f t="shared" si="355"/>
        <v>2175042.8052193387</v>
      </c>
      <c r="BB136">
        <f t="shared" si="356"/>
        <v>2421182.3401584257</v>
      </c>
      <c r="BC136">
        <f t="shared" si="357"/>
        <v>2689482.9892991148</v>
      </c>
      <c r="BD136">
        <f t="shared" si="358"/>
        <v>2981940.023262105</v>
      </c>
      <c r="BE136">
        <f t="shared" si="359"/>
        <v>3300728.3563815663</v>
      </c>
      <c r="BF136">
        <f t="shared" si="360"/>
        <v>3648218.7208839459</v>
      </c>
      <c r="BG136">
        <f t="shared" si="361"/>
        <v>4026995.2973051015</v>
      </c>
      <c r="BH136">
        <f t="shared" si="362"/>
        <v>4439874.9322578283</v>
      </c>
      <c r="BI136">
        <f t="shared" si="363"/>
        <v>4889928.08646648</v>
      </c>
      <c r="BJ136">
        <f t="shared" si="364"/>
        <v>5380501.668852902</v>
      </c>
    </row>
    <row r="137" spans="1:62" x14ac:dyDescent="0.3">
      <c r="A137">
        <f>0.01/12</f>
        <v>8.3333333333333339E-4</v>
      </c>
      <c r="B137">
        <v>1</v>
      </c>
      <c r="D137">
        <f t="shared" si="316"/>
        <v>24487.655457311463</v>
      </c>
      <c r="E137">
        <f t="shared" ref="E137:G143" si="365">(E136+4000)*1.00721-(0.00146*(E136+4000))</f>
        <v>76064.149238861137</v>
      </c>
      <c r="F137">
        <f t="shared" si="365"/>
        <v>131314.1527527938</v>
      </c>
      <c r="G137">
        <f t="shared" si="365"/>
        <v>190499.30987531156</v>
      </c>
      <c r="H137">
        <f t="shared" ref="H137:H143" si="366">(H136+4000)*1.00721-(0.00125*(H136+4000))</f>
        <v>253952.91408325158</v>
      </c>
      <c r="I137">
        <f t="shared" si="321"/>
        <v>322623.75718535442</v>
      </c>
      <c r="J137">
        <f t="shared" si="321"/>
        <v>396370.17437900091</v>
      </c>
      <c r="K137">
        <f t="shared" si="321"/>
        <v>475567.30962915515</v>
      </c>
      <c r="L137">
        <f t="shared" si="322"/>
        <v>561641.50413929112</v>
      </c>
      <c r="M137">
        <f t="shared" si="322"/>
        <v>654635.29170589347</v>
      </c>
      <c r="N137">
        <f t="shared" si="322"/>
        <v>754752.86340617959</v>
      </c>
      <c r="O137">
        <f t="shared" si="322"/>
        <v>862539.93634353147</v>
      </c>
      <c r="P137">
        <f t="shared" si="322"/>
        <v>978584.03225091123</v>
      </c>
      <c r="Q137">
        <f t="shared" si="323"/>
        <v>1105752.1276603527</v>
      </c>
      <c r="R137">
        <f t="shared" si="324"/>
        <v>1243437.3992606762</v>
      </c>
      <c r="S137">
        <f t="shared" si="325"/>
        <v>1392036.4100748061</v>
      </c>
      <c r="T137">
        <f t="shared" si="326"/>
        <v>1552414.2468490766</v>
      </c>
      <c r="U137">
        <f t="shared" si="327"/>
        <v>1721244.3489167409</v>
      </c>
      <c r="V137">
        <f t="shared" si="328"/>
        <v>1898365.0967376747</v>
      </c>
      <c r="W137">
        <f t="shared" si="329"/>
        <v>2088577.1281093019</v>
      </c>
      <c r="X137">
        <f t="shared" si="330"/>
        <v>2292848.0411651731</v>
      </c>
      <c r="Y137">
        <f t="shared" si="331"/>
        <v>2512216.9507961092</v>
      </c>
      <c r="Z137">
        <f t="shared" si="332"/>
        <v>2747799.7745704525</v>
      </c>
      <c r="AA137">
        <f t="shared" si="333"/>
        <v>3000794.9093453167</v>
      </c>
      <c r="AB137">
        <f t="shared" si="334"/>
        <v>3272489.3274454311</v>
      </c>
      <c r="AC137">
        <f t="shared" si="335"/>
        <v>3564265.1234205128</v>
      </c>
      <c r="AD137">
        <f t="shared" si="336"/>
        <v>3877606.5446841717</v>
      </c>
      <c r="AE137">
        <f t="shared" si="337"/>
        <v>4214107.541798803</v>
      </c>
      <c r="AI137">
        <f t="shared" si="318"/>
        <v>24612.970474293768</v>
      </c>
      <c r="AJ137">
        <f t="shared" si="338"/>
        <v>77139.069188638023</v>
      </c>
      <c r="AK137">
        <f t="shared" si="339"/>
        <v>134394.34264714218</v>
      </c>
      <c r="AL137">
        <f t="shared" si="340"/>
        <v>196804.58096763756</v>
      </c>
      <c r="AM137">
        <f t="shared" si="341"/>
        <v>264833.91017945192</v>
      </c>
      <c r="AN137">
        <f t="shared" si="342"/>
        <v>338988.2437880385</v>
      </c>
      <c r="AO137">
        <f t="shared" si="343"/>
        <v>419819.04510040232</v>
      </c>
      <c r="AP137">
        <f t="shared" si="344"/>
        <v>507927.42829059658</v>
      </c>
      <c r="AQ137">
        <f t="shared" si="345"/>
        <v>603968.62870367058</v>
      </c>
      <c r="AR137">
        <f t="shared" si="346"/>
        <v>708656.87564236578</v>
      </c>
      <c r="AS137">
        <f t="shared" si="347"/>
        <v>822770.70387399755</v>
      </c>
      <c r="AT137">
        <f t="shared" si="348"/>
        <v>947158.74335758819</v>
      </c>
      <c r="AU137">
        <f t="shared" si="349"/>
        <v>1082746.0302477013</v>
      </c>
      <c r="AV137">
        <f t="shared" si="350"/>
        <v>1230540.8861079959</v>
      </c>
      <c r="AW137">
        <f t="shared" si="351"/>
        <v>1391642.4164931274</v>
      </c>
      <c r="AX137">
        <f t="shared" si="352"/>
        <v>1567248.6846636832</v>
      </c>
      <c r="AY137">
        <f t="shared" si="353"/>
        <v>1758665.6212195836</v>
      </c>
      <c r="AZ137">
        <f t="shared" si="354"/>
        <v>1967316.7359101993</v>
      </c>
      <c r="BA137">
        <f t="shared" si="355"/>
        <v>2194753.7038449701</v>
      </c>
      <c r="BB137">
        <f t="shared" si="356"/>
        <v>2442667.904830968</v>
      </c>
      <c r="BC137">
        <f t="shared" si="357"/>
        <v>2712903.0016519614</v>
      </c>
      <c r="BD137">
        <f t="shared" si="358"/>
        <v>3007468.6508298246</v>
      </c>
      <c r="BE137">
        <f t="shared" si="359"/>
        <v>3328555.447831077</v>
      </c>
      <c r="BF137">
        <f t="shared" si="360"/>
        <v>3678551.2178615187</v>
      </c>
      <c r="BG137">
        <f t="shared" si="361"/>
        <v>4060058.7733986708</v>
      </c>
      <c r="BH137">
        <f t="shared" si="362"/>
        <v>4475915.2705194065</v>
      </c>
      <c r="BI137">
        <f t="shared" si="363"/>
        <v>4929213.3079699026</v>
      </c>
      <c r="BJ137">
        <f t="shared" si="364"/>
        <v>5423323.9258853309</v>
      </c>
    </row>
    <row r="138" spans="1:62" x14ac:dyDescent="0.3">
      <c r="D138">
        <f t="shared" si="316"/>
        <v>28651.459476191005</v>
      </c>
      <c r="E138">
        <f t="shared" si="365"/>
        <v>80524.518096984582</v>
      </c>
      <c r="F138">
        <f t="shared" si="365"/>
        <v>136092.20913112236</v>
      </c>
      <c r="G138">
        <f t="shared" si="365"/>
        <v>195617.68090709459</v>
      </c>
      <c r="H138">
        <f t="shared" si="366"/>
        <v>259490.31345118774</v>
      </c>
      <c r="I138">
        <f t="shared" si="321"/>
        <v>328570.4347781791</v>
      </c>
      <c r="J138">
        <f t="shared" si="321"/>
        <v>402756.38061829971</v>
      </c>
      <c r="K138">
        <f t="shared" si="321"/>
        <v>482425.53079454484</v>
      </c>
      <c r="L138">
        <f t="shared" si="322"/>
        <v>569131.51221983053</v>
      </c>
      <c r="M138">
        <f t="shared" si="322"/>
        <v>662699.07145571883</v>
      </c>
      <c r="N138">
        <f t="shared" si="322"/>
        <v>763434.36857339565</v>
      </c>
      <c r="O138">
        <f t="shared" si="322"/>
        <v>871886.48775077099</v>
      </c>
      <c r="P138">
        <f t="shared" si="322"/>
        <v>988646.57572989934</v>
      </c>
      <c r="Q138">
        <f t="shared" si="323"/>
        <v>1116829.0169784427</v>
      </c>
      <c r="R138">
        <f t="shared" si="324"/>
        <v>1255392.3075557617</v>
      </c>
      <c r="S138">
        <f t="shared" si="325"/>
        <v>1404938.9342618531</v>
      </c>
      <c r="T138">
        <f t="shared" si="326"/>
        <v>1566339.5005012332</v>
      </c>
      <c r="U138">
        <f t="shared" si="327"/>
        <v>1735526.8052362844</v>
      </c>
      <c r="V138">
        <f t="shared" si="328"/>
        <v>1913703.1927142311</v>
      </c>
      <c r="W138">
        <f t="shared" si="329"/>
        <v>2105048.8877928331</v>
      </c>
      <c r="X138">
        <f t="shared" si="330"/>
        <v>2310537.2554905172</v>
      </c>
      <c r="Y138">
        <f t="shared" si="331"/>
        <v>2531213.6038228539</v>
      </c>
      <c r="Z138">
        <f t="shared" si="332"/>
        <v>2768200.5012268922</v>
      </c>
      <c r="AA138">
        <f t="shared" si="333"/>
        <v>3022703.4870050144</v>
      </c>
      <c r="AB138">
        <f t="shared" si="334"/>
        <v>3296017.2038370059</v>
      </c>
      <c r="AC138">
        <f t="shared" si="335"/>
        <v>3589531.9835560988</v>
      </c>
      <c r="AD138">
        <f t="shared" si="336"/>
        <v>3904740.9196904888</v>
      </c>
      <c r="AE138">
        <f t="shared" si="337"/>
        <v>4243247.462747924</v>
      </c>
      <c r="AI138">
        <f t="shared" si="318"/>
        <v>28819.269991413425</v>
      </c>
      <c r="AJ138">
        <f t="shared" si="338"/>
        <v>81724.081877488105</v>
      </c>
      <c r="AK138">
        <f t="shared" si="339"/>
        <v>139392.16585762808</v>
      </c>
      <c r="AL138">
        <f t="shared" si="340"/>
        <v>202252.38199641422</v>
      </c>
      <c r="AM138">
        <f t="shared" si="341"/>
        <v>270772.20267184573</v>
      </c>
      <c r="AN138">
        <f t="shared" si="342"/>
        <v>345461.18902575021</v>
      </c>
      <c r="AO138">
        <f t="shared" si="343"/>
        <v>426874.78041557618</v>
      </c>
      <c r="AP138">
        <f t="shared" si="344"/>
        <v>515618.42504857178</v>
      </c>
      <c r="AQ138">
        <f t="shared" si="345"/>
        <v>612352.08251662401</v>
      </c>
      <c r="AR138">
        <f t="shared" si="346"/>
        <v>717795.13171574718</v>
      </c>
      <c r="AS138">
        <f t="shared" si="347"/>
        <v>832731.72064892901</v>
      </c>
      <c r="AT138">
        <f t="shared" si="348"/>
        <v>958016.5978971963</v>
      </c>
      <c r="AU138">
        <f t="shared" si="349"/>
        <v>1094581.4691257873</v>
      </c>
      <c r="AV138">
        <f t="shared" si="350"/>
        <v>1243441.9258968343</v>
      </c>
      <c r="AW138">
        <f t="shared" si="351"/>
        <v>1405704.9983160428</v>
      </c>
      <c r="AX138">
        <f t="shared" si="352"/>
        <v>1582577.3876801082</v>
      </c>
      <c r="AY138">
        <f t="shared" si="353"/>
        <v>1775374.4403485768</v>
      </c>
      <c r="AZ138">
        <f t="shared" si="354"/>
        <v>1985529.9295761117</v>
      </c>
      <c r="BA138">
        <f t="shared" si="355"/>
        <v>2214606.718049692</v>
      </c>
      <c r="BB138">
        <f t="shared" si="356"/>
        <v>2464308.3804247989</v>
      </c>
      <c r="BC138">
        <f t="shared" si="357"/>
        <v>2736491.8722938718</v>
      </c>
      <c r="BD138">
        <f t="shared" si="358"/>
        <v>3033181.3398023075</v>
      </c>
      <c r="BE138">
        <f t="shared" si="359"/>
        <v>3356583.1726099388</v>
      </c>
      <c r="BF138">
        <f t="shared" si="360"/>
        <v>3709102.4121423</v>
      </c>
      <c r="BG138">
        <f t="shared" si="361"/>
        <v>4093360.6371548749</v>
      </c>
      <c r="BH138">
        <f t="shared" si="362"/>
        <v>4512215.4596198509</v>
      </c>
      <c r="BI138">
        <f t="shared" si="363"/>
        <v>4968781.775920365</v>
      </c>
      <c r="BJ138">
        <f t="shared" si="364"/>
        <v>5466454.9313909635</v>
      </c>
    </row>
    <row r="139" spans="1:62" x14ac:dyDescent="0.3">
      <c r="D139">
        <f t="shared" si="316"/>
        <v>32839.2053681791</v>
      </c>
      <c r="E139">
        <f t="shared" si="365"/>
        <v>85010.534076042226</v>
      </c>
      <c r="F139">
        <f t="shared" si="365"/>
        <v>140897.73933362632</v>
      </c>
      <c r="G139">
        <f t="shared" si="365"/>
        <v>200765.48257231037</v>
      </c>
      <c r="H139">
        <f t="shared" si="366"/>
        <v>265060.71571935684</v>
      </c>
      <c r="I139">
        <f t="shared" si="321"/>
        <v>334552.55456945702</v>
      </c>
      <c r="J139">
        <f t="shared" si="321"/>
        <v>409180.64864678471</v>
      </c>
      <c r="K139">
        <f t="shared" si="321"/>
        <v>489324.62695808028</v>
      </c>
      <c r="L139">
        <f t="shared" si="322"/>
        <v>576667.73365022684</v>
      </c>
      <c r="M139">
        <f t="shared" si="322"/>
        <v>670812.60472660058</v>
      </c>
      <c r="N139">
        <f t="shared" si="322"/>
        <v>772169.43862749345</v>
      </c>
      <c r="O139">
        <f t="shared" si="322"/>
        <v>881290.70738019317</v>
      </c>
      <c r="P139">
        <f t="shared" si="322"/>
        <v>998771.20510215277</v>
      </c>
      <c r="Q139">
        <f t="shared" si="323"/>
        <v>1127976.5436197142</v>
      </c>
      <c r="R139">
        <f t="shared" si="324"/>
        <v>1267423.4523010447</v>
      </c>
      <c r="S139">
        <f t="shared" si="325"/>
        <v>1417923.7378456409</v>
      </c>
      <c r="T139">
        <f t="shared" si="326"/>
        <v>1580353.5554959294</v>
      </c>
      <c r="U139">
        <f t="shared" si="327"/>
        <v>1749894.3849954924</v>
      </c>
      <c r="V139">
        <f t="shared" si="328"/>
        <v>1929132.7037428077</v>
      </c>
      <c r="W139">
        <f t="shared" si="329"/>
        <v>2121618.8191640782</v>
      </c>
      <c r="X139">
        <f t="shared" si="330"/>
        <v>2328331.8975332407</v>
      </c>
      <c r="Y139">
        <f t="shared" si="331"/>
        <v>2550323.4769016379</v>
      </c>
      <c r="Z139">
        <f t="shared" si="332"/>
        <v>2788722.8162142043</v>
      </c>
      <c r="AA139">
        <f t="shared" si="333"/>
        <v>3044742.6397875641</v>
      </c>
      <c r="AB139">
        <f t="shared" si="334"/>
        <v>3319685.3063718742</v>
      </c>
      <c r="AC139">
        <f t="shared" si="335"/>
        <v>3614949.4341780925</v>
      </c>
      <c r="AD139">
        <f t="shared" si="336"/>
        <v>3932037.0155718438</v>
      </c>
      <c r="AE139">
        <f t="shared" si="337"/>
        <v>4272561.057625901</v>
      </c>
      <c r="AI139">
        <f t="shared" si="318"/>
        <v>33055.896928051516</v>
      </c>
      <c r="AJ139">
        <f t="shared" si="338"/>
        <v>86342.152507824794</v>
      </c>
      <c r="AK139">
        <f t="shared" si="339"/>
        <v>144426.02337346156</v>
      </c>
      <c r="AL139">
        <f t="shared" si="340"/>
        <v>207739.46167060835</v>
      </c>
      <c r="AM139">
        <f t="shared" si="341"/>
        <v>276753.31025310972</v>
      </c>
      <c r="AN139">
        <f t="shared" si="342"/>
        <v>351980.80419862585</v>
      </c>
      <c r="AO139">
        <f t="shared" si="343"/>
        <v>433981.38758237247</v>
      </c>
      <c r="AP139">
        <f t="shared" si="344"/>
        <v>523364.87389317196</v>
      </c>
      <c r="AQ139">
        <f t="shared" si="345"/>
        <v>620795.98103156884</v>
      </c>
      <c r="AR139">
        <f t="shared" si="346"/>
        <v>726999.2746154177</v>
      </c>
      <c r="AS139">
        <f t="shared" si="347"/>
        <v>842764.55635480769</v>
      </c>
      <c r="AT139">
        <f t="shared" si="348"/>
        <v>968952.73756803502</v>
      </c>
      <c r="AU139">
        <f t="shared" si="349"/>
        <v>1106502.2415181841</v>
      </c>
      <c r="AV139">
        <f t="shared" si="350"/>
        <v>1256435.9821825505</v>
      </c>
      <c r="AW139">
        <f t="shared" si="351"/>
        <v>1419868.9713539013</v>
      </c>
      <c r="AX139">
        <f t="shared" si="352"/>
        <v>1598016.6106452816</v>
      </c>
      <c r="AY139">
        <f t="shared" si="353"/>
        <v>1792203.7300634899</v>
      </c>
      <c r="AZ139">
        <f t="shared" si="354"/>
        <v>2003874.4403683553</v>
      </c>
      <c r="BA139">
        <f t="shared" si="355"/>
        <v>2234602.8724868302</v>
      </c>
      <c r="BB139">
        <f t="shared" si="356"/>
        <v>2486104.8838476618</v>
      </c>
      <c r="BC139">
        <f t="shared" si="357"/>
        <v>2760250.8186931103</v>
      </c>
      <c r="BD139">
        <f t="shared" si="358"/>
        <v>3059079.4172622822</v>
      </c>
      <c r="BE139">
        <f t="shared" si="359"/>
        <v>3384812.9772844561</v>
      </c>
      <c r="BF139">
        <f t="shared" si="360"/>
        <v>3739873.8805338456</v>
      </c>
      <c r="BG139">
        <f t="shared" si="361"/>
        <v>4126902.6073487611</v>
      </c>
      <c r="BH139">
        <f t="shared" si="362"/>
        <v>4548777.3730837097</v>
      </c>
      <c r="BI139">
        <f t="shared" si="363"/>
        <v>5008635.5325247506</v>
      </c>
      <c r="BJ139">
        <f t="shared" si="364"/>
        <v>5509896.911446292</v>
      </c>
    </row>
    <row r="140" spans="1:62" x14ac:dyDescent="0.3">
      <c r="D140">
        <f t="shared" si="316"/>
        <v>37051.03079904613</v>
      </c>
      <c r="E140">
        <f t="shared" si="365"/>
        <v>89522.344646979473</v>
      </c>
      <c r="F140">
        <f t="shared" si="365"/>
        <v>145730.90133479467</v>
      </c>
      <c r="G140">
        <f t="shared" si="365"/>
        <v>205942.88409710117</v>
      </c>
      <c r="H140">
        <f t="shared" si="366"/>
        <v>270664.31758504419</v>
      </c>
      <c r="I140">
        <f t="shared" si="321"/>
        <v>340570.32779469097</v>
      </c>
      <c r="J140">
        <f t="shared" si="321"/>
        <v>415643.20531271951</v>
      </c>
      <c r="K140">
        <f t="shared" si="321"/>
        <v>496264.84173475037</v>
      </c>
      <c r="L140">
        <f t="shared" ref="L140:O143" si="367">(L139+4000)*1.00721-(0.00104*(L139+4000))</f>
        <v>584250.45356684865</v>
      </c>
      <c r="M140">
        <f t="shared" si="367"/>
        <v>678976.19849776372</v>
      </c>
      <c r="N140">
        <f t="shared" si="367"/>
        <v>780958.40406382503</v>
      </c>
      <c r="O140">
        <f t="shared" si="367"/>
        <v>890752.95104472898</v>
      </c>
      <c r="P140">
        <f>(P139+4000)*1.00721-(0.000833*(P139+4000))</f>
        <v>1009165.877077089</v>
      </c>
      <c r="Q140">
        <f t="shared" si="323"/>
        <v>1139195.1580383771</v>
      </c>
      <c r="R140">
        <f t="shared" si="324"/>
        <v>1279531.3196563686</v>
      </c>
      <c r="S140">
        <f t="shared" si="325"/>
        <v>1430991.3455218826</v>
      </c>
      <c r="T140">
        <f t="shared" si="326"/>
        <v>1594456.978119327</v>
      </c>
      <c r="U140">
        <f t="shared" si="327"/>
        <v>1764347.5955300655</v>
      </c>
      <c r="V140">
        <f t="shared" si="328"/>
        <v>1944654.1746571148</v>
      </c>
      <c r="W140">
        <f t="shared" si="329"/>
        <v>2138287.5073262961</v>
      </c>
      <c r="X140">
        <f t="shared" si="330"/>
        <v>2346232.5956425387</v>
      </c>
      <c r="Y140">
        <f t="shared" si="331"/>
        <v>2569547.2448239713</v>
      </c>
      <c r="Z140">
        <f t="shared" si="332"/>
        <v>2809367.4441988408</v>
      </c>
      <c r="AA140">
        <f t="shared" si="333"/>
        <v>3066913.1459206981</v>
      </c>
      <c r="AB140">
        <f t="shared" si="334"/>
        <v>3343494.4707978503</v>
      </c>
      <c r="AC140">
        <f t="shared" si="335"/>
        <v>3640518.3728057938</v>
      </c>
      <c r="AD140">
        <f t="shared" si="336"/>
        <v>3959495.796184652</v>
      </c>
      <c r="AE140">
        <f t="shared" si="337"/>
        <v>4302049.3615293512</v>
      </c>
      <c r="AI140">
        <f t="shared" si="318"/>
        <v>37323.069944902767</v>
      </c>
      <c r="AJ140">
        <f t="shared" si="338"/>
        <v>90993.519427406209</v>
      </c>
      <c r="AK140">
        <f t="shared" si="339"/>
        <v>149496.1750019842</v>
      </c>
      <c r="AL140">
        <f t="shared" si="340"/>
        <v>213266.10318925342</v>
      </c>
      <c r="AM140">
        <f t="shared" si="341"/>
        <v>282777.54162003461</v>
      </c>
      <c r="AN140">
        <f t="shared" si="342"/>
        <v>358547.42579689791</v>
      </c>
      <c r="AO140">
        <f t="shared" si="343"/>
        <v>441139.23338684137</v>
      </c>
      <c r="AP140">
        <f t="shared" si="344"/>
        <v>531167.17463394173</v>
      </c>
      <c r="AQ140">
        <f t="shared" si="345"/>
        <v>629300.76005480636</v>
      </c>
      <c r="AR140">
        <f t="shared" si="346"/>
        <v>736269.77938539477</v>
      </c>
      <c r="AS140">
        <f t="shared" si="347"/>
        <v>852869.72880612582</v>
      </c>
      <c r="AT140">
        <f t="shared" si="348"/>
        <v>979967.72680590046</v>
      </c>
      <c r="AU140">
        <f t="shared" si="349"/>
        <v>1118508.96267953</v>
      </c>
      <c r="AV140">
        <f t="shared" si="350"/>
        <v>1269523.7256140865</v>
      </c>
      <c r="AW140">
        <f t="shared" si="351"/>
        <v>1434135.0666373628</v>
      </c>
      <c r="AX140">
        <f t="shared" si="352"/>
        <v>1613567.150408034</v>
      </c>
      <c r="AY140">
        <f t="shared" si="353"/>
        <v>1809154.3589572476</v>
      </c>
      <c r="AZ140">
        <f t="shared" si="354"/>
        <v>2022351.215083411</v>
      </c>
      <c r="BA140">
        <f t="shared" si="355"/>
        <v>2254743.19919746</v>
      </c>
      <c r="BB140">
        <f t="shared" si="356"/>
        <v>2508058.5400602031</v>
      </c>
      <c r="BC140">
        <f t="shared" si="357"/>
        <v>2784181.0670958874</v>
      </c>
      <c r="BD140">
        <f t="shared" si="358"/>
        <v>3085164.2198607433</v>
      </c>
      <c r="BE140">
        <f t="shared" si="359"/>
        <v>3413246.318850677</v>
      </c>
      <c r="BF140">
        <f t="shared" si="360"/>
        <v>3770867.2112124944</v>
      </c>
      <c r="BG140">
        <f t="shared" si="361"/>
        <v>4160686.4151477455</v>
      </c>
      <c r="BH140">
        <f t="shared" si="362"/>
        <v>4585602.8979436429</v>
      </c>
      <c r="BI140">
        <f t="shared" si="363"/>
        <v>5048776.6347142532</v>
      </c>
      <c r="BJ140">
        <f t="shared" si="364"/>
        <v>5553652.1081778193</v>
      </c>
    </row>
    <row r="141" spans="1:62" x14ac:dyDescent="0.3">
      <c r="D141">
        <f t="shared" si="316"/>
        <v>41287.074226140641</v>
      </c>
      <c r="E141">
        <f t="shared" si="365"/>
        <v>94060.098128699596</v>
      </c>
      <c r="F141">
        <f t="shared" si="365"/>
        <v>150591.85401746974</v>
      </c>
      <c r="G141">
        <f t="shared" si="365"/>
        <v>211150.05568065948</v>
      </c>
      <c r="H141">
        <f t="shared" si="366"/>
        <v>276301.31691785104</v>
      </c>
      <c r="I141">
        <f t="shared" ref="I141:J143" si="368">(I140+4000)*1.00721-(0.00125*(I140+4000))</f>
        <v>346623.96694834728</v>
      </c>
      <c r="J141">
        <f t="shared" si="368"/>
        <v>422144.27881638327</v>
      </c>
      <c r="K141">
        <f>(K140+4000)*1.00721-(0.00104*(K140+4000))</f>
        <v>503351.47580825374</v>
      </c>
      <c r="L141">
        <f t="shared" si="367"/>
        <v>591879.95886535605</v>
      </c>
      <c r="M141">
        <f t="shared" si="367"/>
        <v>687190.16164249484</v>
      </c>
      <c r="N141">
        <f t="shared" si="367"/>
        <v>789801.59741689882</v>
      </c>
      <c r="O141">
        <f t="shared" si="367"/>
        <v>900273.57675267488</v>
      </c>
      <c r="P141">
        <f>(P140+4000)*1.00721-(0.000833*(P140+4000))</f>
        <v>1019626.8358752095</v>
      </c>
      <c r="Q141">
        <f t="shared" si="323"/>
        <v>1150485.3135611878</v>
      </c>
      <c r="R141">
        <f t="shared" si="324"/>
        <v>1291716.3988818172</v>
      </c>
      <c r="S141">
        <f t="shared" si="325"/>
        <v>1444142.2853322756</v>
      </c>
      <c r="T141">
        <f t="shared" si="326"/>
        <v>1608650.3382687939</v>
      </c>
      <c r="U141">
        <f t="shared" si="327"/>
        <v>1778886.9471994247</v>
      </c>
      <c r="V141">
        <f t="shared" si="328"/>
        <v>1960268.1535380711</v>
      </c>
      <c r="W141">
        <f t="shared" si="329"/>
        <v>2155055.540869961</v>
      </c>
      <c r="X141">
        <f t="shared" si="330"/>
        <v>2364239.9819125682</v>
      </c>
      <c r="Y141">
        <f t="shared" si="331"/>
        <v>2588885.5864031217</v>
      </c>
      <c r="Z141">
        <f t="shared" si="332"/>
        <v>2830135.1141662654</v>
      </c>
      <c r="AA141">
        <f t="shared" si="333"/>
        <v>3089215.7882703855</v>
      </c>
      <c r="AB141">
        <f t="shared" si="334"/>
        <v>3367445.5378438053</v>
      </c>
      <c r="AC141">
        <f t="shared" si="335"/>
        <v>3666239.702307716</v>
      </c>
      <c r="AD141">
        <f t="shared" si="336"/>
        <v>3987118.2311299122</v>
      </c>
      <c r="AE141">
        <f t="shared" si="337"/>
        <v>4331713.4157240661</v>
      </c>
      <c r="AI141">
        <f t="shared" si="318"/>
        <v>41621.009279205515</v>
      </c>
      <c r="AJ141">
        <f t="shared" si="338"/>
        <v>95678.422702477808</v>
      </c>
      <c r="AK141">
        <f t="shared" si="339"/>
        <v>154602.8824237485</v>
      </c>
      <c r="AL141">
        <f t="shared" si="340"/>
        <v>218832.59179324794</v>
      </c>
      <c r="AM141">
        <f t="shared" si="341"/>
        <v>288845.20769511507</v>
      </c>
      <c r="AN141">
        <f t="shared" si="342"/>
        <v>365161.3927368935</v>
      </c>
      <c r="AO141">
        <f t="shared" si="343"/>
        <v>448348.68725956045</v>
      </c>
      <c r="AP141">
        <f t="shared" si="344"/>
        <v>539025.72996305244</v>
      </c>
      <c r="AQ141">
        <f t="shared" si="345"/>
        <v>637866.85853480152</v>
      </c>
      <c r="AR141">
        <f t="shared" si="346"/>
        <v>745607.12449476344</v>
      </c>
      <c r="AS141">
        <f t="shared" si="347"/>
        <v>863047.75955081789</v>
      </c>
      <c r="AT141">
        <f t="shared" si="348"/>
        <v>991062.13411617093</v>
      </c>
      <c r="AU141">
        <f t="shared" si="349"/>
        <v>1130602.2523004494</v>
      </c>
      <c r="AV141">
        <f t="shared" si="350"/>
        <v>1282705.8316757639</v>
      </c>
      <c r="AW141">
        <f t="shared" si="351"/>
        <v>1448504.020467818</v>
      </c>
      <c r="AX141">
        <f t="shared" si="352"/>
        <v>1629229.8095624759</v>
      </c>
      <c r="AY141">
        <f t="shared" si="353"/>
        <v>1826227.2018853293</v>
      </c>
      <c r="AZ141">
        <f t="shared" si="354"/>
        <v>2040961.2073441623</v>
      </c>
      <c r="BA141">
        <f t="shared" si="355"/>
        <v>2275028.7376636737</v>
      </c>
      <c r="BB141">
        <f t="shared" si="356"/>
        <v>2530170.4821340372</v>
      </c>
      <c r="BC141">
        <f t="shared" si="357"/>
        <v>2808283.8525896487</v>
      </c>
      <c r="BD141">
        <f t="shared" si="358"/>
        <v>3111437.0938859391</v>
      </c>
      <c r="BE141">
        <f t="shared" si="359"/>
        <v>3441884.6648095902</v>
      </c>
      <c r="BF141">
        <f t="shared" si="360"/>
        <v>3802084.0038053361</v>
      </c>
      <c r="BG141">
        <f t="shared" si="361"/>
        <v>4194713.8042009603</v>
      </c>
      <c r="BH141">
        <f t="shared" si="362"/>
        <v>4622693.9348378163</v>
      </c>
      <c r="BI141">
        <f t="shared" si="363"/>
        <v>5089207.1542505426</v>
      </c>
      <c r="BJ141">
        <f t="shared" si="364"/>
        <v>5597722.7798777809</v>
      </c>
    </row>
    <row r="142" spans="1:62" x14ac:dyDescent="0.3">
      <c r="D142">
        <f t="shared" si="316"/>
        <v>45547.47490294095</v>
      </c>
      <c r="E142">
        <f t="shared" si="365"/>
        <v>98623.943692939618</v>
      </c>
      <c r="F142">
        <f t="shared" si="365"/>
        <v>155480.75717807017</v>
      </c>
      <c r="G142">
        <f t="shared" si="365"/>
        <v>216387.16850082326</v>
      </c>
      <c r="H142">
        <f t="shared" si="366"/>
        <v>281971.9127666814</v>
      </c>
      <c r="I142">
        <f t="shared" si="368"/>
        <v>352713.6857913594</v>
      </c>
      <c r="J142">
        <f t="shared" si="368"/>
        <v>428684.09871812892</v>
      </c>
      <c r="K142">
        <f>(K141+4000)*1.00721-(0.00104*(K141+4000))</f>
        <v>510481.83441399061</v>
      </c>
      <c r="L142">
        <f t="shared" si="367"/>
        <v>599556.53821155522</v>
      </c>
      <c r="M142">
        <f t="shared" si="367"/>
        <v>695454.80493982893</v>
      </c>
      <c r="N142">
        <f t="shared" si="367"/>
        <v>798699.35327296099</v>
      </c>
      <c r="O142">
        <f t="shared" si="367"/>
        <v>909852.9447212388</v>
      </c>
      <c r="P142">
        <f>(P141+4000)*1.00721-(0.000833*(P141+4000))</f>
        <v>1030154.5042075857</v>
      </c>
      <c r="Q142">
        <f t="shared" si="323"/>
        <v>1161847.4664057675</v>
      </c>
      <c r="R142">
        <f t="shared" si="324"/>
        <v>1303979.1823574863</v>
      </c>
      <c r="S142">
        <f t="shared" si="325"/>
        <v>1457377.0886858392</v>
      </c>
      <c r="T142">
        <f t="shared" si="326"/>
        <v>1622934.2094759338</v>
      </c>
      <c r="U142">
        <f t="shared" si="327"/>
        <v>1793512.953404733</v>
      </c>
      <c r="V142">
        <f t="shared" si="328"/>
        <v>1975975.191733158</v>
      </c>
      <c r="W142">
        <f t="shared" si="329"/>
        <v>2171923.5118935457</v>
      </c>
      <c r="X142">
        <f t="shared" si="330"/>
        <v>2382354.6922047669</v>
      </c>
      <c r="Y142">
        <f t="shared" si="331"/>
        <v>2608339.1844980842</v>
      </c>
      <c r="Z142">
        <f t="shared" si="332"/>
        <v>2851026.5594466962</v>
      </c>
      <c r="AA142">
        <f t="shared" si="333"/>
        <v>3111651.3543684767</v>
      </c>
      <c r="AB142">
        <f t="shared" si="334"/>
        <v>3391539.3532493538</v>
      </c>
      <c r="AC142">
        <f t="shared" si="335"/>
        <v>3692114.3309334698</v>
      </c>
      <c r="AD142">
        <f t="shared" si="336"/>
        <v>4014905.2957874462</v>
      </c>
      <c r="AE142">
        <f t="shared" si="337"/>
        <v>4361554.2676817812</v>
      </c>
      <c r="AI142">
        <f t="shared" si="318"/>
        <v>45949.936756108582</v>
      </c>
      <c r="AJ142">
        <f t="shared" si="338"/>
        <v>100397.10413016267</v>
      </c>
      <c r="AK142">
        <f t="shared" si="339"/>
        <v>159746.4092060237</v>
      </c>
      <c r="AL142">
        <f t="shared" si="340"/>
        <v>224439.21478007725</v>
      </c>
      <c r="AM142">
        <f t="shared" si="341"/>
        <v>294956.62164259685</v>
      </c>
      <c r="AN142">
        <f t="shared" si="342"/>
        <v>371823.04637852649</v>
      </c>
      <c r="AO142">
        <f t="shared" si="343"/>
        <v>455610.12129470188</v>
      </c>
      <c r="AP142">
        <f t="shared" si="344"/>
        <v>546940.945476086</v>
      </c>
      <c r="AQ142">
        <f t="shared" si="345"/>
        <v>646494.71858483739</v>
      </c>
      <c r="AR142">
        <f t="shared" si="346"/>
        <v>755011.79186237068</v>
      </c>
      <c r="AS142">
        <f t="shared" si="347"/>
        <v>873299.17389717919</v>
      </c>
      <c r="AT142">
        <f t="shared" si="348"/>
        <v>1002236.5321031484</v>
      </c>
      <c r="AU142">
        <f t="shared" si="349"/>
        <v>1142782.7345395356</v>
      </c>
      <c r="AV142">
        <f t="shared" si="350"/>
        <v>1295982.9807221461</v>
      </c>
      <c r="AW142">
        <f t="shared" si="351"/>
        <v>1462976.5744553909</v>
      </c>
      <c r="AX142">
        <f t="shared" si="352"/>
        <v>1645005.3964894211</v>
      </c>
      <c r="AY142">
        <f t="shared" si="353"/>
        <v>1843423.1400109224</v>
      </c>
      <c r="AZ142">
        <f t="shared" si="354"/>
        <v>2059705.3776491135</v>
      </c>
      <c r="BA142">
        <f t="shared" si="355"/>
        <v>2295460.5348622287</v>
      </c>
      <c r="BB142">
        <f t="shared" si="356"/>
        <v>2552441.8513102233</v>
      </c>
      <c r="BC142">
        <f t="shared" si="357"/>
        <v>2832560.4191668197</v>
      </c>
      <c r="BD142">
        <f t="shared" si="358"/>
        <v>3137899.3953328566</v>
      </c>
      <c r="BE142">
        <f t="shared" si="359"/>
        <v>3470729.4932428673</v>
      </c>
      <c r="BF142">
        <f t="shared" si="360"/>
        <v>3833525.8694727723</v>
      </c>
      <c r="BG142">
        <f t="shared" si="361"/>
        <v>4228986.5307292491</v>
      </c>
      <c r="BH142">
        <f t="shared" si="362"/>
        <v>4660052.3981079962</v>
      </c>
      <c r="BI142">
        <f t="shared" si="363"/>
        <v>5129929.1778326891</v>
      </c>
      <c r="BJ142">
        <f t="shared" si="364"/>
        <v>5642111.2011206998</v>
      </c>
    </row>
    <row r="143" spans="1:62" x14ac:dyDescent="0.3">
      <c r="D143">
        <f t="shared" si="316"/>
        <v>49832.372883632859</v>
      </c>
      <c r="E143">
        <f t="shared" si="365"/>
        <v>103214.03136917402</v>
      </c>
      <c r="F143">
        <f t="shared" si="365"/>
        <v>160397.77153184405</v>
      </c>
      <c r="G143">
        <f t="shared" si="365"/>
        <v>221654.39471970298</v>
      </c>
      <c r="H143">
        <f t="shared" si="366"/>
        <v>287676.30536677083</v>
      </c>
      <c r="I143">
        <f t="shared" si="368"/>
        <v>358839.69935867586</v>
      </c>
      <c r="J143">
        <f t="shared" si="368"/>
        <v>435262.89594648895</v>
      </c>
      <c r="K143">
        <f>(K142+4000)*1.00721-(0.00104*(K142+4000))</f>
        <v>517656.18733232492</v>
      </c>
      <c r="L143">
        <f t="shared" si="367"/>
        <v>607280.48205232038</v>
      </c>
      <c r="M143">
        <f t="shared" si="367"/>
        <v>703770.44108630763</v>
      </c>
      <c r="N143">
        <f t="shared" si="367"/>
        <v>807652.00828265504</v>
      </c>
      <c r="O143">
        <f t="shared" si="367"/>
        <v>919491.41739016876</v>
      </c>
      <c r="P143">
        <f>(P142+4000)*1.00721-(0.000833*(P142+4000))</f>
        <v>1040749.3074809174</v>
      </c>
      <c r="Q143">
        <f t="shared" si="323"/>
        <v>1173282.0756990369</v>
      </c>
      <c r="R143">
        <f t="shared" si="324"/>
        <v>1316320.16560338</v>
      </c>
      <c r="S143">
        <f t="shared" si="325"/>
        <v>1470696.2903803887</v>
      </c>
      <c r="T143">
        <f t="shared" si="326"/>
        <v>1637309.1689297617</v>
      </c>
      <c r="U143">
        <f t="shared" si="327"/>
        <v>1808226.130607025</v>
      </c>
      <c r="V143">
        <f t="shared" si="328"/>
        <v>1991775.8438758873</v>
      </c>
      <c r="W143" s="3">
        <f t="shared" si="329"/>
        <v>2188892.0160244312</v>
      </c>
      <c r="X143">
        <f t="shared" si="330"/>
        <v>2400577.3661703072</v>
      </c>
      <c r="Y143">
        <f t="shared" si="331"/>
        <v>2627908.7260376927</v>
      </c>
      <c r="Z143">
        <f t="shared" si="332"/>
        <v>2872042.5177409984</v>
      </c>
      <c r="AA143">
        <f t="shared" si="333"/>
        <v>3134220.6364405127</v>
      </c>
      <c r="AB143" s="3">
        <f t="shared" si="334"/>
        <v>3415776.7677947199</v>
      </c>
      <c r="AC143">
        <f t="shared" si="335"/>
        <v>3718143.1723458329</v>
      </c>
      <c r="AD143">
        <f t="shared" si="336"/>
        <v>4042857.9713503392</v>
      </c>
      <c r="AE143">
        <f t="shared" si="337"/>
        <v>4391572.971117164</v>
      </c>
      <c r="AI143">
        <f t="shared" si="318"/>
        <v>50310.075800120125</v>
      </c>
      <c r="AJ143">
        <f t="shared" si="338"/>
        <v>105149.80725094113</v>
      </c>
      <c r="AK143">
        <f t="shared" si="339"/>
        <v>164927.02081639913</v>
      </c>
      <c r="AL143">
        <f t="shared" si="340"/>
        <v>230086.26151864161</v>
      </c>
      <c r="AM143">
        <f t="shared" si="341"/>
        <v>301112.09888463997</v>
      </c>
      <c r="AN143">
        <f t="shared" si="342"/>
        <v>378532.73054291564</v>
      </c>
      <c r="AO143">
        <f t="shared" si="343"/>
        <v>462923.91026923666</v>
      </c>
      <c r="AP143">
        <f t="shared" si="344"/>
        <v>554913.22969296854</v>
      </c>
      <c r="AQ143">
        <f t="shared" si="345"/>
        <v>655184.78550583404</v>
      </c>
      <c r="AR143">
        <f t="shared" si="346"/>
        <v>764484.26688169828</v>
      </c>
      <c r="AS143">
        <f t="shared" si="347"/>
        <v>883624.50094097783</v>
      </c>
      <c r="AT143">
        <f t="shared" si="348"/>
        <v>1013491.497499612</v>
      </c>
      <c r="AU143">
        <f t="shared" si="349"/>
        <v>1155051.0380555657</v>
      </c>
      <c r="AV143">
        <f t="shared" si="350"/>
        <v>1309355.8580131526</v>
      </c>
      <c r="AW143">
        <f t="shared" si="351"/>
        <v>1477553.4755572141</v>
      </c>
      <c r="AX143">
        <f t="shared" si="352"/>
        <v>1660894.7253981098</v>
      </c>
      <c r="AY143">
        <f t="shared" si="353"/>
        <v>1860743.0608504012</v>
      </c>
      <c r="AZ143">
        <f t="shared" si="354"/>
        <v>2078584.6934219636</v>
      </c>
      <c r="BA143">
        <f t="shared" si="355"/>
        <v>2316039.645318585</v>
      </c>
      <c r="BB143" s="3">
        <f t="shared" si="356"/>
        <v>2574873.7970581697</v>
      </c>
      <c r="BC143">
        <f t="shared" si="357"/>
        <v>2857012.0197890121</v>
      </c>
      <c r="BD143">
        <f t="shared" si="358"/>
        <v>3164552.4899732061</v>
      </c>
      <c r="BE143">
        <f t="shared" si="359"/>
        <v>3499782.292889148</v>
      </c>
      <c r="BF143">
        <f t="shared" si="360"/>
        <v>3865194.4309916706</v>
      </c>
      <c r="BG143" s="3">
        <f t="shared" si="361"/>
        <v>4263506.3636158071</v>
      </c>
      <c r="BH143">
        <f t="shared" si="362"/>
        <v>4697680.2158983545</v>
      </c>
      <c r="BI143">
        <f t="shared" si="363"/>
        <v>5170944.8072048621</v>
      </c>
      <c r="BJ143">
        <f t="shared" si="364"/>
        <v>5686819.6628807792</v>
      </c>
    </row>
    <row r="146" spans="1:62" x14ac:dyDescent="0.3">
      <c r="D146" t="s">
        <v>64</v>
      </c>
      <c r="AI146" t="s">
        <v>64</v>
      </c>
      <c r="AJ146" t="s">
        <v>66</v>
      </c>
    </row>
    <row r="147" spans="1:62" x14ac:dyDescent="0.3">
      <c r="D147" t="s">
        <v>65</v>
      </c>
      <c r="AI147" t="s">
        <v>65</v>
      </c>
    </row>
    <row r="148" spans="1:62" x14ac:dyDescent="0.3">
      <c r="D148" t="s">
        <v>54</v>
      </c>
      <c r="AI148" t="s">
        <v>54</v>
      </c>
    </row>
    <row r="149" spans="1:62" x14ac:dyDescent="0.3">
      <c r="D149" t="s">
        <v>15</v>
      </c>
      <c r="E149" t="s">
        <v>16</v>
      </c>
      <c r="F149" t="s">
        <v>17</v>
      </c>
      <c r="G149" t="s">
        <v>18</v>
      </c>
      <c r="H149" t="s">
        <v>19</v>
      </c>
      <c r="I149" t="s">
        <v>20</v>
      </c>
      <c r="J149" t="s">
        <v>21</v>
      </c>
      <c r="K149" t="s">
        <v>22</v>
      </c>
      <c r="L149" t="s">
        <v>23</v>
      </c>
      <c r="M149" t="s">
        <v>24</v>
      </c>
      <c r="N149" t="s">
        <v>25</v>
      </c>
      <c r="O149" t="s">
        <v>26</v>
      </c>
      <c r="P149" t="s">
        <v>27</v>
      </c>
      <c r="Q149" t="s">
        <v>28</v>
      </c>
      <c r="R149" t="s">
        <v>29</v>
      </c>
      <c r="S149" t="s">
        <v>30</v>
      </c>
      <c r="T149" t="s">
        <v>31</v>
      </c>
      <c r="U149" t="s">
        <v>32</v>
      </c>
      <c r="V149" t="s">
        <v>33</v>
      </c>
      <c r="W149" t="s">
        <v>34</v>
      </c>
      <c r="X149" t="s">
        <v>35</v>
      </c>
      <c r="Y149" t="s">
        <v>36</v>
      </c>
      <c r="Z149" t="s">
        <v>37</v>
      </c>
      <c r="AA149" t="s">
        <v>38</v>
      </c>
      <c r="AB149" t="s">
        <v>39</v>
      </c>
      <c r="AC149" t="s">
        <v>67</v>
      </c>
      <c r="AD149" t="s">
        <v>68</v>
      </c>
      <c r="AE149" t="s">
        <v>69</v>
      </c>
      <c r="AI149" t="s">
        <v>15</v>
      </c>
      <c r="AJ149" t="s">
        <v>16</v>
      </c>
      <c r="AK149" t="s">
        <v>17</v>
      </c>
      <c r="AL149" t="s">
        <v>18</v>
      </c>
      <c r="AM149" t="s">
        <v>19</v>
      </c>
      <c r="AN149" t="s">
        <v>20</v>
      </c>
      <c r="AO149" t="s">
        <v>21</v>
      </c>
      <c r="AP149" t="s">
        <v>22</v>
      </c>
      <c r="AQ149" t="s">
        <v>23</v>
      </c>
      <c r="AR149" t="s">
        <v>24</v>
      </c>
      <c r="AS149" t="s">
        <v>25</v>
      </c>
      <c r="AT149" t="s">
        <v>26</v>
      </c>
      <c r="AU149" t="s">
        <v>27</v>
      </c>
      <c r="AV149" t="s">
        <v>28</v>
      </c>
      <c r="AW149" t="s">
        <v>29</v>
      </c>
      <c r="AX149" t="s">
        <v>30</v>
      </c>
      <c r="AY149" t="s">
        <v>31</v>
      </c>
      <c r="AZ149" t="s">
        <v>32</v>
      </c>
      <c r="BA149" t="s">
        <v>33</v>
      </c>
      <c r="BB149" t="s">
        <v>34</v>
      </c>
      <c r="BC149" t="s">
        <v>35</v>
      </c>
      <c r="BD149" t="s">
        <v>36</v>
      </c>
      <c r="BE149" t="s">
        <v>37</v>
      </c>
      <c r="BF149" t="s">
        <v>38</v>
      </c>
      <c r="BG149" t="s">
        <v>39</v>
      </c>
      <c r="BH149" t="s">
        <v>67</v>
      </c>
      <c r="BI149" t="s">
        <v>68</v>
      </c>
      <c r="BJ149" t="s">
        <v>69</v>
      </c>
    </row>
    <row r="150" spans="1:62" x14ac:dyDescent="0.3">
      <c r="D150">
        <v>0</v>
      </c>
      <c r="AI150">
        <v>0</v>
      </c>
    </row>
    <row r="151" spans="1:62" x14ac:dyDescent="0.3">
      <c r="D151">
        <f t="shared" ref="D151:D162" si="369">(D150+4000)*1.00798-(0.00146*(D150+4000))</f>
        <v>4026.0800000000004</v>
      </c>
      <c r="E151">
        <f>(D162+4000)*1.00798-(0.00146*(D162+4000))</f>
        <v>54436.299536425431</v>
      </c>
      <c r="F151">
        <f>(E162+4000)*1.00798-(0.00146*(E162+4000))</f>
        <v>108935.16934410356</v>
      </c>
      <c r="G151">
        <f>(F162+4000)*1.00798-(0.00146*(F162+4000))</f>
        <v>167854.30989988113</v>
      </c>
      <c r="H151">
        <f>(G162+4000)*1.00798-(0.00146*(G162+4000))</f>
        <v>231552.23861073281</v>
      </c>
      <c r="I151">
        <f>(H162+4000)*1.00798-(0.00125*(H162+4000))</f>
        <v>300950.39067606122</v>
      </c>
      <c r="J151">
        <f>(I162+4000)*1.00798-(0.00125*(I162+4000))</f>
        <v>376327.73305812117</v>
      </c>
      <c r="K151">
        <f>(J162+4000)*1.00798-(0.00125*(J162+4000))</f>
        <v>458023.00969616621</v>
      </c>
      <c r="L151">
        <f>(K162+4000)*1.00798-(0.00104*(K162+4000))</f>
        <v>547346.49837958731</v>
      </c>
      <c r="M151">
        <f>(L162+4000)*1.00798-(0.00104*(L162+4000))</f>
        <v>644931.65099110745</v>
      </c>
      <c r="N151">
        <f>(M162+4000)*1.00798-(0.00104*(M162+4000))</f>
        <v>750961.18790905899</v>
      </c>
      <c r="O151">
        <f>(N162+4000)*1.00798-(0.00104*(N162+4000))</f>
        <v>866165.8312198082</v>
      </c>
      <c r="P151">
        <f>(O162+4000)*1.00798-(0.00104*(O162+4000))</f>
        <v>991339.53494566097</v>
      </c>
      <c r="Q151">
        <f>(P162+4000)*1.00798-(0.000833*(P162+4000))</f>
        <v>1130073.107155188</v>
      </c>
      <c r="R151">
        <f>(Q162+4000)*1.00798-(0.000833*(Q162+4000))</f>
        <v>1281184.0551510225</v>
      </c>
      <c r="S151">
        <f>(R162+4000)*1.00798-(0.000833*(R162+4000))</f>
        <v>1445776.649722964</v>
      </c>
      <c r="T151">
        <f>(S162+4000)*1.00798-(0.000833*(S162+4000))</f>
        <v>1625053.6812499599</v>
      </c>
      <c r="U151">
        <f t="shared" ref="U151:AE151" si="370">(T162+4000)*1.00798-(0.00125*(T162+4000))</f>
        <v>1819571.5602964063</v>
      </c>
      <c r="V151">
        <f t="shared" si="370"/>
        <v>2022235.8088787054</v>
      </c>
      <c r="W151">
        <f t="shared" si="370"/>
        <v>2241886.851610519</v>
      </c>
      <c r="X151">
        <f t="shared" si="370"/>
        <v>2479948.4777269824</v>
      </c>
      <c r="Y151">
        <f t="shared" si="370"/>
        <v>2737963.8148014843</v>
      </c>
      <c r="Z151">
        <f t="shared" si="370"/>
        <v>3017605.331377116</v>
      </c>
      <c r="AA151">
        <f t="shared" si="370"/>
        <v>3320685.677992865</v>
      </c>
      <c r="AB151">
        <f t="shared" si="370"/>
        <v>3649169.4368766374</v>
      </c>
      <c r="AC151">
        <f t="shared" si="370"/>
        <v>4005185.8564672242</v>
      </c>
      <c r="AD151">
        <f t="shared" si="370"/>
        <v>4391042.6533110151</v>
      </c>
      <c r="AE151">
        <f t="shared" si="370"/>
        <v>4809240.9707980724</v>
      </c>
      <c r="AI151">
        <f t="shared" ref="AI151:AI162" si="371">(AI150+4000)*1.00798-0</f>
        <v>4031.9200000000005</v>
      </c>
      <c r="AJ151">
        <f t="shared" ref="AJ151:BJ151" si="372">(AI162+4000)*1.00798-0</f>
        <v>54999.506239718292</v>
      </c>
      <c r="AK151">
        <f t="shared" si="372"/>
        <v>111067.762198011</v>
      </c>
      <c r="AL151">
        <f t="shared" si="372"/>
        <v>172747.14625632111</v>
      </c>
      <c r="AM151">
        <f t="shared" si="372"/>
        <v>240599.20180522994</v>
      </c>
      <c r="AN151">
        <f t="shared" si="372"/>
        <v>315241.66966547648</v>
      </c>
      <c r="AO151">
        <f t="shared" si="372"/>
        <v>397354.11214338953</v>
      </c>
      <c r="AP151">
        <f t="shared" si="372"/>
        <v>487684.09992343583</v>
      </c>
      <c r="AQ151">
        <f t="shared" si="372"/>
        <v>587054.01812478621</v>
      </c>
      <c r="AR151">
        <f t="shared" si="372"/>
        <v>696368.5534858139</v>
      </c>
      <c r="AS151">
        <f t="shared" si="372"/>
        <v>816622.93084158609</v>
      </c>
      <c r="AT151">
        <f t="shared" si="372"/>
        <v>948911.97388114594</v>
      </c>
      <c r="AU151">
        <f t="shared" si="372"/>
        <v>1094440.0726758167</v>
      </c>
      <c r="AV151">
        <f t="shared" si="372"/>
        <v>1254532.1487252158</v>
      </c>
      <c r="AW151">
        <f t="shared" si="372"/>
        <v>1430645.7173492927</v>
      </c>
      <c r="AX151">
        <f t="shared" si="372"/>
        <v>1624384.157245199</v>
      </c>
      <c r="AY151">
        <f t="shared" si="372"/>
        <v>1837511.308018114</v>
      </c>
      <c r="AZ151">
        <f t="shared" si="372"/>
        <v>2071967.5285853187</v>
      </c>
      <c r="BA151">
        <f t="shared" si="372"/>
        <v>2329887.3626529532</v>
      </c>
      <c r="BB151">
        <f t="shared" si="372"/>
        <v>2613618.9720960381</v>
      </c>
      <c r="BC151">
        <f t="shared" si="372"/>
        <v>2925745.5151677616</v>
      </c>
      <c r="BD151">
        <f t="shared" si="372"/>
        <v>3269108.6641701893</v>
      </c>
      <c r="BE151">
        <f t="shared" si="372"/>
        <v>3646834.4766967176</v>
      </c>
      <c r="BF151">
        <f t="shared" si="372"/>
        <v>4062361.855984054</v>
      </c>
      <c r="BG151">
        <f t="shared" si="372"/>
        <v>4519473.8594833529</v>
      </c>
      <c r="BH151">
        <f t="shared" si="372"/>
        <v>5022332.1406909889</v>
      </c>
      <c r="BI151">
        <f t="shared" si="372"/>
        <v>5575514.8378053652</v>
      </c>
      <c r="BJ151">
        <f t="shared" si="372"/>
        <v>6184058.2541568568</v>
      </c>
    </row>
    <row r="152" spans="1:62" x14ac:dyDescent="0.3">
      <c r="D152">
        <f t="shared" si="369"/>
        <v>8078.410041600001</v>
      </c>
      <c r="E152">
        <f t="shared" ref="E152:H154" si="373">(E151+4000)*1.00798-(0.00146*(E151+4000))</f>
        <v>58817.304209402937</v>
      </c>
      <c r="F152">
        <f t="shared" si="373"/>
        <v>113671.50664822712</v>
      </c>
      <c r="G152">
        <f t="shared" si="373"/>
        <v>172974.80000042837</v>
      </c>
      <c r="H152">
        <f t="shared" si="373"/>
        <v>237088.03920647479</v>
      </c>
      <c r="I152">
        <f t="shared" ref="I152:K156" si="374">(I151+4000)*1.00798-(0.00125*(I151+4000))</f>
        <v>307002.70680531109</v>
      </c>
      <c r="J152">
        <f t="shared" si="374"/>
        <v>382887.33870160236</v>
      </c>
      <c r="K152">
        <f t="shared" si="374"/>
        <v>465132.42455142143</v>
      </c>
      <c r="L152">
        <f t="shared" ref="L152:L162" si="375">(L151+4000)*1.00798-(0.00104*(L151+4000))</f>
        <v>555172.84307834168</v>
      </c>
      <c r="M152">
        <f t="shared" ref="M152:M162" si="376">(M151+4000)*1.00798-(0.00104*(M151+4000))</f>
        <v>653435.23664898577</v>
      </c>
      <c r="N152">
        <f t="shared" ref="N152:N162" si="377">(N151+4000)*1.00798-(0.00104*(N151+4000))</f>
        <v>760200.61855314788</v>
      </c>
      <c r="O152">
        <f t="shared" ref="O152:O162" si="378">(O151+4000)*1.00798-(0.00104*(O151+4000))</f>
        <v>876204.78208847379</v>
      </c>
      <c r="P152">
        <f t="shared" ref="P152:P162" si="379">(P151+4000)*1.00798-(0.000833*(P151+4000))</f>
        <v>1002453.2266019178</v>
      </c>
      <c r="Q152">
        <f t="shared" ref="Q152:Q162" si="380">(Q151+4000)*1.00798-(0.000833*(Q151+4000))</f>
        <v>1142178.3276520262</v>
      </c>
      <c r="R152">
        <f t="shared" ref="R152:R162" si="381">(R151+4000)*1.00798-(0.000833*(R151+4000))</f>
        <v>1294369.265593187</v>
      </c>
      <c r="S152">
        <f t="shared" ref="S152:S162" si="382">(S151+4000)*1.00798-(0.000833*(S151+4000))</f>
        <v>1460138.2034385342</v>
      </c>
      <c r="T152">
        <f t="shared" ref="T152:T162" si="383">(T151+4000)*1.00798-(0.000833*(T151+4000))</f>
        <v>1640696.5279098535</v>
      </c>
      <c r="U152">
        <f t="shared" ref="U152:U162" si="384">(U151+4000)*1.00798-(0.00125*(U151+4000))</f>
        <v>1835844.1968972012</v>
      </c>
      <c r="V152">
        <f t="shared" ref="V152:V162" si="385">(V151+4000)*1.00798-(0.00125*(V151+4000))</f>
        <v>2039872.3758724593</v>
      </c>
      <c r="W152">
        <f t="shared" ref="W152:W162" si="386">(W151+4000)*1.00798-(0.00125*(W151+4000))</f>
        <v>2261001.6701218579</v>
      </c>
      <c r="X152">
        <f t="shared" ref="X152:X162" si="387">(X151+4000)*1.00798-(0.00125*(X151+4000))</f>
        <v>2500665.4509820854</v>
      </c>
      <c r="Y152">
        <f t="shared" ref="Y152:Y162" si="388">(Y151+4000)*1.00798-(0.00125*(Y151+4000))</f>
        <v>2760417.2312750989</v>
      </c>
      <c r="Z152">
        <f t="shared" ref="Z152:Z162" si="389">(Z151+4000)*1.00798-(0.00125*(Z151+4000))</f>
        <v>3041940.7352572847</v>
      </c>
      <c r="AA152">
        <f t="shared" ref="AA152:AA162" si="390">(AA151+4000)*1.00798-(0.00125*(AA151+4000))</f>
        <v>3347060.8126057573</v>
      </c>
      <c r="AB152">
        <f t="shared" ref="AB152:AB162" si="391">(AB151+4000)*1.00798-(0.00125*(AB151+4000))</f>
        <v>3677755.2671868177</v>
      </c>
      <c r="AC152">
        <f t="shared" ref="AC152:AC162" si="392">(AC151+4000)*1.00798-(0.00125*(AC151+4000))</f>
        <v>4036167.6772812493</v>
      </c>
      <c r="AD152">
        <f t="shared" ref="AD152:AD162" si="393">(AD151+4000)*1.00798-(0.00125*(AD151+4000))</f>
        <v>4424621.2903677989</v>
      </c>
      <c r="AE152">
        <f t="shared" ref="AE152:AE162" si="394">(AE151+4000)*1.00798-(0.00125*(AE151+4000))</f>
        <v>4845634.0825315444</v>
      </c>
      <c r="AI152">
        <f t="shared" si="371"/>
        <v>8096.0147216000005</v>
      </c>
      <c r="AJ152">
        <f t="shared" ref="AJ152:AJ162" si="395">(AJ151+4000)*1.00798-0</f>
        <v>59470.322299511252</v>
      </c>
      <c r="AK152">
        <f t="shared" ref="AK152:AK162" si="396">(AK151+4000)*1.00798-0</f>
        <v>115986.00294035114</v>
      </c>
      <c r="AL152">
        <f t="shared" ref="AL152:AL162" si="397">(AL151+4000)*1.00798-0</f>
        <v>178157.58848344657</v>
      </c>
      <c r="AM152">
        <f t="shared" ref="AM152:AM162" si="398">(AM151+4000)*1.00798-0</f>
        <v>246551.10343563571</v>
      </c>
      <c r="AN152">
        <f t="shared" ref="AN152:AN162" si="399">(AN151+4000)*1.00798-0</f>
        <v>321789.21818940702</v>
      </c>
      <c r="AO152">
        <f t="shared" ref="AO152:AO162" si="400">(AO151+4000)*1.00798-0</f>
        <v>404556.91795829381</v>
      </c>
      <c r="AP152">
        <f t="shared" ref="AP152:AP162" si="401">(AP151+4000)*1.00798-0</f>
        <v>495607.73904082488</v>
      </c>
      <c r="AQ152">
        <f t="shared" ref="AQ152:AQ162" si="402">(AQ151+4000)*1.00798-0</f>
        <v>595770.629189422</v>
      </c>
      <c r="AR152">
        <f t="shared" ref="AR152:AR162" si="403">(AR151+4000)*1.00798-0</f>
        <v>705957.49454263074</v>
      </c>
      <c r="AS152">
        <f t="shared" ref="AS152:AS162" si="404">(AS151+4000)*1.00798-0</f>
        <v>827171.50182970206</v>
      </c>
      <c r="AT152">
        <f t="shared" ref="AT152:AT162" si="405">(AT151+4000)*1.00798-0</f>
        <v>960516.21143271762</v>
      </c>
      <c r="AU152">
        <f t="shared" ref="AU152:AU162" si="406">(AU151+4000)*1.00798-0</f>
        <v>1107205.6244557698</v>
      </c>
      <c r="AV152">
        <f t="shared" ref="AV152:AV162" si="407">(AV151+4000)*1.00798-0</f>
        <v>1268575.2352720432</v>
      </c>
      <c r="AW152">
        <f t="shared" ref="AW152:AW162" si="408">(AW151+4000)*1.00798-0</f>
        <v>1446094.1901737403</v>
      </c>
      <c r="AX152">
        <f t="shared" ref="AX152:AX162" si="409">(AX151+4000)*1.00798-0</f>
        <v>1641378.6628200158</v>
      </c>
      <c r="AY152">
        <f t="shared" ref="AY152:AY162" si="410">(AY151+4000)*1.00798-0</f>
        <v>1856206.5682560988</v>
      </c>
      <c r="AZ152">
        <f t="shared" ref="AZ152:AZ162" si="411">(AZ151+4000)*1.00798-0</f>
        <v>2092533.7494634297</v>
      </c>
      <c r="BA152">
        <f t="shared" ref="BA152:BA162" si="412">(BA151+4000)*1.00798-0</f>
        <v>2352511.7838069242</v>
      </c>
      <c r="BB152">
        <f t="shared" ref="BB152:BB162" si="413">(BB151+4000)*1.00798-0</f>
        <v>2638507.5714933649</v>
      </c>
      <c r="BC152">
        <f t="shared" ref="BC152:BC162" si="414">(BC151+4000)*1.00798-0</f>
        <v>2953124.8843788006</v>
      </c>
      <c r="BD152">
        <f t="shared" ref="BD152:BD162" si="415">(BD151+4000)*1.00798-0</f>
        <v>3299228.0713102678</v>
      </c>
      <c r="BE152">
        <f t="shared" ref="BE152:BE162" si="416">(BE151+4000)*1.00798-0</f>
        <v>3679968.1358207576</v>
      </c>
      <c r="BF152">
        <f t="shared" ref="BF152:BF162" si="417">(BF151+4000)*1.00798-0</f>
        <v>4098811.4235948073</v>
      </c>
      <c r="BG152">
        <f t="shared" ref="BG152:BG162" si="418">(BG151+4000)*1.00798-0</f>
        <v>4559571.1808820302</v>
      </c>
      <c r="BH152">
        <f t="shared" ref="BH152:BH162" si="419">(BH151+4000)*1.00798-0</f>
        <v>5066442.2711737035</v>
      </c>
      <c r="BI152">
        <f t="shared" ref="BI152:BI162" si="420">(BI151+4000)*1.00798-0</f>
        <v>5624039.366211053</v>
      </c>
      <c r="BJ152">
        <f t="shared" ref="BJ152:BJ162" si="421">(BJ151+4000)*1.00798-0</f>
        <v>6237438.9590250291</v>
      </c>
    </row>
    <row r="153" spans="1:62" x14ac:dyDescent="0.3">
      <c r="A153">
        <f>0.0175/12</f>
        <v>1.4583333333333334E-3</v>
      </c>
      <c r="B153">
        <v>1.75</v>
      </c>
      <c r="D153">
        <f t="shared" si="369"/>
        <v>12157.161275071234</v>
      </c>
      <c r="E153">
        <f t="shared" si="373"/>
        <v>63226.873032848249</v>
      </c>
      <c r="F153">
        <f t="shared" si="373"/>
        <v>118438.72487157358</v>
      </c>
      <c r="G153">
        <f t="shared" si="373"/>
        <v>178128.67569643116</v>
      </c>
      <c r="H153">
        <f t="shared" si="373"/>
        <v>242659.93322210104</v>
      </c>
      <c r="I153">
        <f t="shared" si="374"/>
        <v>313095.75502211088</v>
      </c>
      <c r="J153">
        <f t="shared" si="374"/>
        <v>389491.09049106418</v>
      </c>
      <c r="K153">
        <f t="shared" si="374"/>
        <v>472289.68576865253</v>
      </c>
      <c r="L153">
        <f t="shared" si="375"/>
        <v>563053.50260930543</v>
      </c>
      <c r="M153">
        <f t="shared" si="376"/>
        <v>661997.8371913298</v>
      </c>
      <c r="N153">
        <f t="shared" si="377"/>
        <v>769504.17084590683</v>
      </c>
      <c r="O153">
        <f t="shared" si="378"/>
        <v>886313.40327616781</v>
      </c>
      <c r="P153">
        <f t="shared" si="379"/>
        <v>1013646.3478124418</v>
      </c>
      <c r="Q153">
        <f t="shared" si="380"/>
        <v>1154370.0641597554</v>
      </c>
      <c r="R153">
        <f t="shared" si="381"/>
        <v>1307648.7107343816</v>
      </c>
      <c r="S153">
        <f t="shared" si="382"/>
        <v>1474602.3991785094</v>
      </c>
      <c r="T153">
        <f t="shared" si="383"/>
        <v>1656451.1739948255</v>
      </c>
      <c r="U153">
        <f t="shared" si="384"/>
        <v>1852226.3483423197</v>
      </c>
      <c r="V153">
        <f t="shared" si="385"/>
        <v>2057627.6369620811</v>
      </c>
      <c r="W153">
        <f t="shared" si="386"/>
        <v>2280245.1313617784</v>
      </c>
      <c r="X153">
        <f t="shared" si="387"/>
        <v>2521521.8494671951</v>
      </c>
      <c r="Y153">
        <f t="shared" si="388"/>
        <v>2783021.7592415805</v>
      </c>
      <c r="Z153">
        <f t="shared" si="389"/>
        <v>3066439.9164055665</v>
      </c>
      <c r="AA153">
        <f t="shared" si="390"/>
        <v>3373613.4518745942</v>
      </c>
      <c r="AB153">
        <f t="shared" si="391"/>
        <v>3706533.4801349854</v>
      </c>
      <c r="AC153">
        <f t="shared" si="392"/>
        <v>4067358.0057493523</v>
      </c>
      <c r="AD153">
        <f t="shared" si="393"/>
        <v>4458425.9116519745</v>
      </c>
      <c r="AE153">
        <f t="shared" si="394"/>
        <v>4882272.1199069824</v>
      </c>
      <c r="AI153">
        <f t="shared" si="371"/>
        <v>12192.54091907837</v>
      </c>
      <c r="AJ153">
        <f t="shared" si="395"/>
        <v>63976.815471461356</v>
      </c>
      <c r="AK153">
        <f t="shared" si="396"/>
        <v>120943.49124381515</v>
      </c>
      <c r="AL153">
        <f t="shared" si="397"/>
        <v>183611.20603954449</v>
      </c>
      <c r="AM153">
        <f t="shared" si="398"/>
        <v>252550.50124105212</v>
      </c>
      <c r="AN153">
        <f t="shared" si="399"/>
        <v>328389.01615055854</v>
      </c>
      <c r="AO153">
        <f t="shared" si="400"/>
        <v>411817.20216360106</v>
      </c>
      <c r="AP153">
        <f t="shared" si="401"/>
        <v>503594.6087983707</v>
      </c>
      <c r="AQ153">
        <f t="shared" si="402"/>
        <v>604556.79881035362</v>
      </c>
      <c r="AR153">
        <f t="shared" si="403"/>
        <v>715622.95534908096</v>
      </c>
      <c r="AS153">
        <f t="shared" si="404"/>
        <v>837804.25041430315</v>
      </c>
      <c r="AT153">
        <f t="shared" si="405"/>
        <v>972213.05079995084</v>
      </c>
      <c r="AU153">
        <f t="shared" si="406"/>
        <v>1120073.0453389268</v>
      </c>
      <c r="AV153">
        <f t="shared" si="407"/>
        <v>1282730.3856495142</v>
      </c>
      <c r="AW153">
        <f t="shared" si="408"/>
        <v>1461665.9418113269</v>
      </c>
      <c r="AX153">
        <f t="shared" si="409"/>
        <v>1658508.7845493197</v>
      </c>
      <c r="AY153">
        <f t="shared" si="410"/>
        <v>1875051.0166707826</v>
      </c>
      <c r="AZ153">
        <f t="shared" si="411"/>
        <v>2113264.088784148</v>
      </c>
      <c r="BA153">
        <f t="shared" si="412"/>
        <v>2375316.7478417037</v>
      </c>
      <c r="BB153">
        <f t="shared" si="413"/>
        <v>2663594.7819138821</v>
      </c>
      <c r="BC153">
        <f t="shared" si="414"/>
        <v>2980722.7409561439</v>
      </c>
      <c r="BD153">
        <f t="shared" si="415"/>
        <v>3329587.8313193242</v>
      </c>
      <c r="BE153">
        <f t="shared" si="416"/>
        <v>3713366.2015446075</v>
      </c>
      <c r="BF153">
        <f t="shared" si="417"/>
        <v>4135551.8587550945</v>
      </c>
      <c r="BG153">
        <f t="shared" si="418"/>
        <v>4599988.4789054692</v>
      </c>
      <c r="BH153">
        <f t="shared" si="419"/>
        <v>5110904.4004976703</v>
      </c>
      <c r="BI153">
        <f t="shared" si="420"/>
        <v>5672951.1203534175</v>
      </c>
      <c r="BJ153">
        <f t="shared" si="421"/>
        <v>6291245.6419180492</v>
      </c>
    </row>
    <row r="154" spans="1:62" x14ac:dyDescent="0.3">
      <c r="A154">
        <f>0.015/12</f>
        <v>1.25E-3</v>
      </c>
      <c r="B154">
        <v>1.5</v>
      </c>
      <c r="D154">
        <f t="shared" si="369"/>
        <v>16262.5059665847</v>
      </c>
      <c r="E154">
        <f t="shared" si="373"/>
        <v>67665.192245022423</v>
      </c>
      <c r="F154">
        <f t="shared" si="373"/>
        <v>123237.02535773625</v>
      </c>
      <c r="G154">
        <f t="shared" si="373"/>
        <v>183316.1546619719</v>
      </c>
      <c r="H154">
        <f t="shared" si="373"/>
        <v>248268.15598670917</v>
      </c>
      <c r="I154">
        <f t="shared" si="374"/>
        <v>319229.80945340975</v>
      </c>
      <c r="J154">
        <f t="shared" si="374"/>
        <v>396139.28553006909</v>
      </c>
      <c r="K154">
        <f t="shared" si="374"/>
        <v>479495.11535387562</v>
      </c>
      <c r="L154">
        <f t="shared" si="375"/>
        <v>570988.85391741397</v>
      </c>
      <c r="M154">
        <f t="shared" si="376"/>
        <v>670619.86218143778</v>
      </c>
      <c r="N154">
        <f t="shared" si="377"/>
        <v>778872.2897915775</v>
      </c>
      <c r="O154">
        <f t="shared" si="378"/>
        <v>896492.17829490453</v>
      </c>
      <c r="P154">
        <f t="shared" si="379"/>
        <v>1024919.4662602573</v>
      </c>
      <c r="Q154">
        <f t="shared" si="380"/>
        <v>1166648.9350083051</v>
      </c>
      <c r="R154">
        <f t="shared" si="381"/>
        <v>1321023.0640700005</v>
      </c>
      <c r="S154">
        <f t="shared" si="382"/>
        <v>1489169.9705254382</v>
      </c>
      <c r="T154">
        <f t="shared" si="383"/>
        <v>1672318.4185353667</v>
      </c>
      <c r="U154">
        <f t="shared" si="384"/>
        <v>1868718.7516666637</v>
      </c>
      <c r="V154">
        <f t="shared" si="385"/>
        <v>2075502.3909588361</v>
      </c>
      <c r="W154">
        <f t="shared" si="386"/>
        <v>2299618.1010958431</v>
      </c>
      <c r="X154">
        <f t="shared" si="387"/>
        <v>2542518.6115141097</v>
      </c>
      <c r="Y154">
        <f t="shared" si="388"/>
        <v>2805778.4156812769</v>
      </c>
      <c r="Z154">
        <f t="shared" si="389"/>
        <v>3091103.9770429763</v>
      </c>
      <c r="AA154">
        <f t="shared" si="390"/>
        <v>3400344.7904057107</v>
      </c>
      <c r="AB154">
        <f t="shared" si="391"/>
        <v>3735505.3704562942</v>
      </c>
      <c r="AC154">
        <f t="shared" si="392"/>
        <v>4098758.2451280458</v>
      </c>
      <c r="AD154">
        <f t="shared" si="393"/>
        <v>4492458.0380373923</v>
      </c>
      <c r="AE154">
        <f t="shared" si="394"/>
        <v>4919156.7312739566</v>
      </c>
      <c r="AI154">
        <f t="shared" si="371"/>
        <v>16321.757395612618</v>
      </c>
      <c r="AJ154">
        <f t="shared" si="395"/>
        <v>68519.270458923638</v>
      </c>
      <c r="AK154">
        <f t="shared" si="396"/>
        <v>125940.54030394081</v>
      </c>
      <c r="AL154">
        <f t="shared" si="397"/>
        <v>189108.34346374008</v>
      </c>
      <c r="AM154">
        <f t="shared" si="398"/>
        <v>258597.77424095574</v>
      </c>
      <c r="AN154">
        <f t="shared" si="399"/>
        <v>335041.48049944005</v>
      </c>
      <c r="AO154">
        <f t="shared" si="400"/>
        <v>419135.42343686667</v>
      </c>
      <c r="AP154">
        <f t="shared" si="401"/>
        <v>511645.21377658175</v>
      </c>
      <c r="AQ154">
        <f t="shared" si="402"/>
        <v>613413.08206486027</v>
      </c>
      <c r="AR154">
        <f t="shared" si="403"/>
        <v>725365.54653276666</v>
      </c>
      <c r="AS154">
        <f t="shared" si="404"/>
        <v>848521.8483326094</v>
      </c>
      <c r="AT154">
        <f t="shared" si="405"/>
        <v>984003.23094533454</v>
      </c>
      <c r="AU154">
        <f t="shared" si="406"/>
        <v>1133043.1482407316</v>
      </c>
      <c r="AV154">
        <f t="shared" si="407"/>
        <v>1296998.4941269974</v>
      </c>
      <c r="AW154">
        <f t="shared" si="408"/>
        <v>1477361.9560269814</v>
      </c>
      <c r="AX154">
        <f t="shared" si="409"/>
        <v>1675775.6046500234</v>
      </c>
      <c r="AY154">
        <f t="shared" si="410"/>
        <v>1894045.8437838156</v>
      </c>
      <c r="AZ154">
        <f t="shared" si="411"/>
        <v>2134159.8562126458</v>
      </c>
      <c r="BA154">
        <f t="shared" si="412"/>
        <v>2398303.6954894806</v>
      </c>
      <c r="BB154">
        <f t="shared" si="413"/>
        <v>2688882.1882735551</v>
      </c>
      <c r="BC154">
        <f t="shared" si="414"/>
        <v>3008540.8284289744</v>
      </c>
      <c r="BD154">
        <f t="shared" si="415"/>
        <v>3360189.8622132526</v>
      </c>
      <c r="BE154">
        <f t="shared" si="416"/>
        <v>3747030.7838329338</v>
      </c>
      <c r="BF154">
        <f t="shared" si="417"/>
        <v>4172585.4825879605</v>
      </c>
      <c r="BG154">
        <f t="shared" si="418"/>
        <v>4640728.3069671355</v>
      </c>
      <c r="BH154">
        <f t="shared" si="419"/>
        <v>5155721.3376136422</v>
      </c>
      <c r="BI154">
        <f t="shared" si="420"/>
        <v>5722253.1902938383</v>
      </c>
      <c r="BJ154">
        <f t="shared" si="421"/>
        <v>6345481.7021405557</v>
      </c>
    </row>
    <row r="155" spans="1:62" x14ac:dyDescent="0.3">
      <c r="A155">
        <f>0.0125/12</f>
        <v>1.0416666666666667E-3</v>
      </c>
      <c r="B155">
        <v>1.25</v>
      </c>
      <c r="D155">
        <f t="shared" si="369"/>
        <v>20394.617505486836</v>
      </c>
      <c r="E155">
        <f t="shared" ref="E155:G162" si="422">(E154+4000)*1.00798-(0.00146*(E154+4000))</f>
        <v>72132.449298459978</v>
      </c>
      <c r="F155">
        <f t="shared" si="422"/>
        <v>128066.6107630687</v>
      </c>
      <c r="G155">
        <f t="shared" si="422"/>
        <v>188537.45599036798</v>
      </c>
      <c r="H155">
        <f t="shared" ref="H155:H162" si="423">(H154+4000)*1.00798-(0.00125*(H154+4000))</f>
        <v>253965.92067649975</v>
      </c>
      <c r="I155">
        <f t="shared" si="374"/>
        <v>325405.14607103122</v>
      </c>
      <c r="J155">
        <f t="shared" si="374"/>
        <v>402832.22292168648</v>
      </c>
      <c r="K155">
        <f t="shared" si="374"/>
        <v>486749.03748020728</v>
      </c>
      <c r="L155">
        <f t="shared" si="375"/>
        <v>578979.27656360087</v>
      </c>
      <c r="M155">
        <f t="shared" si="376"/>
        <v>679301.72402497695</v>
      </c>
      <c r="N155">
        <f t="shared" si="377"/>
        <v>788305.4234827311</v>
      </c>
      <c r="O155">
        <f t="shared" si="378"/>
        <v>906741.59401227126</v>
      </c>
      <c r="P155">
        <f t="shared" si="379"/>
        <v>1036273.1536856195</v>
      </c>
      <c r="Q155">
        <f t="shared" si="380"/>
        <v>1179015.5629468097</v>
      </c>
      <c r="R155">
        <f t="shared" si="381"/>
        <v>1334493.0039089089</v>
      </c>
      <c r="S155">
        <f t="shared" si="382"/>
        <v>1503841.6563047837</v>
      </c>
      <c r="T155">
        <f t="shared" si="383"/>
        <v>1688299.0662726392</v>
      </c>
      <c r="U155">
        <f t="shared" si="384"/>
        <v>1885322.1488653806</v>
      </c>
      <c r="V155">
        <f t="shared" si="385"/>
        <v>2093497.442049989</v>
      </c>
      <c r="W155">
        <f t="shared" si="386"/>
        <v>2319121.4509162186</v>
      </c>
      <c r="X155">
        <f t="shared" si="387"/>
        <v>2563656.6817695997</v>
      </c>
      <c r="Y155">
        <f t="shared" si="388"/>
        <v>2828688.224418812</v>
      </c>
      <c r="Z155">
        <f t="shared" si="389"/>
        <v>3115934.0268084761</v>
      </c>
      <c r="AA155">
        <f t="shared" si="390"/>
        <v>3427256.0308451415</v>
      </c>
      <c r="AB155">
        <f t="shared" si="391"/>
        <v>3764672.2415994653</v>
      </c>
      <c r="AC155">
        <f t="shared" si="392"/>
        <v>4130369.808117758</v>
      </c>
      <c r="AD155">
        <f t="shared" si="393"/>
        <v>4526719.2006333843</v>
      </c>
      <c r="AE155">
        <f t="shared" si="394"/>
        <v>4956289.576075431</v>
      </c>
      <c r="AI155">
        <f t="shared" si="371"/>
        <v>20483.925019629609</v>
      </c>
      <c r="AJ155">
        <f t="shared" si="395"/>
        <v>73097.974237185859</v>
      </c>
      <c r="AK155">
        <f t="shared" si="396"/>
        <v>130977.46581556628</v>
      </c>
      <c r="AL155">
        <f t="shared" si="397"/>
        <v>194649.34804458075</v>
      </c>
      <c r="AM155">
        <f t="shared" si="398"/>
        <v>264693.30447939859</v>
      </c>
      <c r="AN155">
        <f t="shared" si="399"/>
        <v>341747.03151382564</v>
      </c>
      <c r="AO155">
        <f t="shared" si="400"/>
        <v>426512.0441158929</v>
      </c>
      <c r="AP155">
        <f t="shared" si="401"/>
        <v>519760.06258251891</v>
      </c>
      <c r="AQ155">
        <f t="shared" si="402"/>
        <v>622340.0384597379</v>
      </c>
      <c r="AR155">
        <f t="shared" si="403"/>
        <v>735185.88359409827</v>
      </c>
      <c r="AS155">
        <f t="shared" si="404"/>
        <v>859324.97268230375</v>
      </c>
      <c r="AT155">
        <f t="shared" si="405"/>
        <v>995887.49672827835</v>
      </c>
      <c r="AU155">
        <f t="shared" si="406"/>
        <v>1146116.7525636926</v>
      </c>
      <c r="AV155">
        <f t="shared" si="407"/>
        <v>1311380.462110131</v>
      </c>
      <c r="AW155">
        <f t="shared" si="408"/>
        <v>1493183.2244360768</v>
      </c>
      <c r="AX155">
        <f t="shared" si="409"/>
        <v>1693180.2139751308</v>
      </c>
      <c r="AY155">
        <f t="shared" si="410"/>
        <v>1913192.2496172106</v>
      </c>
      <c r="AZ155">
        <f t="shared" si="411"/>
        <v>2155222.3718652227</v>
      </c>
      <c r="BA155">
        <f t="shared" si="412"/>
        <v>2421474.0789794871</v>
      </c>
      <c r="BB155">
        <f t="shared" si="413"/>
        <v>2714371.3881359785</v>
      </c>
      <c r="BC155">
        <f t="shared" si="414"/>
        <v>3036580.904239838</v>
      </c>
      <c r="BD155">
        <f t="shared" si="415"/>
        <v>3391036.0973137147</v>
      </c>
      <c r="BE155">
        <f t="shared" si="416"/>
        <v>3780964.0094879209</v>
      </c>
      <c r="BF155">
        <f t="shared" si="417"/>
        <v>4209914.6347390125</v>
      </c>
      <c r="BG155">
        <f t="shared" si="418"/>
        <v>4681793.2388567338</v>
      </c>
      <c r="BH155">
        <f t="shared" si="419"/>
        <v>5200895.9138877997</v>
      </c>
      <c r="BI155">
        <f t="shared" si="420"/>
        <v>5771948.6907523833</v>
      </c>
      <c r="BJ155">
        <f t="shared" si="421"/>
        <v>6400150.5661236383</v>
      </c>
    </row>
    <row r="156" spans="1:62" x14ac:dyDescent="0.3">
      <c r="A156">
        <f>0.01/12</f>
        <v>8.3333333333333339E-4</v>
      </c>
      <c r="B156">
        <v>1</v>
      </c>
      <c r="D156">
        <f t="shared" si="369"/>
        <v>24553.670411622614</v>
      </c>
      <c r="E156">
        <f t="shared" si="422"/>
        <v>76628.83286788594</v>
      </c>
      <c r="F156">
        <f t="shared" si="422"/>
        <v>132927.68506524392</v>
      </c>
      <c r="G156">
        <f t="shared" si="422"/>
        <v>193792.8002034252</v>
      </c>
      <c r="H156">
        <f t="shared" si="423"/>
        <v>259702.03132265262</v>
      </c>
      <c r="I156">
        <f t="shared" si="374"/>
        <v>331622.04270408931</v>
      </c>
      <c r="J156">
        <f t="shared" si="374"/>
        <v>409570.20378194947</v>
      </c>
      <c r="K156">
        <f t="shared" si="374"/>
        <v>494051.7785024491</v>
      </c>
      <c r="L156">
        <f t="shared" si="375"/>
        <v>587025.15274295234</v>
      </c>
      <c r="M156">
        <f t="shared" si="376"/>
        <v>688043.83798971039</v>
      </c>
      <c r="N156">
        <f t="shared" si="377"/>
        <v>797804.02312170132</v>
      </c>
      <c r="O156">
        <f t="shared" si="378"/>
        <v>917062.14067471656</v>
      </c>
      <c r="P156">
        <f t="shared" si="379"/>
        <v>1047707.9859150107</v>
      </c>
      <c r="Q156">
        <f t="shared" si="380"/>
        <v>1191470.5751751908</v>
      </c>
      <c r="R156">
        <f t="shared" si="381"/>
        <v>1348059.2134078462</v>
      </c>
      <c r="S156">
        <f t="shared" si="382"/>
        <v>1518618.200622394</v>
      </c>
      <c r="T156">
        <f t="shared" si="383"/>
        <v>1704393.9276992898</v>
      </c>
      <c r="U156">
        <f t="shared" si="384"/>
        <v>1902037.2869272446</v>
      </c>
      <c r="V156">
        <f t="shared" si="385"/>
        <v>2111613.5998349856</v>
      </c>
      <c r="W156">
        <f t="shared" si="386"/>
        <v>2338756.0582808848</v>
      </c>
      <c r="X156">
        <f t="shared" si="387"/>
        <v>2584937.0112379091</v>
      </c>
      <c r="Y156">
        <f t="shared" si="388"/>
        <v>2851752.216169151</v>
      </c>
      <c r="Z156">
        <f t="shared" si="389"/>
        <v>3140931.1828088975</v>
      </c>
      <c r="AA156">
        <f t="shared" si="390"/>
        <v>3454348.3839327293</v>
      </c>
      <c r="AB156">
        <f t="shared" si="391"/>
        <v>3794035.4057854302</v>
      </c>
      <c r="AC156">
        <f t="shared" si="392"/>
        <v>4162194.1169263911</v>
      </c>
      <c r="AD156">
        <f t="shared" si="393"/>
        <v>4561210.940853647</v>
      </c>
      <c r="AE156">
        <f t="shared" si="394"/>
        <v>4993672.3249224192</v>
      </c>
      <c r="AI156">
        <f t="shared" si="371"/>
        <v>24679.306741286255</v>
      </c>
      <c r="AJ156">
        <f t="shared" si="395"/>
        <v>77713.21607159861</v>
      </c>
      <c r="AK156">
        <f t="shared" si="396"/>
        <v>136054.58599277452</v>
      </c>
      <c r="AL156">
        <f t="shared" si="397"/>
        <v>200234.56984197651</v>
      </c>
      <c r="AM156">
        <f t="shared" si="398"/>
        <v>270837.47704914422</v>
      </c>
      <c r="AN156">
        <f t="shared" si="399"/>
        <v>348506.092825306</v>
      </c>
      <c r="AO156">
        <f t="shared" si="400"/>
        <v>433947.53022793779</v>
      </c>
      <c r="AP156">
        <f t="shared" si="401"/>
        <v>527939.66788192745</v>
      </c>
      <c r="AQ156">
        <f t="shared" si="402"/>
        <v>631338.23196664662</v>
      </c>
      <c r="AR156">
        <f t="shared" si="403"/>
        <v>745084.58694517927</v>
      </c>
      <c r="AS156">
        <f t="shared" si="404"/>
        <v>870214.30596430867</v>
      </c>
      <c r="AT156">
        <f t="shared" si="405"/>
        <v>1007866.5989521701</v>
      </c>
      <c r="AU156">
        <f t="shared" si="406"/>
        <v>1159294.684249151</v>
      </c>
      <c r="AV156">
        <f t="shared" si="407"/>
        <v>1325877.1981977699</v>
      </c>
      <c r="AW156">
        <f t="shared" si="408"/>
        <v>1509130.7465670768</v>
      </c>
      <c r="AX156">
        <f t="shared" si="409"/>
        <v>1710723.7120826526</v>
      </c>
      <c r="AY156">
        <f t="shared" si="410"/>
        <v>1932491.443769156</v>
      </c>
      <c r="AZ156">
        <f t="shared" si="411"/>
        <v>2176452.9663927075</v>
      </c>
      <c r="BA156">
        <f t="shared" si="412"/>
        <v>2444829.3621297437</v>
      </c>
      <c r="BB156">
        <f t="shared" si="413"/>
        <v>2740063.9918133039</v>
      </c>
      <c r="BC156">
        <f t="shared" si="414"/>
        <v>3064844.7398556722</v>
      </c>
      <c r="BD156">
        <f t="shared" si="415"/>
        <v>3422128.4853702784</v>
      </c>
      <c r="BE156">
        <f t="shared" si="416"/>
        <v>3815168.0222836351</v>
      </c>
      <c r="BF156">
        <f t="shared" si="417"/>
        <v>4247541.6735242298</v>
      </c>
      <c r="BG156">
        <f t="shared" si="418"/>
        <v>4723185.8689028108</v>
      </c>
      <c r="BH156">
        <f t="shared" si="419"/>
        <v>5246430.9832806252</v>
      </c>
      <c r="BI156">
        <f t="shared" si="420"/>
        <v>5822040.7613045881</v>
      </c>
      <c r="BJ156">
        <f t="shared" si="421"/>
        <v>6455255.6876413058</v>
      </c>
    </row>
    <row r="157" spans="1:62" x14ac:dyDescent="0.3">
      <c r="D157">
        <f t="shared" si="369"/>
        <v>28739.840342706397</v>
      </c>
      <c r="E157">
        <f t="shared" si="422"/>
        <v>81154.532858184553</v>
      </c>
      <c r="F157">
        <f t="shared" si="422"/>
        <v>137820.45357186932</v>
      </c>
      <c r="G157">
        <f t="shared" si="422"/>
        <v>199082.40926075156</v>
      </c>
      <c r="H157">
        <f t="shared" si="423"/>
        <v>265476.74599345407</v>
      </c>
      <c r="I157">
        <f t="shared" ref="I157:J162" si="424">(I156+4000)*1.00798-(0.00125*(I156+4000))</f>
        <v>337880.77905148786</v>
      </c>
      <c r="J157">
        <f t="shared" si="424"/>
        <v>416353.531253402</v>
      </c>
      <c r="K157">
        <f t="shared" ref="K157:K162" si="425">(K156+4000)*1.00798-(0.00104*(K156+4000))</f>
        <v>501508.25784525613</v>
      </c>
      <c r="L157">
        <f t="shared" si="375"/>
        <v>595126.86730298854</v>
      </c>
      <c r="M157">
        <f t="shared" si="376"/>
        <v>696846.62222535908</v>
      </c>
      <c r="N157">
        <f t="shared" si="377"/>
        <v>807368.54304216593</v>
      </c>
      <c r="O157">
        <f t="shared" si="378"/>
        <v>927454.31193099916</v>
      </c>
      <c r="P157">
        <f t="shared" si="379"/>
        <v>1059224.5428903457</v>
      </c>
      <c r="Q157">
        <f t="shared" si="380"/>
        <v>1204014.6033759678</v>
      </c>
      <c r="R157">
        <f t="shared" si="381"/>
        <v>1361722.380606072</v>
      </c>
      <c r="S157">
        <f t="shared" si="382"/>
        <v>1533500.3529022424</v>
      </c>
      <c r="T157">
        <f t="shared" si="383"/>
        <v>1720603.8191005567</v>
      </c>
      <c r="U157">
        <f t="shared" si="384"/>
        <v>1918864.9178682652</v>
      </c>
      <c r="V157">
        <f t="shared" si="385"/>
        <v>2129851.6793618752</v>
      </c>
      <c r="W157">
        <f t="shared" si="386"/>
        <v>2358522.8065531151</v>
      </c>
      <c r="X157">
        <f t="shared" si="387"/>
        <v>2606360.5573235406</v>
      </c>
      <c r="Y157">
        <f t="shared" si="388"/>
        <v>2874971.4285839694</v>
      </c>
      <c r="Z157">
        <f t="shared" si="389"/>
        <v>3166096.569669202</v>
      </c>
      <c r="AA157">
        <f t="shared" si="390"/>
        <v>3481623.068556597</v>
      </c>
      <c r="AB157">
        <f t="shared" si="391"/>
        <v>3823596.1840663664</v>
      </c>
      <c r="AC157">
        <f t="shared" si="392"/>
        <v>4194232.603333306</v>
      </c>
      <c r="AD157">
        <f t="shared" si="393"/>
        <v>4595934.810485593</v>
      </c>
      <c r="AE157">
        <f t="shared" si="394"/>
        <v>5031306.6596691469</v>
      </c>
      <c r="AI157">
        <f t="shared" si="371"/>
        <v>28908.16760908172</v>
      </c>
      <c r="AJ157">
        <f t="shared" si="395"/>
        <v>82365.287535849973</v>
      </c>
      <c r="AK157">
        <f t="shared" si="396"/>
        <v>141172.22158899688</v>
      </c>
      <c r="AL157">
        <f t="shared" si="397"/>
        <v>205864.3617093155</v>
      </c>
      <c r="AM157">
        <f t="shared" si="398"/>
        <v>277030.68011599639</v>
      </c>
      <c r="AN157">
        <f t="shared" si="399"/>
        <v>355319.09144605196</v>
      </c>
      <c r="AO157">
        <f t="shared" si="400"/>
        <v>441442.35151915677</v>
      </c>
      <c r="AP157">
        <f t="shared" si="401"/>
        <v>536184.54643162526</v>
      </c>
      <c r="AQ157">
        <f t="shared" si="402"/>
        <v>640408.23105774052</v>
      </c>
      <c r="AR157">
        <f t="shared" si="403"/>
        <v>755062.28194900183</v>
      </c>
      <c r="AS157">
        <f t="shared" si="404"/>
        <v>881190.53612590395</v>
      </c>
      <c r="AT157">
        <f t="shared" si="405"/>
        <v>1019941.2944118085</v>
      </c>
      <c r="AU157">
        <f t="shared" si="406"/>
        <v>1172577.7758294593</v>
      </c>
      <c r="AV157">
        <f t="shared" si="407"/>
        <v>1340489.6182393883</v>
      </c>
      <c r="AW157">
        <f t="shared" si="408"/>
        <v>1525205.5299246821</v>
      </c>
      <c r="AX157">
        <f t="shared" si="409"/>
        <v>1728407.2073050723</v>
      </c>
      <c r="AY157">
        <f t="shared" si="410"/>
        <v>1951944.645490434</v>
      </c>
      <c r="AZ157">
        <f t="shared" si="411"/>
        <v>2197852.9810645217</v>
      </c>
      <c r="BA157">
        <f t="shared" si="412"/>
        <v>2468371.0204395391</v>
      </c>
      <c r="BB157">
        <f t="shared" si="413"/>
        <v>2765961.6224679742</v>
      </c>
      <c r="BC157">
        <f t="shared" si="414"/>
        <v>3093334.1208797209</v>
      </c>
      <c r="BD157">
        <f t="shared" si="415"/>
        <v>3453468.9906835337</v>
      </c>
      <c r="BE157">
        <f t="shared" si="416"/>
        <v>3849644.9831014588</v>
      </c>
      <c r="BF157">
        <f t="shared" si="417"/>
        <v>4285468.9760789536</v>
      </c>
      <c r="BG157">
        <f t="shared" si="418"/>
        <v>4764908.8121366557</v>
      </c>
      <c r="BH157">
        <f t="shared" si="419"/>
        <v>5292329.4225272052</v>
      </c>
      <c r="BI157">
        <f t="shared" si="420"/>
        <v>5872532.5665797992</v>
      </c>
      <c r="BJ157">
        <f t="shared" si="421"/>
        <v>6510800.5480286842</v>
      </c>
    </row>
    <row r="158" spans="1:62" x14ac:dyDescent="0.3">
      <c r="D158">
        <f t="shared" si="369"/>
        <v>32953.304101740847</v>
      </c>
      <c r="E158">
        <f t="shared" si="422"/>
        <v>85709.740412419924</v>
      </c>
      <c r="F158">
        <f t="shared" si="422"/>
        <v>142745.12292915792</v>
      </c>
      <c r="G158">
        <f t="shared" si="422"/>
        <v>204406.50656913168</v>
      </c>
      <c r="H158">
        <f t="shared" si="423"/>
        <v>271290.32449399005</v>
      </c>
      <c r="I158">
        <f t="shared" si="424"/>
        <v>344181.63669450441</v>
      </c>
      <c r="J158">
        <f t="shared" si="424"/>
        <v>423182.51051873749</v>
      </c>
      <c r="K158">
        <f t="shared" si="425"/>
        <v>509016.48515470227</v>
      </c>
      <c r="L158">
        <f t="shared" si="375"/>
        <v>603284.80776207137</v>
      </c>
      <c r="M158">
        <f t="shared" si="376"/>
        <v>705710.49778360315</v>
      </c>
      <c r="N158">
        <f t="shared" si="377"/>
        <v>816999.44073087862</v>
      </c>
      <c r="O158">
        <f t="shared" si="378"/>
        <v>937918.60485580028</v>
      </c>
      <c r="P158">
        <f t="shared" si="379"/>
        <v>1070823.4086983833</v>
      </c>
      <c r="Q158">
        <f t="shared" si="380"/>
        <v>1216648.2837462958</v>
      </c>
      <c r="R158">
        <f t="shared" si="381"/>
        <v>1375483.1984602637</v>
      </c>
      <c r="S158">
        <f t="shared" si="382"/>
        <v>1548488.8679244348</v>
      </c>
      <c r="T158">
        <f t="shared" si="383"/>
        <v>1736929.5625956687</v>
      </c>
      <c r="U158">
        <f t="shared" si="384"/>
        <v>1935805.7987655189</v>
      </c>
      <c r="V158">
        <f t="shared" si="385"/>
        <v>2148212.5011639805</v>
      </c>
      <c r="W158">
        <f t="shared" si="386"/>
        <v>2378422.585041218</v>
      </c>
      <c r="X158">
        <f t="shared" si="387"/>
        <v>2627928.2838743282</v>
      </c>
      <c r="Y158">
        <f t="shared" si="388"/>
        <v>2898346.9062983398</v>
      </c>
      <c r="Z158">
        <f t="shared" si="389"/>
        <v>3191431.3195830761</v>
      </c>
      <c r="AA158">
        <f t="shared" si="390"/>
        <v>3509081.3118079831</v>
      </c>
      <c r="AB158">
        <f t="shared" si="391"/>
        <v>3853355.9063851335</v>
      </c>
      <c r="AC158">
        <f t="shared" si="392"/>
        <v>4226486.7087537395</v>
      </c>
      <c r="AD158">
        <f t="shared" si="393"/>
        <v>4630892.3717601616</v>
      </c>
      <c r="AE158">
        <f t="shared" si="394"/>
        <v>5069194.2734887199</v>
      </c>
      <c r="AI158">
        <f t="shared" si="371"/>
        <v>33170.774786602196</v>
      </c>
      <c r="AJ158">
        <f t="shared" si="395"/>
        <v>87054.482530386071</v>
      </c>
      <c r="AK158">
        <f t="shared" si="396"/>
        <v>146330.6959172771</v>
      </c>
      <c r="AL158">
        <f t="shared" si="397"/>
        <v>211539.07931575587</v>
      </c>
      <c r="AM158">
        <f t="shared" si="398"/>
        <v>283273.30494332209</v>
      </c>
      <c r="AN158">
        <f t="shared" si="399"/>
        <v>362186.4577957915</v>
      </c>
      <c r="AO158">
        <f t="shared" si="400"/>
        <v>448996.98148427968</v>
      </c>
      <c r="AP158">
        <f t="shared" si="401"/>
        <v>544495.21911214967</v>
      </c>
      <c r="AQ158">
        <f t="shared" si="402"/>
        <v>649550.60874158132</v>
      </c>
      <c r="AR158">
        <f t="shared" si="403"/>
        <v>765119.59895895491</v>
      </c>
      <c r="AS158">
        <f t="shared" si="404"/>
        <v>892254.3566041888</v>
      </c>
      <c r="AT158">
        <f t="shared" si="405"/>
        <v>1032112.3459412148</v>
      </c>
      <c r="AU158">
        <f t="shared" si="406"/>
        <v>1185966.8664805784</v>
      </c>
      <c r="AV158">
        <f t="shared" si="407"/>
        <v>1355218.6453929387</v>
      </c>
      <c r="AW158">
        <f t="shared" si="408"/>
        <v>1541408.5900534813</v>
      </c>
      <c r="AX158">
        <f t="shared" si="409"/>
        <v>1746231.816819367</v>
      </c>
      <c r="AY158">
        <f t="shared" si="410"/>
        <v>1971553.0837614478</v>
      </c>
      <c r="AZ158">
        <f t="shared" si="411"/>
        <v>2219423.767853417</v>
      </c>
      <c r="BA158">
        <f t="shared" si="412"/>
        <v>2492100.541182647</v>
      </c>
      <c r="BB158">
        <f t="shared" si="413"/>
        <v>2792065.9162152689</v>
      </c>
      <c r="BC158">
        <f t="shared" si="414"/>
        <v>3122050.8471643412</v>
      </c>
      <c r="BD158">
        <f t="shared" si="415"/>
        <v>3485059.5932291886</v>
      </c>
      <c r="BE158">
        <f t="shared" si="416"/>
        <v>3884397.070066609</v>
      </c>
      <c r="BF158">
        <f t="shared" si="417"/>
        <v>4323698.9385080645</v>
      </c>
      <c r="BG158">
        <f t="shared" si="418"/>
        <v>4806964.7044575065</v>
      </c>
      <c r="BH158">
        <f t="shared" si="419"/>
        <v>5338594.1313189724</v>
      </c>
      <c r="BI158">
        <f t="shared" si="420"/>
        <v>5923427.2964611063</v>
      </c>
      <c r="BJ158">
        <f t="shared" si="421"/>
        <v>6566788.6564019537</v>
      </c>
    </row>
    <row r="159" spans="1:62" x14ac:dyDescent="0.3">
      <c r="D159">
        <f t="shared" si="369"/>
        <v>37194.239644484202</v>
      </c>
      <c r="E159">
        <f t="shared" si="422"/>
        <v>90294.647919908908</v>
      </c>
      <c r="F159">
        <f t="shared" si="422"/>
        <v>147701.90113065604</v>
      </c>
      <c r="G159">
        <f t="shared" si="422"/>
        <v>209765.31699196246</v>
      </c>
      <c r="H159">
        <f t="shared" si="423"/>
        <v>277143.02837783459</v>
      </c>
      <c r="I159">
        <f t="shared" si="424"/>
        <v>350524.89910945849</v>
      </c>
      <c r="J159">
        <f t="shared" si="424"/>
        <v>430057.44881452865</v>
      </c>
      <c r="K159">
        <f t="shared" si="425"/>
        <v>516576.81956167595</v>
      </c>
      <c r="L159">
        <f t="shared" si="375"/>
        <v>611499.36432794027</v>
      </c>
      <c r="M159">
        <f t="shared" si="376"/>
        <v>714635.88863822143</v>
      </c>
      <c r="N159">
        <f t="shared" si="377"/>
        <v>826697.17684955092</v>
      </c>
      <c r="O159">
        <f t="shared" si="378"/>
        <v>948455.5199734997</v>
      </c>
      <c r="P159">
        <f t="shared" si="379"/>
        <v>1082505.1716003506</v>
      </c>
      <c r="Q159">
        <f t="shared" si="380"/>
        <v>1229372.2570302307</v>
      </c>
      <c r="R159">
        <f t="shared" si="381"/>
        <v>1389342.3648796594</v>
      </c>
      <c r="S159">
        <f t="shared" si="382"/>
        <v>1563584.505863491</v>
      </c>
      <c r="T159">
        <f t="shared" si="383"/>
        <v>1753371.9861795402</v>
      </c>
      <c r="U159">
        <f t="shared" si="384"/>
        <v>1952860.6917912113</v>
      </c>
      <c r="V159">
        <f t="shared" si="385"/>
        <v>2166696.8912968142</v>
      </c>
      <c r="W159">
        <f t="shared" si="386"/>
        <v>2398456.2890385459</v>
      </c>
      <c r="X159">
        <f t="shared" si="387"/>
        <v>2649641.161224803</v>
      </c>
      <c r="Y159">
        <f t="shared" si="388"/>
        <v>2921879.7009777278</v>
      </c>
      <c r="Z159">
        <f t="shared" si="389"/>
        <v>3216936.5723638702</v>
      </c>
      <c r="AA159">
        <f t="shared" si="390"/>
        <v>3536724.349036451</v>
      </c>
      <c r="AB159">
        <f t="shared" si="391"/>
        <v>3883315.911635106</v>
      </c>
      <c r="AC159">
        <f t="shared" si="392"/>
        <v>4258957.8843036527</v>
      </c>
      <c r="AD159">
        <f t="shared" si="393"/>
        <v>4666085.1974221077</v>
      </c>
      <c r="AE159">
        <f t="shared" si="394"/>
        <v>5107336.8709492991</v>
      </c>
      <c r="AI159">
        <f t="shared" si="371"/>
        <v>37467.397569399283</v>
      </c>
      <c r="AJ159">
        <f t="shared" si="395"/>
        <v>91781.097300978567</v>
      </c>
      <c r="AK159">
        <f t="shared" si="396"/>
        <v>151530.334870697</v>
      </c>
      <c r="AL159">
        <f t="shared" si="397"/>
        <v>217259.08116869561</v>
      </c>
      <c r="AM159">
        <f t="shared" si="398"/>
        <v>289565.74591676984</v>
      </c>
      <c r="AN159">
        <f t="shared" si="399"/>
        <v>369108.62572900194</v>
      </c>
      <c r="AO159">
        <f t="shared" si="400"/>
        <v>456611.89739652426</v>
      </c>
      <c r="AP159">
        <f t="shared" si="401"/>
        <v>552872.21096066467</v>
      </c>
      <c r="AQ159">
        <f t="shared" si="402"/>
        <v>658765.94259933918</v>
      </c>
      <c r="AR159">
        <f t="shared" si="403"/>
        <v>775257.1733586475</v>
      </c>
      <c r="AS159">
        <f t="shared" si="404"/>
        <v>903406.46636989026</v>
      </c>
      <c r="AT159">
        <f t="shared" si="405"/>
        <v>1044380.5224618259</v>
      </c>
      <c r="AU159">
        <f t="shared" si="406"/>
        <v>1199462.8020750936</v>
      </c>
      <c r="AV159">
        <f t="shared" si="407"/>
        <v>1370065.2101831746</v>
      </c>
      <c r="AW159">
        <f t="shared" si="408"/>
        <v>1557740.9506021081</v>
      </c>
      <c r="AX159">
        <f t="shared" si="409"/>
        <v>1764198.6667175856</v>
      </c>
      <c r="AY159">
        <f t="shared" si="410"/>
        <v>1991317.9973698643</v>
      </c>
      <c r="AZ159">
        <f t="shared" si="411"/>
        <v>2241166.6895208876</v>
      </c>
      <c r="BA159">
        <f t="shared" si="412"/>
        <v>2516019.4235012848</v>
      </c>
      <c r="BB159">
        <f t="shared" si="413"/>
        <v>2818378.522226667</v>
      </c>
      <c r="BC159">
        <f t="shared" si="414"/>
        <v>3150996.7329247128</v>
      </c>
      <c r="BD159">
        <f t="shared" si="415"/>
        <v>3516902.2887831577</v>
      </c>
      <c r="BE159">
        <f t="shared" si="416"/>
        <v>3919426.4786857408</v>
      </c>
      <c r="BF159">
        <f t="shared" si="417"/>
        <v>4362233.9760373589</v>
      </c>
      <c r="BG159">
        <f t="shared" si="418"/>
        <v>4849356.2027990781</v>
      </c>
      <c r="BH159">
        <f t="shared" si="419"/>
        <v>5385228.0324868988</v>
      </c>
      <c r="BI159">
        <f t="shared" si="420"/>
        <v>5974728.1662868662</v>
      </c>
      <c r="BJ159">
        <f t="shared" si="421"/>
        <v>6623223.5498800417</v>
      </c>
    </row>
    <row r="160" spans="1:62" x14ac:dyDescent="0.3">
      <c r="D160">
        <f t="shared" si="369"/>
        <v>41462.826086966241</v>
      </c>
      <c r="E160">
        <f t="shared" si="422"/>
        <v>94909.449024346715</v>
      </c>
      <c r="F160">
        <f t="shared" si="422"/>
        <v>152690.99752602793</v>
      </c>
      <c r="G160">
        <f t="shared" si="422"/>
        <v>215159.06685875007</v>
      </c>
      <c r="H160">
        <f t="shared" si="423"/>
        <v>283035.12095881742</v>
      </c>
      <c r="I160">
        <f t="shared" si="424"/>
        <v>356910.85168046522</v>
      </c>
      <c r="J160">
        <f t="shared" si="424"/>
        <v>436978.65544505045</v>
      </c>
      <c r="K160">
        <f t="shared" si="425"/>
        <v>524189.62268943398</v>
      </c>
      <c r="L160">
        <f t="shared" si="375"/>
        <v>619770.92991637625</v>
      </c>
      <c r="M160">
        <f t="shared" si="376"/>
        <v>723623.2217053707</v>
      </c>
      <c r="N160">
        <f t="shared" si="377"/>
        <v>836462.21525688679</v>
      </c>
      <c r="O160">
        <f t="shared" si="378"/>
        <v>959065.56128211587</v>
      </c>
      <c r="P160">
        <f t="shared" si="379"/>
        <v>1094270.4240617785</v>
      </c>
      <c r="Q160">
        <f t="shared" si="380"/>
        <v>1242187.1685512259</v>
      </c>
      <c r="R160">
        <f t="shared" si="381"/>
        <v>1403300.5827614544</v>
      </c>
      <c r="S160">
        <f t="shared" si="382"/>
        <v>1578788.0323268976</v>
      </c>
      <c r="T160">
        <f t="shared" si="383"/>
        <v>1769931.9237647655</v>
      </c>
      <c r="U160">
        <f t="shared" si="384"/>
        <v>1970030.3642469663</v>
      </c>
      <c r="V160">
        <f t="shared" si="385"/>
        <v>2185305.6813752423</v>
      </c>
      <c r="W160">
        <f t="shared" si="386"/>
        <v>2418624.8198637757</v>
      </c>
      <c r="X160">
        <f t="shared" si="387"/>
        <v>2671500.1662398465</v>
      </c>
      <c r="Y160">
        <f t="shared" si="388"/>
        <v>2945570.8713653083</v>
      </c>
      <c r="Z160">
        <f t="shared" si="389"/>
        <v>3242613.4754958791</v>
      </c>
      <c r="AA160">
        <f t="shared" si="390"/>
        <v>3564553.4239054667</v>
      </c>
      <c r="AB160">
        <f t="shared" si="391"/>
        <v>3913477.5477204109</v>
      </c>
      <c r="AC160">
        <f t="shared" si="392"/>
        <v>4291647.5908650169</v>
      </c>
      <c r="AD160">
        <f t="shared" si="393"/>
        <v>4701514.8708007587</v>
      </c>
      <c r="AE160">
        <f t="shared" si="394"/>
        <v>5145736.1680907886</v>
      </c>
      <c r="AI160">
        <f t="shared" si="371"/>
        <v>41798.307402003091</v>
      </c>
      <c r="AJ160">
        <f t="shared" si="395"/>
        <v>96545.43045744038</v>
      </c>
      <c r="AK160">
        <f t="shared" si="396"/>
        <v>156771.46694296517</v>
      </c>
      <c r="AL160">
        <f t="shared" si="397"/>
        <v>223024.72863642182</v>
      </c>
      <c r="AM160">
        <f t="shared" si="398"/>
        <v>295908.40056918567</v>
      </c>
      <c r="AN160">
        <f t="shared" si="399"/>
        <v>376086.03256231942</v>
      </c>
      <c r="AO160">
        <f t="shared" si="400"/>
        <v>464287.58033774857</v>
      </c>
      <c r="AP160">
        <f t="shared" si="401"/>
        <v>561316.05120413087</v>
      </c>
      <c r="AQ160">
        <f t="shared" si="402"/>
        <v>668054.81482128194</v>
      </c>
      <c r="AR160">
        <f t="shared" si="403"/>
        <v>785475.64560204954</v>
      </c>
      <c r="AS160">
        <f t="shared" si="404"/>
        <v>914647.56997152208</v>
      </c>
      <c r="AT160">
        <f t="shared" si="405"/>
        <v>1056746.5990310714</v>
      </c>
      <c r="AU160">
        <f t="shared" si="406"/>
        <v>1213066.4352356531</v>
      </c>
      <c r="AV160">
        <f t="shared" si="407"/>
        <v>1385030.2505604364</v>
      </c>
      <c r="AW160">
        <f t="shared" si="408"/>
        <v>1574203.6433879132</v>
      </c>
      <c r="AX160">
        <f t="shared" si="409"/>
        <v>1782308.8920779922</v>
      </c>
      <c r="AY160">
        <f t="shared" si="410"/>
        <v>2011240.6349888761</v>
      </c>
      <c r="AZ160">
        <f t="shared" si="411"/>
        <v>2263083.1197032644</v>
      </c>
      <c r="BA160">
        <f t="shared" si="412"/>
        <v>2540129.1785008251</v>
      </c>
      <c r="BB160">
        <f t="shared" si="413"/>
        <v>2844901.1028340361</v>
      </c>
      <c r="BC160">
        <f t="shared" si="414"/>
        <v>3180173.6068534525</v>
      </c>
      <c r="BD160">
        <f t="shared" si="415"/>
        <v>3548999.0890476475</v>
      </c>
      <c r="BE160">
        <f t="shared" si="416"/>
        <v>3954735.4219856532</v>
      </c>
      <c r="BF160">
        <f t="shared" si="417"/>
        <v>4401076.5231661377</v>
      </c>
      <c r="BG160">
        <f t="shared" si="418"/>
        <v>4892085.9852974154</v>
      </c>
      <c r="BH160">
        <f t="shared" si="419"/>
        <v>5432234.072186145</v>
      </c>
      <c r="BI160">
        <f t="shared" si="420"/>
        <v>6026438.4170538364</v>
      </c>
      <c r="BJ160">
        <f t="shared" si="421"/>
        <v>6680108.7938080849</v>
      </c>
    </row>
    <row r="161" spans="4:62" x14ac:dyDescent="0.3">
      <c r="D161">
        <f t="shared" si="369"/>
        <v>45759.243713053271</v>
      </c>
      <c r="E161">
        <f t="shared" si="422"/>
        <v>99554.338631985462</v>
      </c>
      <c r="F161">
        <f t="shared" si="422"/>
        <v>157712.62282989765</v>
      </c>
      <c r="G161">
        <f t="shared" si="422"/>
        <v>220587.98397466913</v>
      </c>
      <c r="H161">
        <f t="shared" si="423"/>
        <v>288966.8673228703</v>
      </c>
      <c r="I161">
        <f t="shared" si="424"/>
        <v>363339.78171227477</v>
      </c>
      <c r="J161">
        <f t="shared" si="424"/>
        <v>443946.44179619569</v>
      </c>
      <c r="K161">
        <f t="shared" si="425"/>
        <v>531855.25867089874</v>
      </c>
      <c r="L161">
        <f t="shared" si="375"/>
        <v>628099.90016999596</v>
      </c>
      <c r="M161">
        <f t="shared" si="376"/>
        <v>732672.92686400609</v>
      </c>
      <c r="N161">
        <f t="shared" si="377"/>
        <v>846295.02303076966</v>
      </c>
      <c r="O161">
        <f t="shared" si="378"/>
        <v>969749.2362774139</v>
      </c>
      <c r="P161">
        <f t="shared" si="379"/>
        <v>1106119.7627825481</v>
      </c>
      <c r="Q161">
        <f t="shared" si="380"/>
        <v>1255093.6682448618</v>
      </c>
      <c r="R161">
        <f t="shared" si="381"/>
        <v>1417358.5600264505</v>
      </c>
      <c r="S161">
        <f t="shared" si="382"/>
        <v>1594100.2183939382</v>
      </c>
      <c r="T161">
        <f t="shared" si="383"/>
        <v>1786610.2152239124</v>
      </c>
      <c r="U161">
        <f t="shared" si="384"/>
        <v>1987315.5885983484</v>
      </c>
      <c r="V161">
        <f t="shared" si="385"/>
        <v>2204039.7086108979</v>
      </c>
      <c r="W161">
        <f t="shared" si="386"/>
        <v>2438929.084901459</v>
      </c>
      <c r="X161">
        <f t="shared" si="387"/>
        <v>2693506.2823586408</v>
      </c>
      <c r="Y161">
        <f t="shared" si="388"/>
        <v>2969421.4833295969</v>
      </c>
      <c r="Z161">
        <f t="shared" si="389"/>
        <v>3268463.1841859664</v>
      </c>
      <c r="AA161">
        <f t="shared" si="390"/>
        <v>3592569.788448351</v>
      </c>
      <c r="AB161">
        <f t="shared" si="391"/>
        <v>3943842.1716165696</v>
      </c>
      <c r="AC161">
        <f t="shared" si="392"/>
        <v>4324557.2991515389</v>
      </c>
      <c r="AD161">
        <f t="shared" si="393"/>
        <v>4737182.9858812485</v>
      </c>
      <c r="AE161">
        <f t="shared" si="394"/>
        <v>5184393.8925020397</v>
      </c>
      <c r="AI161">
        <f t="shared" si="371"/>
        <v>46163.777895071078</v>
      </c>
      <c r="AJ161">
        <f t="shared" si="395"/>
        <v>101347.78299249076</v>
      </c>
      <c r="AK161">
        <f t="shared" si="396"/>
        <v>162054.42324917004</v>
      </c>
      <c r="AL161">
        <f t="shared" si="397"/>
        <v>228836.38597094049</v>
      </c>
      <c r="AM161">
        <f t="shared" si="398"/>
        <v>302301.66960572783</v>
      </c>
      <c r="AN161">
        <f t="shared" si="399"/>
        <v>383119.11910216679</v>
      </c>
      <c r="AO161">
        <f t="shared" si="400"/>
        <v>472024.51522884384</v>
      </c>
      <c r="AP161">
        <f t="shared" si="401"/>
        <v>569827.27329273988</v>
      </c>
      <c r="AQ161">
        <f t="shared" si="402"/>
        <v>677417.81224355579</v>
      </c>
      <c r="AR161">
        <f t="shared" si="403"/>
        <v>795775.66125395393</v>
      </c>
      <c r="AS161">
        <f t="shared" si="404"/>
        <v>925978.37757989496</v>
      </c>
      <c r="AT161">
        <f t="shared" si="405"/>
        <v>1069211.3568913394</v>
      </c>
      <c r="AU161">
        <f t="shared" si="406"/>
        <v>1226778.6253888337</v>
      </c>
      <c r="AV161">
        <f t="shared" si="407"/>
        <v>1400114.7119599087</v>
      </c>
      <c r="AW161">
        <f t="shared" si="408"/>
        <v>1590797.7084621489</v>
      </c>
      <c r="AX161">
        <f t="shared" si="409"/>
        <v>1800563.6370367748</v>
      </c>
      <c r="AY161">
        <f t="shared" si="410"/>
        <v>2031322.2552560875</v>
      </c>
      <c r="AZ161">
        <f t="shared" si="411"/>
        <v>2285174.4429984968</v>
      </c>
      <c r="BA161">
        <f t="shared" si="412"/>
        <v>2564431.3293452617</v>
      </c>
      <c r="BB161">
        <f t="shared" si="413"/>
        <v>2871635.3336346522</v>
      </c>
      <c r="BC161">
        <f t="shared" si="414"/>
        <v>3209583.3122361433</v>
      </c>
      <c r="BD161">
        <f t="shared" si="415"/>
        <v>3581352.0217782483</v>
      </c>
      <c r="BE161">
        <f t="shared" si="416"/>
        <v>3990326.1306530992</v>
      </c>
      <c r="BF161">
        <f t="shared" si="417"/>
        <v>4440229.0338210035</v>
      </c>
      <c r="BG161">
        <f t="shared" si="418"/>
        <v>4935156.7514600893</v>
      </c>
      <c r="BH161">
        <f t="shared" si="419"/>
        <v>5479615.2200821908</v>
      </c>
      <c r="BI161">
        <f t="shared" si="420"/>
        <v>6078561.3156219264</v>
      </c>
      <c r="BJ161">
        <f t="shared" si="421"/>
        <v>6737447.9819826744</v>
      </c>
    </row>
    <row r="162" spans="4:62" x14ac:dyDescent="0.3">
      <c r="D162">
        <f t="shared" si="369"/>
        <v>50083.673982062384</v>
      </c>
      <c r="E162">
        <f t="shared" si="422"/>
        <v>104229.51291986601</v>
      </c>
      <c r="F162">
        <f t="shared" si="422"/>
        <v>162766.98913074861</v>
      </c>
      <c r="G162">
        <f t="shared" si="422"/>
        <v>226052.29763018398</v>
      </c>
      <c r="H162">
        <f t="shared" si="423"/>
        <v>294938.53433995327</v>
      </c>
      <c r="I162">
        <f t="shared" si="424"/>
        <v>369811.97844319843</v>
      </c>
      <c r="J162">
        <f t="shared" si="424"/>
        <v>450961.12134948414</v>
      </c>
      <c r="K162">
        <f t="shared" si="425"/>
        <v>539574.09416607476</v>
      </c>
      <c r="L162">
        <f t="shared" si="375"/>
        <v>636486.67347717576</v>
      </c>
      <c r="M162">
        <f t="shared" si="376"/>
        <v>741785.43697644246</v>
      </c>
      <c r="N162">
        <f t="shared" si="377"/>
        <v>856196.07049060334</v>
      </c>
      <c r="O162">
        <f t="shared" si="378"/>
        <v>980507.05597717932</v>
      </c>
      <c r="P162">
        <f t="shared" si="379"/>
        <v>1118053.788727155</v>
      </c>
      <c r="Q162">
        <f t="shared" si="380"/>
        <v>1268092.410691808</v>
      </c>
      <c r="R162">
        <f t="shared" si="381"/>
        <v>1431517.0096549599</v>
      </c>
      <c r="S162">
        <f t="shared" si="382"/>
        <v>1609521.8406547997</v>
      </c>
      <c r="T162">
        <f t="shared" si="383"/>
        <v>1803407.7064321178</v>
      </c>
      <c r="U162">
        <f t="shared" si="384"/>
        <v>2004717.1425096155</v>
      </c>
      <c r="V162">
        <f t="shared" si="385"/>
        <v>2222899.8158498495</v>
      </c>
      <c r="W162" s="3">
        <f t="shared" si="386"/>
        <v>2459369.9976428458</v>
      </c>
      <c r="X162">
        <f t="shared" si="387"/>
        <v>2715660.4996389146</v>
      </c>
      <c r="Y162">
        <f t="shared" si="388"/>
        <v>2993432.6099124053</v>
      </c>
      <c r="Z162">
        <f t="shared" si="389"/>
        <v>3294486.861415538</v>
      </c>
      <c r="AA162">
        <f t="shared" si="390"/>
        <v>3620774.7031246084</v>
      </c>
      <c r="AB162" s="3">
        <f t="shared" si="391"/>
        <v>3974411.1494315495</v>
      </c>
      <c r="AC162">
        <f t="shared" si="392"/>
        <v>4357688.4897748297</v>
      </c>
      <c r="AD162">
        <f t="shared" si="393"/>
        <v>4773091.14737623</v>
      </c>
      <c r="AE162">
        <f t="shared" si="394"/>
        <v>5223311.7833985789</v>
      </c>
      <c r="AI162">
        <f t="shared" si="371"/>
        <v>50564.08484267375</v>
      </c>
      <c r="AJ162">
        <f t="shared" si="395"/>
        <v>106188.45830077084</v>
      </c>
      <c r="AK162">
        <f t="shared" si="396"/>
        <v>167379.53754669844</v>
      </c>
      <c r="AL162">
        <f t="shared" si="397"/>
        <v>234694.42033098862</v>
      </c>
      <c r="AM162">
        <f t="shared" si="398"/>
        <v>308745.95692918159</v>
      </c>
      <c r="AN162">
        <f t="shared" si="399"/>
        <v>390208.32967260212</v>
      </c>
      <c r="AO162">
        <f t="shared" si="400"/>
        <v>479823.19086037006</v>
      </c>
      <c r="AP162">
        <f t="shared" si="401"/>
        <v>578406.41493361595</v>
      </c>
      <c r="AQ162">
        <f t="shared" si="402"/>
        <v>686855.52638525947</v>
      </c>
      <c r="AR162">
        <f t="shared" si="403"/>
        <v>806157.87103076058</v>
      </c>
      <c r="AS162">
        <f t="shared" si="404"/>
        <v>937399.60503298265</v>
      </c>
      <c r="AT162">
        <f t="shared" si="405"/>
        <v>1081775.5835193323</v>
      </c>
      <c r="AU162">
        <f t="shared" si="406"/>
        <v>1240600.2388194366</v>
      </c>
      <c r="AV162">
        <f t="shared" si="407"/>
        <v>1415319.547361349</v>
      </c>
      <c r="AW162">
        <f t="shared" si="408"/>
        <v>1607524.1941756769</v>
      </c>
      <c r="AX162">
        <f t="shared" si="409"/>
        <v>1818964.0548603283</v>
      </c>
      <c r="AY162">
        <f t="shared" si="410"/>
        <v>2051564.1268530313</v>
      </c>
      <c r="AZ162">
        <f t="shared" si="411"/>
        <v>2307442.0550536253</v>
      </c>
      <c r="BA162">
        <f t="shared" si="412"/>
        <v>2588927.4113534372</v>
      </c>
      <c r="BB162" s="3">
        <f t="shared" si="413"/>
        <v>2898582.9035970569</v>
      </c>
      <c r="BC162">
        <f t="shared" si="414"/>
        <v>3239227.7070677881</v>
      </c>
      <c r="BD162">
        <f t="shared" si="415"/>
        <v>3613963.130912039</v>
      </c>
      <c r="BE162">
        <f t="shared" si="416"/>
        <v>4026200.8531757114</v>
      </c>
      <c r="BF162">
        <f t="shared" si="417"/>
        <v>4479693.9815108953</v>
      </c>
      <c r="BG162" s="3">
        <f t="shared" si="418"/>
        <v>4978571.2223367412</v>
      </c>
      <c r="BH162">
        <f t="shared" si="419"/>
        <v>5527374.4695384474</v>
      </c>
      <c r="BI162">
        <f t="shared" si="420"/>
        <v>6131100.1549205901</v>
      </c>
      <c r="BJ162">
        <f t="shared" si="421"/>
        <v>6795244.7368788971</v>
      </c>
    </row>
    <row r="168" spans="4:62" x14ac:dyDescent="0.3">
      <c r="T168" s="4"/>
    </row>
    <row r="169" spans="4:62" x14ac:dyDescent="0.3">
      <c r="T169" s="4"/>
    </row>
    <row r="170" spans="4:62" x14ac:dyDescent="0.3">
      <c r="T170" s="4"/>
    </row>
    <row r="171" spans="4:62" x14ac:dyDescent="0.3">
      <c r="T171" s="4"/>
    </row>
    <row r="172" spans="4:62" x14ac:dyDescent="0.3">
      <c r="T172" s="4"/>
    </row>
    <row r="173" spans="4:62" x14ac:dyDescent="0.3">
      <c r="T173" s="4"/>
    </row>
    <row r="174" spans="4:62" x14ac:dyDescent="0.3">
      <c r="T174" s="4"/>
    </row>
    <row r="175" spans="4:62" x14ac:dyDescent="0.3">
      <c r="T175" s="4"/>
    </row>
    <row r="193" ht="5.4" customHeight="1" x14ac:dyDescent="0.3"/>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F6082-B441-4284-9AB8-5A53708036AB}">
  <dimension ref="A1:BJ180"/>
  <sheetViews>
    <sheetView topLeftCell="AB1" workbookViewId="0">
      <selection activeCell="AH1" sqref="AH1:AJ1048576"/>
    </sheetView>
  </sheetViews>
  <sheetFormatPr defaultRowHeight="14.4" x14ac:dyDescent="0.3"/>
  <cols>
    <col min="1" max="1" width="22.6640625" bestFit="1" customWidth="1"/>
    <col min="28" max="28" width="12.44140625" bestFit="1" customWidth="1"/>
    <col min="59" max="59" width="12.44140625" bestFit="1" customWidth="1"/>
  </cols>
  <sheetData>
    <row r="1" spans="1:62" x14ac:dyDescent="0.3">
      <c r="A1" t="s">
        <v>0</v>
      </c>
    </row>
    <row r="3" spans="1:62" x14ac:dyDescent="0.3">
      <c r="A3" t="s">
        <v>1</v>
      </c>
      <c r="B3" s="1">
        <v>1.7500000000000002E-2</v>
      </c>
    </row>
    <row r="4" spans="1:62" x14ac:dyDescent="0.3">
      <c r="A4" t="s">
        <v>5</v>
      </c>
      <c r="B4" s="1">
        <v>1.4999999999999999E-2</v>
      </c>
      <c r="D4" t="s">
        <v>10</v>
      </c>
    </row>
    <row r="5" spans="1:62" x14ac:dyDescent="0.3">
      <c r="A5" t="s">
        <v>6</v>
      </c>
      <c r="B5" s="1">
        <v>1.2500000000000001E-2</v>
      </c>
      <c r="D5" t="s">
        <v>11</v>
      </c>
    </row>
    <row r="6" spans="1:62" x14ac:dyDescent="0.3">
      <c r="A6" t="s">
        <v>2</v>
      </c>
      <c r="B6" s="1">
        <v>0.01</v>
      </c>
      <c r="D6" t="s">
        <v>12</v>
      </c>
    </row>
    <row r="7" spans="1:62" x14ac:dyDescent="0.3">
      <c r="A7" t="s">
        <v>3</v>
      </c>
      <c r="B7" s="1">
        <v>0.01</v>
      </c>
      <c r="D7" t="s">
        <v>13</v>
      </c>
    </row>
    <row r="8" spans="1:62" x14ac:dyDescent="0.3">
      <c r="A8" t="s">
        <v>4</v>
      </c>
      <c r="B8" s="1">
        <v>7.4999999999999997E-3</v>
      </c>
    </row>
    <row r="10" spans="1:62" x14ac:dyDescent="0.3">
      <c r="D10" t="s">
        <v>7</v>
      </c>
      <c r="AI10" t="s">
        <v>7</v>
      </c>
      <c r="AJ10" t="s">
        <v>66</v>
      </c>
    </row>
    <row r="11" spans="1:62" x14ac:dyDescent="0.3">
      <c r="D11" t="s">
        <v>48</v>
      </c>
      <c r="AI11" t="s">
        <v>48</v>
      </c>
    </row>
    <row r="12" spans="1:62" x14ac:dyDescent="0.3">
      <c r="D12" t="s">
        <v>70</v>
      </c>
      <c r="AI12" t="s">
        <v>70</v>
      </c>
    </row>
    <row r="13" spans="1:62" x14ac:dyDescent="0.3">
      <c r="D13" t="s">
        <v>15</v>
      </c>
      <c r="E13" t="s">
        <v>16</v>
      </c>
      <c r="F13" t="s">
        <v>17</v>
      </c>
      <c r="G13" t="s">
        <v>18</v>
      </c>
      <c r="H13" t="s">
        <v>19</v>
      </c>
      <c r="I13" t="s">
        <v>20</v>
      </c>
      <c r="J13" t="s">
        <v>21</v>
      </c>
      <c r="K13" t="s">
        <v>22</v>
      </c>
      <c r="L13" t="s">
        <v>23</v>
      </c>
      <c r="M13" t="s">
        <v>24</v>
      </c>
      <c r="N13" t="s">
        <v>25</v>
      </c>
      <c r="O13" t="s">
        <v>26</v>
      </c>
      <c r="P13" t="s">
        <v>27</v>
      </c>
      <c r="Q13" t="s">
        <v>28</v>
      </c>
      <c r="R13" t="s">
        <v>29</v>
      </c>
      <c r="S13" t="s">
        <v>30</v>
      </c>
      <c r="T13" t="s">
        <v>31</v>
      </c>
      <c r="U13" t="s">
        <v>32</v>
      </c>
      <c r="V13" t="s">
        <v>33</v>
      </c>
      <c r="W13" t="s">
        <v>34</v>
      </c>
      <c r="X13" t="s">
        <v>35</v>
      </c>
      <c r="Y13" t="s">
        <v>36</v>
      </c>
      <c r="Z13" t="s">
        <v>37</v>
      </c>
      <c r="AA13" t="s">
        <v>38</v>
      </c>
      <c r="AB13" t="s">
        <v>39</v>
      </c>
      <c r="AC13" t="s">
        <v>67</v>
      </c>
      <c r="AD13" t="s">
        <v>68</v>
      </c>
      <c r="AE13" t="s">
        <v>69</v>
      </c>
      <c r="AI13" t="s">
        <v>15</v>
      </c>
      <c r="AJ13" t="s">
        <v>16</v>
      </c>
      <c r="AK13" t="s">
        <v>17</v>
      </c>
      <c r="AL13" t="s">
        <v>18</v>
      </c>
      <c r="AM13" t="s">
        <v>19</v>
      </c>
      <c r="AN13" t="s">
        <v>20</v>
      </c>
      <c r="AO13" t="s">
        <v>21</v>
      </c>
      <c r="AP13" t="s">
        <v>22</v>
      </c>
      <c r="AQ13" t="s">
        <v>23</v>
      </c>
      <c r="AR13" t="s">
        <v>24</v>
      </c>
      <c r="AS13" t="s">
        <v>25</v>
      </c>
      <c r="AT13" t="s">
        <v>26</v>
      </c>
      <c r="AU13" t="s">
        <v>27</v>
      </c>
      <c r="AV13" t="s">
        <v>28</v>
      </c>
      <c r="AW13" t="s">
        <v>29</v>
      </c>
      <c r="AX13" t="s">
        <v>30</v>
      </c>
      <c r="AY13" t="s">
        <v>31</v>
      </c>
      <c r="AZ13" t="s">
        <v>32</v>
      </c>
      <c r="BA13" t="s">
        <v>33</v>
      </c>
      <c r="BB13" t="s">
        <v>34</v>
      </c>
      <c r="BC13" t="s">
        <v>35</v>
      </c>
      <c r="BD13" t="s">
        <v>36</v>
      </c>
      <c r="BE13" t="s">
        <v>37</v>
      </c>
      <c r="BF13" t="s">
        <v>38</v>
      </c>
      <c r="BG13" t="s">
        <v>39</v>
      </c>
      <c r="BH13" t="s">
        <v>67</v>
      </c>
      <c r="BI13" t="s">
        <v>68</v>
      </c>
      <c r="BJ13" t="s">
        <v>69</v>
      </c>
    </row>
    <row r="14" spans="1:62" x14ac:dyDescent="0.3">
      <c r="D14">
        <v>0</v>
      </c>
      <c r="AI14">
        <v>0</v>
      </c>
    </row>
    <row r="15" spans="1:62" x14ac:dyDescent="0.3">
      <c r="C15" t="s">
        <v>40</v>
      </c>
      <c r="D15">
        <f t="shared" ref="D15:D26" si="0">(D14+5000)-(0.00146*(D14+5000))</f>
        <v>4992.7</v>
      </c>
      <c r="E15">
        <f>(D26+5000)-(0.00146*(D26+5000))</f>
        <v>64339.563981142499</v>
      </c>
      <c r="F15">
        <f>(E26+5000)-(0.00146*(E26+5000))</f>
        <v>122654.97965465825</v>
      </c>
      <c r="G15">
        <f>(F26+5000)-(0.00146*(F26+5000))</f>
        <v>179956.87358886001</v>
      </c>
      <c r="H15">
        <f>(G26+5000)-(0.00146*(G26+5000))</f>
        <v>236262.86078836018</v>
      </c>
      <c r="I15">
        <f>(H26+5000)-(0.00125*(H26+5000))</f>
        <v>292156.93643291201</v>
      </c>
      <c r="J15">
        <f>(I26+5000)-(0.00125*(I26+5000))</f>
        <v>347319.31329493219</v>
      </c>
      <c r="K15">
        <f>(J26+5000)-(0.00125*(J26+5000))</f>
        <v>401659.91948808252</v>
      </c>
      <c r="L15">
        <f>(K26+5000)-(0.00125*(K26+5000))</f>
        <v>455190.9971794092</v>
      </c>
      <c r="M15">
        <f t="shared" ref="M15:V15" si="1">(L26+5000)-(0.00104*(L26+5000))</f>
        <v>508137.17372423253</v>
      </c>
      <c r="N15">
        <f t="shared" si="1"/>
        <v>561427.71269232756</v>
      </c>
      <c r="O15">
        <f t="shared" si="1"/>
        <v>614056.97675419343</v>
      </c>
      <c r="P15">
        <f t="shared" si="1"/>
        <v>666033.17157841765</v>
      </c>
      <c r="Q15">
        <f t="shared" si="1"/>
        <v>717364.4010105842</v>
      </c>
      <c r="R15">
        <f t="shared" si="1"/>
        <v>768058.66833678109</v>
      </c>
      <c r="S15">
        <f t="shared" si="1"/>
        <v>818123.87753142917</v>
      </c>
      <c r="T15">
        <f t="shared" si="1"/>
        <v>867567.83448962797</v>
      </c>
      <c r="U15">
        <f t="shared" si="1"/>
        <v>916398.24824420665</v>
      </c>
      <c r="V15">
        <f t="shared" si="1"/>
        <v>964622.73216767563</v>
      </c>
      <c r="W15">
        <f t="shared" ref="W15:AE15" si="2">(V26+5000)-(0.000833*(V26+5000))</f>
        <v>1013081.8718702687</v>
      </c>
      <c r="X15">
        <f t="shared" si="2"/>
        <v>1062677.4928727692</v>
      </c>
      <c r="Y15">
        <f t="shared" si="2"/>
        <v>1111779.6210673368</v>
      </c>
      <c r="Z15">
        <f t="shared" si="2"/>
        <v>1160393.1668703866</v>
      </c>
      <c r="AA15">
        <f t="shared" si="2"/>
        <v>1208522.9918380687</v>
      </c>
      <c r="AB15">
        <f t="shared" si="2"/>
        <v>1256173.9091524438</v>
      </c>
      <c r="AC15">
        <f t="shared" si="2"/>
        <v>1303350.6841028216</v>
      </c>
      <c r="AD15">
        <f t="shared" si="2"/>
        <v>1350058.0345623095</v>
      </c>
      <c r="AE15">
        <f t="shared" si="2"/>
        <v>1396300.6314596192</v>
      </c>
      <c r="AH15" t="s">
        <v>40</v>
      </c>
      <c r="AI15">
        <f t="shared" ref="AI15:AI26" si="3">(AI14+5000)-0</f>
        <v>5000</v>
      </c>
      <c r="AJ15">
        <f t="shared" ref="AJ15:BJ15" si="4">(AI26+5000)-0</f>
        <v>65000</v>
      </c>
      <c r="AK15">
        <f t="shared" si="4"/>
        <v>125000</v>
      </c>
      <c r="AL15">
        <f t="shared" si="4"/>
        <v>185000</v>
      </c>
      <c r="AM15">
        <f t="shared" si="4"/>
        <v>245000</v>
      </c>
      <c r="AN15">
        <f t="shared" si="4"/>
        <v>305000</v>
      </c>
      <c r="AO15">
        <f t="shared" si="4"/>
        <v>365000</v>
      </c>
      <c r="AP15">
        <f t="shared" si="4"/>
        <v>425000</v>
      </c>
      <c r="AQ15">
        <f t="shared" si="4"/>
        <v>485000</v>
      </c>
      <c r="AR15">
        <f t="shared" si="4"/>
        <v>545000</v>
      </c>
      <c r="AS15">
        <f t="shared" si="4"/>
        <v>605000</v>
      </c>
      <c r="AT15">
        <f t="shared" si="4"/>
        <v>665000</v>
      </c>
      <c r="AU15">
        <f t="shared" si="4"/>
        <v>725000</v>
      </c>
      <c r="AV15">
        <f t="shared" si="4"/>
        <v>785000</v>
      </c>
      <c r="AW15">
        <f t="shared" si="4"/>
        <v>845000</v>
      </c>
      <c r="AX15">
        <f t="shared" si="4"/>
        <v>905000</v>
      </c>
      <c r="AY15">
        <f t="shared" si="4"/>
        <v>965000</v>
      </c>
      <c r="AZ15">
        <f t="shared" si="4"/>
        <v>1025000</v>
      </c>
      <c r="BA15">
        <f t="shared" si="4"/>
        <v>1085000</v>
      </c>
      <c r="BB15">
        <f t="shared" si="4"/>
        <v>1145000</v>
      </c>
      <c r="BC15">
        <f t="shared" si="4"/>
        <v>1205000</v>
      </c>
      <c r="BD15">
        <f t="shared" si="4"/>
        <v>1265000</v>
      </c>
      <c r="BE15">
        <f t="shared" si="4"/>
        <v>1325000</v>
      </c>
      <c r="BF15">
        <f t="shared" si="4"/>
        <v>1385000</v>
      </c>
      <c r="BG15">
        <f t="shared" si="4"/>
        <v>1445000</v>
      </c>
      <c r="BH15">
        <f t="shared" si="4"/>
        <v>1505000</v>
      </c>
      <c r="BI15">
        <f t="shared" si="4"/>
        <v>1565000</v>
      </c>
      <c r="BJ15">
        <f t="shared" si="4"/>
        <v>1625000</v>
      </c>
    </row>
    <row r="16" spans="1:62" x14ac:dyDescent="0.3">
      <c r="A16">
        <f>0.0175/12</f>
        <v>1.4583333333333334E-3</v>
      </c>
      <c r="B16">
        <v>1.75</v>
      </c>
      <c r="C16" t="s">
        <v>41</v>
      </c>
      <c r="D16">
        <f t="shared" si="0"/>
        <v>9978.1106580000014</v>
      </c>
      <c r="E16">
        <f t="shared" ref="E16:H17" si="5">(E15+5000)-(0.00146*(E15+5000))</f>
        <v>69238.328217730043</v>
      </c>
      <c r="F16">
        <f t="shared" si="5"/>
        <v>127468.60338436245</v>
      </c>
      <c r="G16">
        <f t="shared" si="5"/>
        <v>184686.83655342026</v>
      </c>
      <c r="H16">
        <f t="shared" si="5"/>
        <v>240910.61701160917</v>
      </c>
      <c r="I16">
        <f t="shared" ref="I16:I25" si="6">(I15+5000)-(0.00125*(I15+5000))</f>
        <v>296785.49026237085</v>
      </c>
      <c r="J16">
        <f t="shared" ref="J16:J25" si="7">(J15+5000)-(0.00125*(J15+5000))</f>
        <v>351878.9141533135</v>
      </c>
      <c r="K16">
        <f t="shared" ref="K16:K25" si="8">(K15+5000)-(0.00125*(K15+5000))</f>
        <v>406151.59458872239</v>
      </c>
      <c r="L16">
        <f t="shared" ref="L16:L25" si="9">(L15+5000)-(0.00125*(L15+5000))</f>
        <v>459615.75843293493</v>
      </c>
      <c r="M16">
        <f t="shared" ref="M16:V23" si="10">(M15+5000)-(0.00104*(M15+5000))</f>
        <v>512603.51106355933</v>
      </c>
      <c r="N16">
        <f t="shared" si="10"/>
        <v>565838.62787112757</v>
      </c>
      <c r="O16">
        <f t="shared" si="10"/>
        <v>618413.15749836911</v>
      </c>
      <c r="P16">
        <f t="shared" si="10"/>
        <v>670335.29707997607</v>
      </c>
      <c r="Q16">
        <f t="shared" si="10"/>
        <v>721613.14203353319</v>
      </c>
      <c r="R16">
        <f t="shared" si="10"/>
        <v>772254.68732171087</v>
      </c>
      <c r="S16">
        <f t="shared" si="10"/>
        <v>822267.82869879645</v>
      </c>
      <c r="T16">
        <f t="shared" si="10"/>
        <v>871660.36394175875</v>
      </c>
      <c r="U16">
        <f t="shared" si="10"/>
        <v>920439.9940660327</v>
      </c>
      <c r="V16">
        <f t="shared" si="10"/>
        <v>968614.32452622126</v>
      </c>
      <c r="W16">
        <f t="shared" ref="W16:W26" si="11">(W15+5000)-(0.000833*(W15+5000))</f>
        <v>1017233.8096710008</v>
      </c>
      <c r="X16">
        <f t="shared" ref="X16:X26" si="12">(X15+5000)-(0.000833*(X15+5000))</f>
        <v>1066788.1175212061</v>
      </c>
      <c r="Y16">
        <f t="shared" ref="Y16:Y26" si="13">(Y15+5000)-(0.000833*(Y15+5000))</f>
        <v>1115849.3436429878</v>
      </c>
      <c r="Z16">
        <f t="shared" ref="Z16:Z26" si="14">(Z15+5000)-(0.000833*(Z15+5000))</f>
        <v>1164422.3943623835</v>
      </c>
      <c r="AA16">
        <f t="shared" ref="AA16:AA26" si="15">(AA15+5000)-(0.000833*(AA15+5000))</f>
        <v>1212512.1271858676</v>
      </c>
      <c r="AB16">
        <f t="shared" ref="AB16:AB26" si="16">(AB15+5000)-(0.000833*(AB15+5000))</f>
        <v>1260123.3512861198</v>
      </c>
      <c r="AC16">
        <f t="shared" ref="AC16:AC26" si="17">(AC15+5000)-(0.000833*(AC15+5000))</f>
        <v>1307260.827982964</v>
      </c>
      <c r="AD16">
        <f t="shared" ref="AD16:AD26" si="18">(AD15+5000)-(0.000833*(AD15+5000))</f>
        <v>1353929.2712195192</v>
      </c>
      <c r="AE16">
        <f t="shared" ref="AE16:AE26" si="19">(AE15+5000)-(0.000833*(AE15+5000))</f>
        <v>1400133.3480336133</v>
      </c>
      <c r="AH16" t="s">
        <v>41</v>
      </c>
      <c r="AI16">
        <f t="shared" si="3"/>
        <v>10000</v>
      </c>
      <c r="AJ16">
        <f t="shared" ref="AJ16:AJ26" si="20">(AJ15+5000)-0</f>
        <v>70000</v>
      </c>
      <c r="AK16">
        <f t="shared" ref="AK16:AK26" si="21">(AK15+5000)-0</f>
        <v>130000</v>
      </c>
      <c r="AL16">
        <f t="shared" ref="AL16:AL26" si="22">(AL15+5000)-0</f>
        <v>190000</v>
      </c>
      <c r="AM16">
        <f t="shared" ref="AM16:AM26" si="23">(AM15+5000)-0</f>
        <v>250000</v>
      </c>
      <c r="AN16">
        <f t="shared" ref="AN16:AN26" si="24">(AN15+5000)-0</f>
        <v>310000</v>
      </c>
      <c r="AO16">
        <f t="shared" ref="AO16:AO26" si="25">(AO15+5000)-0</f>
        <v>370000</v>
      </c>
      <c r="AP16">
        <f t="shared" ref="AP16:AP26" si="26">(AP15+5000)-0</f>
        <v>430000</v>
      </c>
      <c r="AQ16">
        <f t="shared" ref="AQ16:AQ26" si="27">(AQ15+5000)-0</f>
        <v>490000</v>
      </c>
      <c r="AR16">
        <f t="shared" ref="AR16:AR26" si="28">(AR15+5000)-0</f>
        <v>550000</v>
      </c>
      <c r="AS16">
        <f t="shared" ref="AS16:AS26" si="29">(AS15+5000)-0</f>
        <v>610000</v>
      </c>
      <c r="AT16">
        <f t="shared" ref="AT16:AT26" si="30">(AT15+5000)-0</f>
        <v>670000</v>
      </c>
      <c r="AU16">
        <f t="shared" ref="AU16:AU26" si="31">(AU15+5000)-0</f>
        <v>730000</v>
      </c>
      <c r="AV16">
        <f t="shared" ref="AV16:AV26" si="32">(AV15+5000)-0</f>
        <v>790000</v>
      </c>
      <c r="AW16">
        <f t="shared" ref="AW16:AW26" si="33">(AW15+5000)-0</f>
        <v>850000</v>
      </c>
      <c r="AX16">
        <f t="shared" ref="AX16:AX26" si="34">(AX15+5000)-0</f>
        <v>910000</v>
      </c>
      <c r="AY16">
        <f t="shared" ref="AY16:AY26" si="35">(AY15+5000)-0</f>
        <v>970000</v>
      </c>
      <c r="AZ16">
        <f t="shared" ref="AZ16:AZ26" si="36">(AZ15+5000)-0</f>
        <v>1030000</v>
      </c>
      <c r="BA16">
        <f t="shared" ref="BA16:BA26" si="37">(BA15+5000)-0</f>
        <v>1090000</v>
      </c>
      <c r="BB16">
        <f t="shared" ref="BB16:BB26" si="38">(BB15+5000)-0</f>
        <v>1150000</v>
      </c>
      <c r="BC16">
        <f t="shared" ref="BC16:BC26" si="39">(BC15+5000)-0</f>
        <v>1210000</v>
      </c>
      <c r="BD16">
        <f t="shared" ref="BD16:BD26" si="40">(BD15+5000)-0</f>
        <v>1270000</v>
      </c>
      <c r="BE16">
        <f t="shared" ref="BE16:BE26" si="41">(BE15+5000)-0</f>
        <v>1330000</v>
      </c>
      <c r="BF16">
        <f t="shared" ref="BF16:BF26" si="42">(BF15+5000)-0</f>
        <v>1390000</v>
      </c>
      <c r="BG16">
        <f t="shared" ref="BG16:BG26" si="43">(BG15+5000)-0</f>
        <v>1450000</v>
      </c>
      <c r="BH16">
        <f t="shared" ref="BH16:BH26" si="44">(BH15+5000)-0</f>
        <v>1510000</v>
      </c>
      <c r="BI16">
        <f t="shared" ref="BI16:BI26" si="45">(BI15+5000)-0</f>
        <v>1570000</v>
      </c>
      <c r="BJ16">
        <f t="shared" ref="BJ16:BJ26" si="46">(BJ15+5000)-0</f>
        <v>1630000</v>
      </c>
    </row>
    <row r="17" spans="1:62" x14ac:dyDescent="0.3">
      <c r="A17">
        <f>0.015/12</f>
        <v>1.25E-3</v>
      </c>
      <c r="B17">
        <v>1.5</v>
      </c>
      <c r="C17" t="s">
        <v>42</v>
      </c>
      <c r="D17">
        <f t="shared" si="0"/>
        <v>14956.242616439322</v>
      </c>
      <c r="E17">
        <f t="shared" si="5"/>
        <v>74129.940258532151</v>
      </c>
      <c r="F17">
        <f t="shared" si="5"/>
        <v>132275.19922342128</v>
      </c>
      <c r="G17">
        <f t="shared" si="5"/>
        <v>189409.89377205228</v>
      </c>
      <c r="H17">
        <f t="shared" si="5"/>
        <v>245551.58751077222</v>
      </c>
      <c r="I17">
        <f t="shared" si="6"/>
        <v>301408.25839954289</v>
      </c>
      <c r="J17">
        <f t="shared" si="7"/>
        <v>356432.81551062188</v>
      </c>
      <c r="K17">
        <f t="shared" si="8"/>
        <v>410637.65509548649</v>
      </c>
      <c r="L17">
        <f t="shared" si="9"/>
        <v>464034.98873489379</v>
      </c>
      <c r="M17">
        <f t="shared" si="10"/>
        <v>517065.20341205323</v>
      </c>
      <c r="N17">
        <f t="shared" si="10"/>
        <v>570244.9556981416</v>
      </c>
      <c r="O17">
        <f t="shared" si="10"/>
        <v>622764.80781457084</v>
      </c>
      <c r="P17">
        <f t="shared" si="10"/>
        <v>674632.94837101293</v>
      </c>
      <c r="Q17">
        <f t="shared" si="10"/>
        <v>725857.4643658183</v>
      </c>
      <c r="R17">
        <f t="shared" si="10"/>
        <v>776446.34244689625</v>
      </c>
      <c r="S17">
        <f t="shared" si="10"/>
        <v>826407.47015694971</v>
      </c>
      <c r="T17">
        <f t="shared" si="10"/>
        <v>875748.63716325932</v>
      </c>
      <c r="U17">
        <f t="shared" si="10"/>
        <v>924477.53647220402</v>
      </c>
      <c r="V17">
        <f t="shared" si="10"/>
        <v>972601.765628714</v>
      </c>
      <c r="W17">
        <f t="shared" si="11"/>
        <v>1021382.2889075449</v>
      </c>
      <c r="X17">
        <f t="shared" si="12"/>
        <v>1070895.3180193109</v>
      </c>
      <c r="Y17">
        <f t="shared" si="13"/>
        <v>1119915.6761397331</v>
      </c>
      <c r="Z17">
        <f t="shared" si="14"/>
        <v>1168448.2655078797</v>
      </c>
      <c r="AA17">
        <f t="shared" si="15"/>
        <v>1216497.9395839218</v>
      </c>
      <c r="AB17">
        <f t="shared" si="16"/>
        <v>1264069.5035344984</v>
      </c>
      <c r="AC17">
        <f t="shared" si="17"/>
        <v>1311167.7147132542</v>
      </c>
      <c r="AD17">
        <f t="shared" si="18"/>
        <v>1357797.2831365934</v>
      </c>
      <c r="AE17">
        <f t="shared" si="19"/>
        <v>1403962.8719547014</v>
      </c>
      <c r="AH17" t="s">
        <v>42</v>
      </c>
      <c r="AI17">
        <f t="shared" si="3"/>
        <v>15000</v>
      </c>
      <c r="AJ17">
        <f t="shared" si="20"/>
        <v>75000</v>
      </c>
      <c r="AK17">
        <f t="shared" si="21"/>
        <v>135000</v>
      </c>
      <c r="AL17">
        <f t="shared" si="22"/>
        <v>195000</v>
      </c>
      <c r="AM17">
        <f t="shared" si="23"/>
        <v>255000</v>
      </c>
      <c r="AN17">
        <f t="shared" si="24"/>
        <v>315000</v>
      </c>
      <c r="AO17">
        <f t="shared" si="25"/>
        <v>375000</v>
      </c>
      <c r="AP17">
        <f t="shared" si="26"/>
        <v>435000</v>
      </c>
      <c r="AQ17">
        <f t="shared" si="27"/>
        <v>495000</v>
      </c>
      <c r="AR17">
        <f t="shared" si="28"/>
        <v>555000</v>
      </c>
      <c r="AS17">
        <f t="shared" si="29"/>
        <v>615000</v>
      </c>
      <c r="AT17">
        <f t="shared" si="30"/>
        <v>675000</v>
      </c>
      <c r="AU17">
        <f t="shared" si="31"/>
        <v>735000</v>
      </c>
      <c r="AV17">
        <f t="shared" si="32"/>
        <v>795000</v>
      </c>
      <c r="AW17">
        <f t="shared" si="33"/>
        <v>855000</v>
      </c>
      <c r="AX17">
        <f t="shared" si="34"/>
        <v>915000</v>
      </c>
      <c r="AY17">
        <f t="shared" si="35"/>
        <v>975000</v>
      </c>
      <c r="AZ17">
        <f t="shared" si="36"/>
        <v>1035000</v>
      </c>
      <c r="BA17">
        <f t="shared" si="37"/>
        <v>1095000</v>
      </c>
      <c r="BB17">
        <f t="shared" si="38"/>
        <v>1155000</v>
      </c>
      <c r="BC17">
        <f t="shared" si="39"/>
        <v>1215000</v>
      </c>
      <c r="BD17">
        <f t="shared" si="40"/>
        <v>1275000</v>
      </c>
      <c r="BE17">
        <f t="shared" si="41"/>
        <v>1335000</v>
      </c>
      <c r="BF17">
        <f t="shared" si="42"/>
        <v>1395000</v>
      </c>
      <c r="BG17">
        <f t="shared" si="43"/>
        <v>1455000</v>
      </c>
      <c r="BH17">
        <f t="shared" si="44"/>
        <v>1515000</v>
      </c>
      <c r="BI17">
        <f t="shared" si="45"/>
        <v>1575000</v>
      </c>
      <c r="BJ17">
        <f t="shared" si="46"/>
        <v>1635000</v>
      </c>
    </row>
    <row r="18" spans="1:62" x14ac:dyDescent="0.3">
      <c r="A18">
        <f>0.0125/12</f>
        <v>1.0416666666666667E-3</v>
      </c>
      <c r="B18">
        <v>1.25</v>
      </c>
      <c r="C18" t="s">
        <v>43</v>
      </c>
      <c r="D18">
        <f t="shared" si="0"/>
        <v>19927.106502219322</v>
      </c>
      <c r="E18">
        <f t="shared" ref="E18:E26" si="47">(E17+5000)-(0.00146*(E17+5000))</f>
        <v>79014.410545754698</v>
      </c>
      <c r="F18">
        <f t="shared" ref="F18:F26" si="48">(F17+5000)-(0.00146*(F17+5000))</f>
        <v>137074.7774325551</v>
      </c>
      <c r="G18">
        <f t="shared" ref="G18:G26" si="49">(G17+5000)-(0.00146*(G17+5000))</f>
        <v>194126.05532714509</v>
      </c>
      <c r="H18">
        <f t="shared" ref="H18:H26" si="50">(H17+5000)-(0.00125*(H17+5000))</f>
        <v>250238.39802638377</v>
      </c>
      <c r="I18">
        <f t="shared" si="6"/>
        <v>306025.24807654344</v>
      </c>
      <c r="J18">
        <f t="shared" si="7"/>
        <v>360981.02449123358</v>
      </c>
      <c r="K18">
        <f t="shared" si="8"/>
        <v>415118.10802661715</v>
      </c>
      <c r="L18">
        <f t="shared" si="9"/>
        <v>468448.6949989752</v>
      </c>
      <c r="M18">
        <f t="shared" si="10"/>
        <v>521522.25560050469</v>
      </c>
      <c r="N18">
        <f t="shared" si="10"/>
        <v>574646.70094421552</v>
      </c>
      <c r="O18">
        <f t="shared" si="10"/>
        <v>627111.9324144437</v>
      </c>
      <c r="P18">
        <f t="shared" si="10"/>
        <v>678926.13010470709</v>
      </c>
      <c r="Q18">
        <f t="shared" si="10"/>
        <v>730097.37260287791</v>
      </c>
      <c r="R18">
        <f t="shared" si="10"/>
        <v>780633.63825075142</v>
      </c>
      <c r="S18">
        <f t="shared" si="10"/>
        <v>830542.80638798652</v>
      </c>
      <c r="T18">
        <f t="shared" si="10"/>
        <v>879832.65858060948</v>
      </c>
      <c r="U18">
        <f t="shared" si="10"/>
        <v>928510.8798342729</v>
      </c>
      <c r="V18">
        <f t="shared" si="10"/>
        <v>976585.05979246018</v>
      </c>
      <c r="W18">
        <f t="shared" si="11"/>
        <v>1025527.3124608849</v>
      </c>
      <c r="X18">
        <f t="shared" si="12"/>
        <v>1074999.0972194008</v>
      </c>
      <c r="Y18">
        <f t="shared" si="13"/>
        <v>1123978.6213815087</v>
      </c>
      <c r="Z18">
        <f t="shared" si="14"/>
        <v>1172470.7831027117</v>
      </c>
      <c r="AA18">
        <f t="shared" si="15"/>
        <v>1220480.4318002483</v>
      </c>
      <c r="AB18">
        <f t="shared" si="16"/>
        <v>1268012.3686380542</v>
      </c>
      <c r="AC18">
        <f t="shared" si="17"/>
        <v>1315071.3470068981</v>
      </c>
      <c r="AD18">
        <f t="shared" si="18"/>
        <v>1361662.0729997407</v>
      </c>
      <c r="AE18">
        <f t="shared" si="19"/>
        <v>1407789.205882363</v>
      </c>
      <c r="AH18" t="s">
        <v>43</v>
      </c>
      <c r="AI18">
        <f t="shared" si="3"/>
        <v>20000</v>
      </c>
      <c r="AJ18">
        <f t="shared" si="20"/>
        <v>80000</v>
      </c>
      <c r="AK18">
        <f t="shared" si="21"/>
        <v>140000</v>
      </c>
      <c r="AL18">
        <f t="shared" si="22"/>
        <v>200000</v>
      </c>
      <c r="AM18">
        <f t="shared" si="23"/>
        <v>260000</v>
      </c>
      <c r="AN18">
        <f t="shared" si="24"/>
        <v>320000</v>
      </c>
      <c r="AO18">
        <f t="shared" si="25"/>
        <v>380000</v>
      </c>
      <c r="AP18">
        <f t="shared" si="26"/>
        <v>440000</v>
      </c>
      <c r="AQ18">
        <f t="shared" si="27"/>
        <v>500000</v>
      </c>
      <c r="AR18">
        <f t="shared" si="28"/>
        <v>560000</v>
      </c>
      <c r="AS18">
        <f t="shared" si="29"/>
        <v>620000</v>
      </c>
      <c r="AT18">
        <f t="shared" si="30"/>
        <v>680000</v>
      </c>
      <c r="AU18">
        <f t="shared" si="31"/>
        <v>740000</v>
      </c>
      <c r="AV18">
        <f t="shared" si="32"/>
        <v>800000</v>
      </c>
      <c r="AW18">
        <f t="shared" si="33"/>
        <v>860000</v>
      </c>
      <c r="AX18">
        <f t="shared" si="34"/>
        <v>920000</v>
      </c>
      <c r="AY18">
        <f t="shared" si="35"/>
        <v>980000</v>
      </c>
      <c r="AZ18">
        <f t="shared" si="36"/>
        <v>1040000</v>
      </c>
      <c r="BA18">
        <f t="shared" si="37"/>
        <v>1100000</v>
      </c>
      <c r="BB18">
        <f t="shared" si="38"/>
        <v>1160000</v>
      </c>
      <c r="BC18">
        <f t="shared" si="39"/>
        <v>1220000</v>
      </c>
      <c r="BD18">
        <f t="shared" si="40"/>
        <v>1280000</v>
      </c>
      <c r="BE18">
        <f t="shared" si="41"/>
        <v>1340000</v>
      </c>
      <c r="BF18">
        <f t="shared" si="42"/>
        <v>1400000</v>
      </c>
      <c r="BG18">
        <f t="shared" si="43"/>
        <v>1460000</v>
      </c>
      <c r="BH18">
        <f t="shared" si="44"/>
        <v>1520000</v>
      </c>
      <c r="BI18">
        <f t="shared" si="45"/>
        <v>1580000</v>
      </c>
      <c r="BJ18">
        <f t="shared" si="46"/>
        <v>1640000</v>
      </c>
    </row>
    <row r="19" spans="1:62" x14ac:dyDescent="0.3">
      <c r="A19">
        <f>0.01/12</f>
        <v>8.3333333333333339E-4</v>
      </c>
      <c r="B19">
        <v>1</v>
      </c>
      <c r="C19" t="s">
        <v>42</v>
      </c>
      <c r="D19">
        <f t="shared" si="0"/>
        <v>24890.712926726083</v>
      </c>
      <c r="E19">
        <f t="shared" si="47"/>
        <v>83891.749506357897</v>
      </c>
      <c r="F19">
        <f t="shared" si="48"/>
        <v>141867.34825750356</v>
      </c>
      <c r="G19">
        <f t="shared" si="49"/>
        <v>198835.33128636747</v>
      </c>
      <c r="H19">
        <f t="shared" si="50"/>
        <v>254919.35002885081</v>
      </c>
      <c r="I19">
        <f t="shared" si="6"/>
        <v>310636.46651644778</v>
      </c>
      <c r="J19">
        <f t="shared" si="7"/>
        <v>365523.54821061954</v>
      </c>
      <c r="K19">
        <f t="shared" si="8"/>
        <v>419592.96039158385</v>
      </c>
      <c r="L19">
        <f t="shared" si="9"/>
        <v>472856.88413022651</v>
      </c>
      <c r="M19">
        <f t="shared" si="10"/>
        <v>525974.6724546802</v>
      </c>
      <c r="N19">
        <f t="shared" si="10"/>
        <v>579043.86837523349</v>
      </c>
      <c r="O19">
        <f t="shared" si="10"/>
        <v>631454.53600473271</v>
      </c>
      <c r="P19">
        <f t="shared" si="10"/>
        <v>683214.84692939825</v>
      </c>
      <c r="Q19">
        <f t="shared" si="10"/>
        <v>734332.87133537093</v>
      </c>
      <c r="R19">
        <f t="shared" si="10"/>
        <v>784816.57926697063</v>
      </c>
      <c r="S19">
        <f t="shared" si="10"/>
        <v>834673.84186934307</v>
      </c>
      <c r="T19">
        <f t="shared" si="10"/>
        <v>883912.43261568563</v>
      </c>
      <c r="U19">
        <f t="shared" si="10"/>
        <v>932540.02851924521</v>
      </c>
      <c r="V19">
        <f t="shared" si="10"/>
        <v>980564.21133027598</v>
      </c>
      <c r="W19">
        <f t="shared" si="11"/>
        <v>1029668.883209605</v>
      </c>
      <c r="X19">
        <f t="shared" si="12"/>
        <v>1079099.4579714171</v>
      </c>
      <c r="Y19">
        <f t="shared" si="13"/>
        <v>1128038.1821898979</v>
      </c>
      <c r="Z19">
        <f t="shared" si="14"/>
        <v>1176489.9499403872</v>
      </c>
      <c r="AA19">
        <f t="shared" si="15"/>
        <v>1224459.6066005586</v>
      </c>
      <c r="AB19">
        <f t="shared" si="16"/>
        <v>1271951.9493349788</v>
      </c>
      <c r="AC19">
        <f t="shared" si="17"/>
        <v>1318971.7275748414</v>
      </c>
      <c r="AD19">
        <f t="shared" si="18"/>
        <v>1365523.643492932</v>
      </c>
      <c r="AE19">
        <f t="shared" si="19"/>
        <v>1411612.3524738629</v>
      </c>
      <c r="AH19" t="s">
        <v>42</v>
      </c>
      <c r="AI19">
        <f t="shared" si="3"/>
        <v>25000</v>
      </c>
      <c r="AJ19">
        <f t="shared" si="20"/>
        <v>85000</v>
      </c>
      <c r="AK19">
        <f t="shared" si="21"/>
        <v>145000</v>
      </c>
      <c r="AL19">
        <f t="shared" si="22"/>
        <v>205000</v>
      </c>
      <c r="AM19">
        <f t="shared" si="23"/>
        <v>265000</v>
      </c>
      <c r="AN19">
        <f t="shared" si="24"/>
        <v>325000</v>
      </c>
      <c r="AO19">
        <f t="shared" si="25"/>
        <v>385000</v>
      </c>
      <c r="AP19">
        <f t="shared" si="26"/>
        <v>445000</v>
      </c>
      <c r="AQ19">
        <f t="shared" si="27"/>
        <v>505000</v>
      </c>
      <c r="AR19">
        <f t="shared" si="28"/>
        <v>565000</v>
      </c>
      <c r="AS19">
        <f t="shared" si="29"/>
        <v>625000</v>
      </c>
      <c r="AT19">
        <f t="shared" si="30"/>
        <v>685000</v>
      </c>
      <c r="AU19">
        <f t="shared" si="31"/>
        <v>745000</v>
      </c>
      <c r="AV19">
        <f t="shared" si="32"/>
        <v>805000</v>
      </c>
      <c r="AW19">
        <f t="shared" si="33"/>
        <v>865000</v>
      </c>
      <c r="AX19">
        <f t="shared" si="34"/>
        <v>925000</v>
      </c>
      <c r="AY19">
        <f t="shared" si="35"/>
        <v>985000</v>
      </c>
      <c r="AZ19">
        <f t="shared" si="36"/>
        <v>1045000</v>
      </c>
      <c r="BA19">
        <f t="shared" si="37"/>
        <v>1105000</v>
      </c>
      <c r="BB19">
        <f t="shared" si="38"/>
        <v>1165000</v>
      </c>
      <c r="BC19">
        <f t="shared" si="39"/>
        <v>1225000</v>
      </c>
      <c r="BD19">
        <f t="shared" si="40"/>
        <v>1285000</v>
      </c>
      <c r="BE19">
        <f t="shared" si="41"/>
        <v>1345000</v>
      </c>
      <c r="BF19">
        <f t="shared" si="42"/>
        <v>1405000</v>
      </c>
      <c r="BG19">
        <f t="shared" si="43"/>
        <v>1465000</v>
      </c>
      <c r="BH19">
        <f t="shared" si="44"/>
        <v>1525000</v>
      </c>
      <c r="BI19">
        <f t="shared" si="45"/>
        <v>1585000</v>
      </c>
      <c r="BJ19">
        <f t="shared" si="46"/>
        <v>1645000</v>
      </c>
    </row>
    <row r="20" spans="1:62" x14ac:dyDescent="0.3">
      <c r="C20" t="s">
        <v>40</v>
      </c>
      <c r="D20">
        <f t="shared" si="0"/>
        <v>29847.072485853063</v>
      </c>
      <c r="E20">
        <f t="shared" si="47"/>
        <v>88761.967552078611</v>
      </c>
      <c r="F20">
        <f t="shared" si="48"/>
        <v>146652.92192904762</v>
      </c>
      <c r="G20">
        <f t="shared" si="49"/>
        <v>203537.73170268937</v>
      </c>
      <c r="H20">
        <f t="shared" si="50"/>
        <v>259594.45084131474</v>
      </c>
      <c r="I20">
        <f t="shared" si="6"/>
        <v>315241.9209333022</v>
      </c>
      <c r="J20">
        <f t="shared" si="7"/>
        <v>370060.39377535629</v>
      </c>
      <c r="K20">
        <f t="shared" si="8"/>
        <v>424062.21919109439</v>
      </c>
      <c r="L20">
        <f t="shared" si="9"/>
        <v>477259.56302506372</v>
      </c>
      <c r="M20">
        <f t="shared" si="10"/>
        <v>530422.45879532734</v>
      </c>
      <c r="N20">
        <f t="shared" si="10"/>
        <v>583436.46275212325</v>
      </c>
      <c r="O20">
        <f t="shared" si="10"/>
        <v>635792.62328728777</v>
      </c>
      <c r="P20">
        <f t="shared" si="10"/>
        <v>687499.10348859173</v>
      </c>
      <c r="Q20">
        <f t="shared" si="10"/>
        <v>738563.96514918213</v>
      </c>
      <c r="R20">
        <f t="shared" si="10"/>
        <v>788995.17002453294</v>
      </c>
      <c r="S20">
        <f t="shared" si="10"/>
        <v>838800.58107379894</v>
      </c>
      <c r="T20">
        <f t="shared" si="10"/>
        <v>887987.96368576528</v>
      </c>
      <c r="U20">
        <f t="shared" si="10"/>
        <v>936564.98688958515</v>
      </c>
      <c r="V20">
        <f t="shared" si="10"/>
        <v>984539.22455049248</v>
      </c>
      <c r="W20">
        <f t="shared" si="11"/>
        <v>1033807.0040298915</v>
      </c>
      <c r="X20">
        <f t="shared" si="12"/>
        <v>1083196.4031229268</v>
      </c>
      <c r="Y20">
        <f t="shared" si="13"/>
        <v>1132094.3613841336</v>
      </c>
      <c r="Z20">
        <f t="shared" si="14"/>
        <v>1180505.7688120869</v>
      </c>
      <c r="AA20">
        <f t="shared" si="15"/>
        <v>1228435.4667482604</v>
      </c>
      <c r="AB20">
        <f t="shared" si="16"/>
        <v>1275888.2483611829</v>
      </c>
      <c r="AC20">
        <f t="shared" si="17"/>
        <v>1322868.8591257716</v>
      </c>
      <c r="AD20">
        <f t="shared" si="18"/>
        <v>1369381.9972979024</v>
      </c>
      <c r="AE20">
        <f t="shared" si="19"/>
        <v>1415432.3143842523</v>
      </c>
      <c r="AH20" t="s">
        <v>40</v>
      </c>
      <c r="AI20">
        <f t="shared" si="3"/>
        <v>30000</v>
      </c>
      <c r="AJ20">
        <f t="shared" si="20"/>
        <v>90000</v>
      </c>
      <c r="AK20">
        <f t="shared" si="21"/>
        <v>150000</v>
      </c>
      <c r="AL20">
        <f t="shared" si="22"/>
        <v>210000</v>
      </c>
      <c r="AM20">
        <f t="shared" si="23"/>
        <v>270000</v>
      </c>
      <c r="AN20">
        <f t="shared" si="24"/>
        <v>330000</v>
      </c>
      <c r="AO20">
        <f t="shared" si="25"/>
        <v>390000</v>
      </c>
      <c r="AP20">
        <f t="shared" si="26"/>
        <v>450000</v>
      </c>
      <c r="AQ20">
        <f t="shared" si="27"/>
        <v>510000</v>
      </c>
      <c r="AR20">
        <f t="shared" si="28"/>
        <v>570000</v>
      </c>
      <c r="AS20">
        <f t="shared" si="29"/>
        <v>630000</v>
      </c>
      <c r="AT20">
        <f t="shared" si="30"/>
        <v>690000</v>
      </c>
      <c r="AU20">
        <f t="shared" si="31"/>
        <v>750000</v>
      </c>
      <c r="AV20">
        <f t="shared" si="32"/>
        <v>810000</v>
      </c>
      <c r="AW20">
        <f t="shared" si="33"/>
        <v>870000</v>
      </c>
      <c r="AX20">
        <f t="shared" si="34"/>
        <v>930000</v>
      </c>
      <c r="AY20">
        <f t="shared" si="35"/>
        <v>990000</v>
      </c>
      <c r="AZ20">
        <f t="shared" si="36"/>
        <v>1050000</v>
      </c>
      <c r="BA20">
        <f t="shared" si="37"/>
        <v>1110000</v>
      </c>
      <c r="BB20">
        <f t="shared" si="38"/>
        <v>1170000</v>
      </c>
      <c r="BC20">
        <f t="shared" si="39"/>
        <v>1230000</v>
      </c>
      <c r="BD20">
        <f t="shared" si="40"/>
        <v>1290000</v>
      </c>
      <c r="BE20">
        <f t="shared" si="41"/>
        <v>1350000</v>
      </c>
      <c r="BF20">
        <f t="shared" si="42"/>
        <v>1410000</v>
      </c>
      <c r="BG20">
        <f t="shared" si="43"/>
        <v>1470000</v>
      </c>
      <c r="BH20">
        <f t="shared" si="44"/>
        <v>1530000</v>
      </c>
      <c r="BI20">
        <f t="shared" si="45"/>
        <v>1590000</v>
      </c>
      <c r="BJ20">
        <f t="shared" si="46"/>
        <v>1650000</v>
      </c>
    </row>
    <row r="21" spans="1:62" x14ac:dyDescent="0.3">
      <c r="C21" t="s">
        <v>40</v>
      </c>
      <c r="D21">
        <f t="shared" si="0"/>
        <v>34796.195760023715</v>
      </c>
      <c r="E21">
        <f t="shared" si="47"/>
        <v>93625.075079452581</v>
      </c>
      <c r="F21">
        <f t="shared" si="48"/>
        <v>151431.50866303121</v>
      </c>
      <c r="G21">
        <f t="shared" si="49"/>
        <v>208233.26661440346</v>
      </c>
      <c r="H21">
        <f t="shared" si="50"/>
        <v>264263.70777776308</v>
      </c>
      <c r="I21">
        <f t="shared" si="6"/>
        <v>319841.61853213556</v>
      </c>
      <c r="J21">
        <f t="shared" si="7"/>
        <v>374591.56828313711</v>
      </c>
      <c r="K21">
        <f t="shared" si="8"/>
        <v>428525.89141710551</v>
      </c>
      <c r="L21">
        <f t="shared" si="9"/>
        <v>481656.73857128242</v>
      </c>
      <c r="M21">
        <f t="shared" si="10"/>
        <v>534865.61943818023</v>
      </c>
      <c r="N21">
        <f t="shared" si="10"/>
        <v>587824.48883086105</v>
      </c>
      <c r="O21">
        <f t="shared" si="10"/>
        <v>640126.19895906898</v>
      </c>
      <c r="P21">
        <f t="shared" si="10"/>
        <v>691778.9044209636</v>
      </c>
      <c r="Q21">
        <f t="shared" si="10"/>
        <v>742790.65862542694</v>
      </c>
      <c r="R21">
        <f t="shared" si="10"/>
        <v>793169.41504770739</v>
      </c>
      <c r="S21">
        <f t="shared" si="10"/>
        <v>842923.0284694822</v>
      </c>
      <c r="T21">
        <f t="shared" si="10"/>
        <v>892059.2562035321</v>
      </c>
      <c r="U21">
        <f t="shared" si="10"/>
        <v>940585.75930321997</v>
      </c>
      <c r="V21">
        <f t="shared" si="10"/>
        <v>988510.10375696002</v>
      </c>
      <c r="W21">
        <f t="shared" si="11"/>
        <v>1037941.6777955346</v>
      </c>
      <c r="X21">
        <f t="shared" si="12"/>
        <v>1087289.9355191255</v>
      </c>
      <c r="Y21">
        <f t="shared" si="13"/>
        <v>1136147.1617811006</v>
      </c>
      <c r="Z21">
        <f t="shared" si="14"/>
        <v>1184518.2425066663</v>
      </c>
      <c r="AA21">
        <f t="shared" si="15"/>
        <v>1232408.0150044591</v>
      </c>
      <c r="AB21">
        <f t="shared" si="16"/>
        <v>1279821.2684502981</v>
      </c>
      <c r="AC21">
        <f t="shared" si="17"/>
        <v>1326762.7443661198</v>
      </c>
      <c r="AD21">
        <f t="shared" si="18"/>
        <v>1373237.1370941531</v>
      </c>
      <c r="AE21">
        <f t="shared" si="19"/>
        <v>1419249.0942663702</v>
      </c>
      <c r="AH21" t="s">
        <v>40</v>
      </c>
      <c r="AI21">
        <f t="shared" si="3"/>
        <v>35000</v>
      </c>
      <c r="AJ21">
        <f t="shared" si="20"/>
        <v>95000</v>
      </c>
      <c r="AK21">
        <f t="shared" si="21"/>
        <v>155000</v>
      </c>
      <c r="AL21">
        <f t="shared" si="22"/>
        <v>215000</v>
      </c>
      <c r="AM21">
        <f t="shared" si="23"/>
        <v>275000</v>
      </c>
      <c r="AN21">
        <f t="shared" si="24"/>
        <v>335000</v>
      </c>
      <c r="AO21">
        <f t="shared" si="25"/>
        <v>395000</v>
      </c>
      <c r="AP21">
        <f t="shared" si="26"/>
        <v>455000</v>
      </c>
      <c r="AQ21">
        <f t="shared" si="27"/>
        <v>515000</v>
      </c>
      <c r="AR21">
        <f t="shared" si="28"/>
        <v>575000</v>
      </c>
      <c r="AS21">
        <f t="shared" si="29"/>
        <v>635000</v>
      </c>
      <c r="AT21">
        <f t="shared" si="30"/>
        <v>695000</v>
      </c>
      <c r="AU21">
        <f t="shared" si="31"/>
        <v>755000</v>
      </c>
      <c r="AV21">
        <f t="shared" si="32"/>
        <v>815000</v>
      </c>
      <c r="AW21">
        <f t="shared" si="33"/>
        <v>875000</v>
      </c>
      <c r="AX21">
        <f t="shared" si="34"/>
        <v>935000</v>
      </c>
      <c r="AY21">
        <f t="shared" si="35"/>
        <v>995000</v>
      </c>
      <c r="AZ21">
        <f t="shared" si="36"/>
        <v>1055000</v>
      </c>
      <c r="BA21">
        <f t="shared" si="37"/>
        <v>1115000</v>
      </c>
      <c r="BB21">
        <f t="shared" si="38"/>
        <v>1175000</v>
      </c>
      <c r="BC21">
        <f t="shared" si="39"/>
        <v>1235000</v>
      </c>
      <c r="BD21">
        <f t="shared" si="40"/>
        <v>1295000</v>
      </c>
      <c r="BE21">
        <f t="shared" si="41"/>
        <v>1355000</v>
      </c>
      <c r="BF21">
        <f t="shared" si="42"/>
        <v>1415000</v>
      </c>
      <c r="BG21">
        <f t="shared" si="43"/>
        <v>1475000</v>
      </c>
      <c r="BH21">
        <f t="shared" si="44"/>
        <v>1535000</v>
      </c>
      <c r="BI21">
        <f t="shared" si="45"/>
        <v>1595000</v>
      </c>
      <c r="BJ21">
        <f t="shared" si="46"/>
        <v>1655000</v>
      </c>
    </row>
    <row r="22" spans="1:62" x14ac:dyDescent="0.3">
      <c r="C22" t="s">
        <v>43</v>
      </c>
      <c r="D22">
        <f t="shared" si="0"/>
        <v>39738.093314214078</v>
      </c>
      <c r="E22">
        <f t="shared" si="47"/>
        <v>98481.082469836576</v>
      </c>
      <c r="F22">
        <f t="shared" si="48"/>
        <v>156203.11866038319</v>
      </c>
      <c r="G22">
        <f t="shared" si="49"/>
        <v>212921.94604514644</v>
      </c>
      <c r="H22">
        <f t="shared" si="50"/>
        <v>268927.12814304087</v>
      </c>
      <c r="I22">
        <f t="shared" si="6"/>
        <v>324435.5665089704</v>
      </c>
      <c r="J22">
        <f t="shared" si="7"/>
        <v>379117.07882278319</v>
      </c>
      <c r="K22">
        <f t="shared" si="8"/>
        <v>432983.9840528341</v>
      </c>
      <c r="L22">
        <f t="shared" si="9"/>
        <v>486048.41764806834</v>
      </c>
      <c r="M22">
        <f t="shared" si="10"/>
        <v>539304.15919396456</v>
      </c>
      <c r="N22">
        <f t="shared" si="10"/>
        <v>592207.95136247692</v>
      </c>
      <c r="O22">
        <f t="shared" si="10"/>
        <v>644455.26771215152</v>
      </c>
      <c r="P22">
        <f t="shared" si="10"/>
        <v>696054.2543603658</v>
      </c>
      <c r="Q22">
        <f t="shared" si="10"/>
        <v>747012.9563404565</v>
      </c>
      <c r="R22">
        <f t="shared" si="10"/>
        <v>797339.31885605783</v>
      </c>
      <c r="S22">
        <f t="shared" si="10"/>
        <v>847041.18851987389</v>
      </c>
      <c r="T22">
        <f t="shared" si="10"/>
        <v>896126.31457708043</v>
      </c>
      <c r="U22">
        <f t="shared" si="10"/>
        <v>944602.35011354461</v>
      </c>
      <c r="V22">
        <f t="shared" si="10"/>
        <v>992476.85324905277</v>
      </c>
      <c r="W22">
        <f t="shared" si="11"/>
        <v>1042072.9073779309</v>
      </c>
      <c r="X22">
        <f t="shared" si="12"/>
        <v>1091380.0580028382</v>
      </c>
      <c r="Y22">
        <f t="shared" si="13"/>
        <v>1140196.5861953369</v>
      </c>
      <c r="Z22">
        <f t="shared" si="14"/>
        <v>1188527.3738106582</v>
      </c>
      <c r="AA22">
        <f t="shared" si="15"/>
        <v>1236377.2541279604</v>
      </c>
      <c r="AB22">
        <f t="shared" si="16"/>
        <v>1283751.012333679</v>
      </c>
      <c r="AC22">
        <f t="shared" si="17"/>
        <v>1330653.3860000628</v>
      </c>
      <c r="AD22">
        <f t="shared" si="18"/>
        <v>1377089.0655589537</v>
      </c>
      <c r="AE22">
        <f t="shared" si="19"/>
        <v>1423062.6947708463</v>
      </c>
      <c r="AH22" t="s">
        <v>43</v>
      </c>
      <c r="AI22">
        <f t="shared" si="3"/>
        <v>40000</v>
      </c>
      <c r="AJ22">
        <f t="shared" si="20"/>
        <v>100000</v>
      </c>
      <c r="AK22">
        <f t="shared" si="21"/>
        <v>160000</v>
      </c>
      <c r="AL22">
        <f t="shared" si="22"/>
        <v>220000</v>
      </c>
      <c r="AM22">
        <f t="shared" si="23"/>
        <v>280000</v>
      </c>
      <c r="AN22">
        <f t="shared" si="24"/>
        <v>340000</v>
      </c>
      <c r="AO22">
        <f t="shared" si="25"/>
        <v>400000</v>
      </c>
      <c r="AP22">
        <f t="shared" si="26"/>
        <v>460000</v>
      </c>
      <c r="AQ22">
        <f t="shared" si="27"/>
        <v>520000</v>
      </c>
      <c r="AR22">
        <f t="shared" si="28"/>
        <v>580000</v>
      </c>
      <c r="AS22">
        <f t="shared" si="29"/>
        <v>640000</v>
      </c>
      <c r="AT22">
        <f t="shared" si="30"/>
        <v>700000</v>
      </c>
      <c r="AU22">
        <f t="shared" si="31"/>
        <v>760000</v>
      </c>
      <c r="AV22">
        <f t="shared" si="32"/>
        <v>820000</v>
      </c>
      <c r="AW22">
        <f t="shared" si="33"/>
        <v>880000</v>
      </c>
      <c r="AX22">
        <f t="shared" si="34"/>
        <v>940000</v>
      </c>
      <c r="AY22">
        <f t="shared" si="35"/>
        <v>1000000</v>
      </c>
      <c r="AZ22">
        <f t="shared" si="36"/>
        <v>1060000</v>
      </c>
      <c r="BA22">
        <f t="shared" si="37"/>
        <v>1120000</v>
      </c>
      <c r="BB22">
        <f t="shared" si="38"/>
        <v>1180000</v>
      </c>
      <c r="BC22">
        <f t="shared" si="39"/>
        <v>1240000</v>
      </c>
      <c r="BD22">
        <f t="shared" si="40"/>
        <v>1300000</v>
      </c>
      <c r="BE22">
        <f t="shared" si="41"/>
        <v>1360000</v>
      </c>
      <c r="BF22">
        <f t="shared" si="42"/>
        <v>1420000</v>
      </c>
      <c r="BG22">
        <f t="shared" si="43"/>
        <v>1480000</v>
      </c>
      <c r="BH22">
        <f t="shared" si="44"/>
        <v>1540000</v>
      </c>
      <c r="BI22">
        <f t="shared" si="45"/>
        <v>1600000</v>
      </c>
      <c r="BJ22">
        <f t="shared" si="46"/>
        <v>1660000</v>
      </c>
    </row>
    <row r="23" spans="1:62" x14ac:dyDescent="0.3">
      <c r="C23" t="s">
        <v>44</v>
      </c>
      <c r="D23">
        <f t="shared" si="0"/>
        <v>44672.775697975325</v>
      </c>
      <c r="E23">
        <f t="shared" si="47"/>
        <v>103330.00008943061</v>
      </c>
      <c r="F23">
        <f t="shared" si="48"/>
        <v>160967.76210713902</v>
      </c>
      <c r="G23">
        <f t="shared" si="49"/>
        <v>217603.78000392052</v>
      </c>
      <c r="H23">
        <f t="shared" si="50"/>
        <v>273584.71923286206</v>
      </c>
      <c r="I23">
        <f t="shared" si="6"/>
        <v>329023.7720508342</v>
      </c>
      <c r="J23">
        <f t="shared" si="7"/>
        <v>383636.93247425469</v>
      </c>
      <c r="K23">
        <f t="shared" si="8"/>
        <v>437436.50407276803</v>
      </c>
      <c r="L23">
        <f t="shared" si="9"/>
        <v>490434.60712600825</v>
      </c>
      <c r="M23">
        <f t="shared" si="10"/>
        <v>543738.08286840282</v>
      </c>
      <c r="N23">
        <f t="shared" si="10"/>
        <v>596586.85509305994</v>
      </c>
      <c r="O23">
        <f t="shared" si="10"/>
        <v>648779.83423373092</v>
      </c>
      <c r="P23">
        <f t="shared" si="10"/>
        <v>700325.157935831</v>
      </c>
      <c r="Q23">
        <f t="shared" si="10"/>
        <v>751230.86286586244</v>
      </c>
      <c r="R23">
        <f t="shared" si="10"/>
        <v>801504.88596444752</v>
      </c>
      <c r="S23">
        <f t="shared" si="10"/>
        <v>851155.06568381318</v>
      </c>
      <c r="T23">
        <f t="shared" si="10"/>
        <v>900189.14320992026</v>
      </c>
      <c r="U23">
        <f t="shared" si="10"/>
        <v>948614.76366942655</v>
      </c>
      <c r="V23">
        <f t="shared" si="10"/>
        <v>996439.47732167377</v>
      </c>
      <c r="W23">
        <f t="shared" si="11"/>
        <v>1046200.6956460851</v>
      </c>
      <c r="X23">
        <f t="shared" si="12"/>
        <v>1095466.7734145217</v>
      </c>
      <c r="Y23">
        <f t="shared" si="13"/>
        <v>1144242.6374390363</v>
      </c>
      <c r="Z23">
        <f t="shared" si="14"/>
        <v>1192533.165508274</v>
      </c>
      <c r="AA23">
        <f t="shared" si="15"/>
        <v>1240343.1868752718</v>
      </c>
      <c r="AB23">
        <f t="shared" si="16"/>
        <v>1287677.482740405</v>
      </c>
      <c r="AC23">
        <f t="shared" si="17"/>
        <v>1334540.7867295248</v>
      </c>
      <c r="AD23">
        <f t="shared" si="18"/>
        <v>1380937.7853673431</v>
      </c>
      <c r="AE23">
        <f t="shared" si="19"/>
        <v>1426873.1185461022</v>
      </c>
      <c r="AH23" t="s">
        <v>44</v>
      </c>
      <c r="AI23">
        <f t="shared" si="3"/>
        <v>45000</v>
      </c>
      <c r="AJ23">
        <f t="shared" si="20"/>
        <v>105000</v>
      </c>
      <c r="AK23">
        <f t="shared" si="21"/>
        <v>165000</v>
      </c>
      <c r="AL23">
        <f t="shared" si="22"/>
        <v>225000</v>
      </c>
      <c r="AM23">
        <f t="shared" si="23"/>
        <v>285000</v>
      </c>
      <c r="AN23">
        <f t="shared" si="24"/>
        <v>345000</v>
      </c>
      <c r="AO23">
        <f t="shared" si="25"/>
        <v>405000</v>
      </c>
      <c r="AP23">
        <f t="shared" si="26"/>
        <v>465000</v>
      </c>
      <c r="AQ23">
        <f t="shared" si="27"/>
        <v>525000</v>
      </c>
      <c r="AR23">
        <f t="shared" si="28"/>
        <v>585000</v>
      </c>
      <c r="AS23">
        <f t="shared" si="29"/>
        <v>645000</v>
      </c>
      <c r="AT23">
        <f t="shared" si="30"/>
        <v>705000</v>
      </c>
      <c r="AU23">
        <f t="shared" si="31"/>
        <v>765000</v>
      </c>
      <c r="AV23">
        <f t="shared" si="32"/>
        <v>825000</v>
      </c>
      <c r="AW23">
        <f t="shared" si="33"/>
        <v>885000</v>
      </c>
      <c r="AX23">
        <f t="shared" si="34"/>
        <v>945000</v>
      </c>
      <c r="AY23">
        <f t="shared" si="35"/>
        <v>1005000</v>
      </c>
      <c r="AZ23">
        <f t="shared" si="36"/>
        <v>1065000</v>
      </c>
      <c r="BA23">
        <f t="shared" si="37"/>
        <v>1125000</v>
      </c>
      <c r="BB23">
        <f t="shared" si="38"/>
        <v>1185000</v>
      </c>
      <c r="BC23">
        <f t="shared" si="39"/>
        <v>1245000</v>
      </c>
      <c r="BD23">
        <f t="shared" si="40"/>
        <v>1305000</v>
      </c>
      <c r="BE23">
        <f t="shared" si="41"/>
        <v>1365000</v>
      </c>
      <c r="BF23">
        <f t="shared" si="42"/>
        <v>1425000</v>
      </c>
      <c r="BG23">
        <f t="shared" si="43"/>
        <v>1485000</v>
      </c>
      <c r="BH23">
        <f t="shared" si="44"/>
        <v>1545000</v>
      </c>
      <c r="BI23">
        <f t="shared" si="45"/>
        <v>1605000</v>
      </c>
      <c r="BJ23">
        <f t="shared" si="46"/>
        <v>1665000</v>
      </c>
    </row>
    <row r="24" spans="1:62" x14ac:dyDescent="0.3">
      <c r="C24" t="s">
        <v>45</v>
      </c>
      <c r="D24">
        <f t="shared" si="0"/>
        <v>49600.253445456277</v>
      </c>
      <c r="E24">
        <f t="shared" si="47"/>
        <v>108171.83828930005</v>
      </c>
      <c r="F24">
        <f t="shared" si="48"/>
        <v>165725.44917446258</v>
      </c>
      <c r="G24">
        <f t="shared" si="49"/>
        <v>222278.7784851148</v>
      </c>
      <c r="H24">
        <f t="shared" si="50"/>
        <v>278236.48833382101</v>
      </c>
      <c r="I24">
        <f t="shared" si="6"/>
        <v>333606.24233577069</v>
      </c>
      <c r="J24">
        <f t="shared" si="7"/>
        <v>388151.13630866189</v>
      </c>
      <c r="K24">
        <f t="shared" si="8"/>
        <v>441883.45844267705</v>
      </c>
      <c r="L24">
        <f t="shared" si="9"/>
        <v>494815.31386710075</v>
      </c>
      <c r="M24">
        <f t="shared" ref="M24:U26" si="51">(M23+5000)-(0.00104*(M23+5000))</f>
        <v>548167.39526221971</v>
      </c>
      <c r="N24">
        <f t="shared" si="51"/>
        <v>600961.20476376312</v>
      </c>
      <c r="O24">
        <f t="shared" si="51"/>
        <v>653099.90320612781</v>
      </c>
      <c r="P24">
        <f t="shared" si="51"/>
        <v>704591.61977157777</v>
      </c>
      <c r="Q24">
        <f t="shared" si="51"/>
        <v>755444.38276848197</v>
      </c>
      <c r="R24">
        <f t="shared" si="51"/>
        <v>805666.12088304444</v>
      </c>
      <c r="S24">
        <f t="shared" si="51"/>
        <v>855264.66441550199</v>
      </c>
      <c r="T24">
        <f t="shared" si="51"/>
        <v>904247.74650098197</v>
      </c>
      <c r="U24">
        <f t="shared" si="51"/>
        <v>952623.00431521039</v>
      </c>
      <c r="V24">
        <f>(V23+5000)-(0.000833*(V23+5000))</f>
        <v>1000605.2782370648</v>
      </c>
      <c r="W24">
        <f t="shared" si="11"/>
        <v>1050325.0454666119</v>
      </c>
      <c r="X24">
        <f t="shared" si="12"/>
        <v>1099550.0845922674</v>
      </c>
      <c r="Y24">
        <f t="shared" si="13"/>
        <v>1148285.3183220495</v>
      </c>
      <c r="Z24">
        <f t="shared" si="14"/>
        <v>1196535.6203814056</v>
      </c>
      <c r="AA24">
        <f t="shared" si="15"/>
        <v>1244305.8160006048</v>
      </c>
      <c r="AB24">
        <f t="shared" si="16"/>
        <v>1291600.6823972822</v>
      </c>
      <c r="AC24">
        <f t="shared" si="17"/>
        <v>1338424.9492541791</v>
      </c>
      <c r="AD24">
        <f t="shared" si="18"/>
        <v>1384783.2991921322</v>
      </c>
      <c r="AE24">
        <f t="shared" si="19"/>
        <v>1430680.3682383534</v>
      </c>
      <c r="AH24" t="s">
        <v>45</v>
      </c>
      <c r="AI24">
        <f t="shared" si="3"/>
        <v>50000</v>
      </c>
      <c r="AJ24">
        <f t="shared" si="20"/>
        <v>110000</v>
      </c>
      <c r="AK24">
        <f t="shared" si="21"/>
        <v>170000</v>
      </c>
      <c r="AL24">
        <f t="shared" si="22"/>
        <v>230000</v>
      </c>
      <c r="AM24">
        <f t="shared" si="23"/>
        <v>290000</v>
      </c>
      <c r="AN24">
        <f t="shared" si="24"/>
        <v>350000</v>
      </c>
      <c r="AO24">
        <f t="shared" si="25"/>
        <v>410000</v>
      </c>
      <c r="AP24">
        <f t="shared" si="26"/>
        <v>470000</v>
      </c>
      <c r="AQ24">
        <f t="shared" si="27"/>
        <v>530000</v>
      </c>
      <c r="AR24">
        <f t="shared" si="28"/>
        <v>590000</v>
      </c>
      <c r="AS24">
        <f t="shared" si="29"/>
        <v>650000</v>
      </c>
      <c r="AT24">
        <f t="shared" si="30"/>
        <v>710000</v>
      </c>
      <c r="AU24">
        <f t="shared" si="31"/>
        <v>770000</v>
      </c>
      <c r="AV24">
        <f t="shared" si="32"/>
        <v>830000</v>
      </c>
      <c r="AW24">
        <f t="shared" si="33"/>
        <v>890000</v>
      </c>
      <c r="AX24">
        <f t="shared" si="34"/>
        <v>950000</v>
      </c>
      <c r="AY24">
        <f t="shared" si="35"/>
        <v>1010000</v>
      </c>
      <c r="AZ24">
        <f t="shared" si="36"/>
        <v>1070000</v>
      </c>
      <c r="BA24">
        <f t="shared" si="37"/>
        <v>1130000</v>
      </c>
      <c r="BB24">
        <f t="shared" si="38"/>
        <v>1190000</v>
      </c>
      <c r="BC24">
        <f t="shared" si="39"/>
        <v>1250000</v>
      </c>
      <c r="BD24">
        <f t="shared" si="40"/>
        <v>1310000</v>
      </c>
      <c r="BE24">
        <f t="shared" si="41"/>
        <v>1370000</v>
      </c>
      <c r="BF24">
        <f t="shared" si="42"/>
        <v>1430000</v>
      </c>
      <c r="BG24">
        <f t="shared" si="43"/>
        <v>1490000</v>
      </c>
      <c r="BH24">
        <f t="shared" si="44"/>
        <v>1550000</v>
      </c>
      <c r="BI24">
        <f t="shared" si="45"/>
        <v>1610000</v>
      </c>
      <c r="BJ24">
        <f t="shared" si="46"/>
        <v>1670000</v>
      </c>
    </row>
    <row r="25" spans="1:62" x14ac:dyDescent="0.3">
      <c r="C25" t="s">
        <v>46</v>
      </c>
      <c r="D25">
        <f t="shared" si="0"/>
        <v>54520.537075425913</v>
      </c>
      <c r="E25">
        <f t="shared" si="47"/>
        <v>113006.60740539768</v>
      </c>
      <c r="F25">
        <f t="shared" si="48"/>
        <v>170476.19001866787</v>
      </c>
      <c r="G25">
        <f t="shared" si="49"/>
        <v>226946.95146852653</v>
      </c>
      <c r="H25">
        <f t="shared" si="50"/>
        <v>282882.44272340374</v>
      </c>
      <c r="I25">
        <f t="shared" si="6"/>
        <v>338182.98453285097</v>
      </c>
      <c r="J25">
        <f t="shared" si="7"/>
        <v>392659.69738827605</v>
      </c>
      <c r="K25">
        <f t="shared" si="8"/>
        <v>446324.85411962372</v>
      </c>
      <c r="L25">
        <f t="shared" si="9"/>
        <v>499190.54472476686</v>
      </c>
      <c r="M25">
        <f t="shared" si="51"/>
        <v>552592.10117114696</v>
      </c>
      <c r="N25">
        <f t="shared" si="51"/>
        <v>605331.00511080876</v>
      </c>
      <c r="O25">
        <f t="shared" si="51"/>
        <v>657415.47930679342</v>
      </c>
      <c r="P25">
        <f t="shared" si="51"/>
        <v>708853.64448701532</v>
      </c>
      <c r="Q25">
        <f t="shared" si="51"/>
        <v>759653.5206104028</v>
      </c>
      <c r="R25">
        <f t="shared" si="51"/>
        <v>809823.02811732609</v>
      </c>
      <c r="S25">
        <f t="shared" si="51"/>
        <v>859369.98916450981</v>
      </c>
      <c r="T25">
        <f t="shared" si="51"/>
        <v>908302.12884462089</v>
      </c>
      <c r="U25">
        <f t="shared" si="51"/>
        <v>956627.07639072253</v>
      </c>
      <c r="V25">
        <f>(V24+5000)-(0.000833*(V24+5000))</f>
        <v>1004767.6090402934</v>
      </c>
      <c r="W25">
        <f t="shared" si="11"/>
        <v>1054445.9597037381</v>
      </c>
      <c r="X25">
        <f t="shared" si="12"/>
        <v>1103629.9943718021</v>
      </c>
      <c r="Y25">
        <f t="shared" si="13"/>
        <v>1152324.6316518872</v>
      </c>
      <c r="Z25">
        <f t="shared" si="14"/>
        <v>1200534.7412096278</v>
      </c>
      <c r="AA25">
        <f t="shared" si="15"/>
        <v>1248265.1442558763</v>
      </c>
      <c r="AB25">
        <f t="shared" si="16"/>
        <v>1295520.6140288452</v>
      </c>
      <c r="AC25">
        <f t="shared" si="17"/>
        <v>1342305.8762714504</v>
      </c>
      <c r="AD25">
        <f t="shared" si="18"/>
        <v>1388625.6097039052</v>
      </c>
      <c r="AE25">
        <f t="shared" si="19"/>
        <v>1434484.446491611</v>
      </c>
      <c r="AH25" t="s">
        <v>46</v>
      </c>
      <c r="AI25">
        <f t="shared" si="3"/>
        <v>55000</v>
      </c>
      <c r="AJ25">
        <f t="shared" si="20"/>
        <v>115000</v>
      </c>
      <c r="AK25">
        <f t="shared" si="21"/>
        <v>175000</v>
      </c>
      <c r="AL25">
        <f t="shared" si="22"/>
        <v>235000</v>
      </c>
      <c r="AM25">
        <f t="shared" si="23"/>
        <v>295000</v>
      </c>
      <c r="AN25">
        <f t="shared" si="24"/>
        <v>355000</v>
      </c>
      <c r="AO25">
        <f t="shared" si="25"/>
        <v>415000</v>
      </c>
      <c r="AP25">
        <f t="shared" si="26"/>
        <v>475000</v>
      </c>
      <c r="AQ25">
        <f t="shared" si="27"/>
        <v>535000</v>
      </c>
      <c r="AR25">
        <f t="shared" si="28"/>
        <v>595000</v>
      </c>
      <c r="AS25">
        <f t="shared" si="29"/>
        <v>655000</v>
      </c>
      <c r="AT25">
        <f t="shared" si="30"/>
        <v>715000</v>
      </c>
      <c r="AU25">
        <f t="shared" si="31"/>
        <v>775000</v>
      </c>
      <c r="AV25">
        <f t="shared" si="32"/>
        <v>835000</v>
      </c>
      <c r="AW25">
        <f t="shared" si="33"/>
        <v>895000</v>
      </c>
      <c r="AX25">
        <f t="shared" si="34"/>
        <v>955000</v>
      </c>
      <c r="AY25">
        <f t="shared" si="35"/>
        <v>1015000</v>
      </c>
      <c r="AZ25">
        <f t="shared" si="36"/>
        <v>1075000</v>
      </c>
      <c r="BA25">
        <f t="shared" si="37"/>
        <v>1135000</v>
      </c>
      <c r="BB25">
        <f t="shared" si="38"/>
        <v>1195000</v>
      </c>
      <c r="BC25">
        <f t="shared" si="39"/>
        <v>1255000</v>
      </c>
      <c r="BD25">
        <f t="shared" si="40"/>
        <v>1315000</v>
      </c>
      <c r="BE25">
        <f t="shared" si="41"/>
        <v>1375000</v>
      </c>
      <c r="BF25">
        <f t="shared" si="42"/>
        <v>1435000</v>
      </c>
      <c r="BG25">
        <f t="shared" si="43"/>
        <v>1495000</v>
      </c>
      <c r="BH25">
        <f t="shared" si="44"/>
        <v>1555000</v>
      </c>
      <c r="BI25">
        <f t="shared" si="45"/>
        <v>1615000</v>
      </c>
      <c r="BJ25">
        <f t="shared" si="46"/>
        <v>1675000</v>
      </c>
    </row>
    <row r="26" spans="1:62" x14ac:dyDescent="0.3">
      <c r="C26" t="s">
        <v>47</v>
      </c>
      <c r="D26">
        <f t="shared" si="0"/>
        <v>59433.637091295794</v>
      </c>
      <c r="E26">
        <f t="shared" si="47"/>
        <v>117834.31775858579</v>
      </c>
      <c r="F26">
        <f t="shared" si="48"/>
        <v>175219.99478124062</v>
      </c>
      <c r="G26">
        <f t="shared" si="49"/>
        <v>231608.30891938249</v>
      </c>
      <c r="H26">
        <f t="shared" si="50"/>
        <v>287522.58966999949</v>
      </c>
      <c r="I26">
        <f>(I25+5000)-(0.00125*(I25+5000))</f>
        <v>342754.00580218493</v>
      </c>
      <c r="J26">
        <f>(J25+5000)-(0.00125*(J25+5000))</f>
        <v>397162.62276654068</v>
      </c>
      <c r="K26">
        <f>(K25+5000)-(0.00125*(K25+5000))</f>
        <v>450760.69805197418</v>
      </c>
      <c r="L26">
        <f>(L25+5000)-(0.00104*(L25+5000))</f>
        <v>503666.18655825313</v>
      </c>
      <c r="M26">
        <f t="shared" si="51"/>
        <v>557012.20538592897</v>
      </c>
      <c r="N26">
        <f t="shared" si="51"/>
        <v>609696.26086549356</v>
      </c>
      <c r="O26">
        <f t="shared" si="51"/>
        <v>661726.56720831431</v>
      </c>
      <c r="P26">
        <f t="shared" si="51"/>
        <v>713111.23669674888</v>
      </c>
      <c r="Q26">
        <f t="shared" si="51"/>
        <v>763858.28094896802</v>
      </c>
      <c r="R26">
        <f t="shared" si="51"/>
        <v>813975.61216808402</v>
      </c>
      <c r="S26">
        <f t="shared" si="51"/>
        <v>863471.04437577876</v>
      </c>
      <c r="T26">
        <f t="shared" si="51"/>
        <v>912352.29463062249</v>
      </c>
      <c r="U26">
        <f t="shared" si="51"/>
        <v>960626.9842312762</v>
      </c>
      <c r="V26">
        <f>(V25+5000)-(0.000833*(V25+5000))</f>
        <v>1008926.4726219628</v>
      </c>
      <c r="W26" s="3">
        <f t="shared" si="11"/>
        <v>1058563.4412193049</v>
      </c>
      <c r="X26">
        <f t="shared" si="12"/>
        <v>1107706.5055864903</v>
      </c>
      <c r="Y26">
        <f t="shared" si="13"/>
        <v>1156360.5802337213</v>
      </c>
      <c r="Z26">
        <f t="shared" si="14"/>
        <v>1204530.5307702003</v>
      </c>
      <c r="AA26">
        <f t="shared" si="15"/>
        <v>1252221.1743907111</v>
      </c>
      <c r="AB26" s="3">
        <f t="shared" si="16"/>
        <v>1299437.2803573592</v>
      </c>
      <c r="AC26">
        <f t="shared" si="17"/>
        <v>1346183.5704765164</v>
      </c>
      <c r="AD26">
        <f t="shared" si="18"/>
        <v>1392464.7195710219</v>
      </c>
      <c r="AE26">
        <f t="shared" si="19"/>
        <v>1438285.3559476833</v>
      </c>
      <c r="AH26" t="s">
        <v>47</v>
      </c>
      <c r="AI26">
        <f t="shared" si="3"/>
        <v>60000</v>
      </c>
      <c r="AJ26">
        <f t="shared" si="20"/>
        <v>120000</v>
      </c>
      <c r="AK26">
        <f t="shared" si="21"/>
        <v>180000</v>
      </c>
      <c r="AL26">
        <f t="shared" si="22"/>
        <v>240000</v>
      </c>
      <c r="AM26">
        <f t="shared" si="23"/>
        <v>300000</v>
      </c>
      <c r="AN26">
        <f t="shared" si="24"/>
        <v>360000</v>
      </c>
      <c r="AO26">
        <f t="shared" si="25"/>
        <v>420000</v>
      </c>
      <c r="AP26">
        <f t="shared" si="26"/>
        <v>480000</v>
      </c>
      <c r="AQ26">
        <f t="shared" si="27"/>
        <v>540000</v>
      </c>
      <c r="AR26">
        <f t="shared" si="28"/>
        <v>600000</v>
      </c>
      <c r="AS26">
        <f t="shared" si="29"/>
        <v>660000</v>
      </c>
      <c r="AT26">
        <f t="shared" si="30"/>
        <v>720000</v>
      </c>
      <c r="AU26">
        <f t="shared" si="31"/>
        <v>780000</v>
      </c>
      <c r="AV26">
        <f t="shared" si="32"/>
        <v>840000</v>
      </c>
      <c r="AW26">
        <f t="shared" si="33"/>
        <v>900000</v>
      </c>
      <c r="AX26">
        <f t="shared" si="34"/>
        <v>960000</v>
      </c>
      <c r="AY26">
        <f t="shared" si="35"/>
        <v>1020000</v>
      </c>
      <c r="AZ26">
        <f t="shared" si="36"/>
        <v>1080000</v>
      </c>
      <c r="BA26">
        <f t="shared" si="37"/>
        <v>1140000</v>
      </c>
      <c r="BB26" s="3">
        <f t="shared" si="38"/>
        <v>1200000</v>
      </c>
      <c r="BC26">
        <f t="shared" si="39"/>
        <v>1260000</v>
      </c>
      <c r="BD26">
        <f t="shared" si="40"/>
        <v>1320000</v>
      </c>
      <c r="BE26">
        <f t="shared" si="41"/>
        <v>1380000</v>
      </c>
      <c r="BF26">
        <f t="shared" si="42"/>
        <v>1440000</v>
      </c>
      <c r="BG26" s="3">
        <f t="shared" si="43"/>
        <v>1500000</v>
      </c>
      <c r="BH26">
        <f t="shared" si="44"/>
        <v>1560000</v>
      </c>
      <c r="BI26">
        <f t="shared" si="45"/>
        <v>1620000</v>
      </c>
      <c r="BJ26">
        <f t="shared" si="46"/>
        <v>1680000</v>
      </c>
    </row>
    <row r="28" spans="1:62" x14ac:dyDescent="0.3">
      <c r="Z28" s="2"/>
      <c r="AA28" s="2" t="s">
        <v>83</v>
      </c>
      <c r="AB28" s="5">
        <f>5000*12*25</f>
        <v>1500000</v>
      </c>
      <c r="BF28" s="2" t="s">
        <v>83</v>
      </c>
      <c r="BG28" s="5">
        <f>6000*12*25</f>
        <v>1800000</v>
      </c>
    </row>
    <row r="29" spans="1:62" x14ac:dyDescent="0.3">
      <c r="AA29" s="2" t="s">
        <v>84</v>
      </c>
      <c r="AB29" s="5">
        <f>AF26</f>
        <v>0</v>
      </c>
      <c r="BF29" s="2" t="s">
        <v>84</v>
      </c>
      <c r="BG29" s="5">
        <f>BK26</f>
        <v>0</v>
      </c>
    </row>
    <row r="30" spans="1:62" x14ac:dyDescent="0.3">
      <c r="AA30" s="2" t="s">
        <v>85</v>
      </c>
      <c r="AB30" s="5">
        <f>AB28-AB29</f>
        <v>1500000</v>
      </c>
      <c r="BF30" s="2" t="s">
        <v>85</v>
      </c>
      <c r="BG30" s="5">
        <f>BG28-BG29</f>
        <v>1800000</v>
      </c>
    </row>
    <row r="31" spans="1:62" x14ac:dyDescent="0.3">
      <c r="AA31" s="2" t="s">
        <v>86</v>
      </c>
      <c r="AB31" s="5">
        <f>AB30/12</f>
        <v>125000</v>
      </c>
      <c r="BF31" s="2" t="s">
        <v>88</v>
      </c>
      <c r="BG31" s="5">
        <f>BG30/12</f>
        <v>150000</v>
      </c>
    </row>
    <row r="32" spans="1:62" x14ac:dyDescent="0.3">
      <c r="D32" t="s">
        <v>52</v>
      </c>
      <c r="AI32" t="s">
        <v>52</v>
      </c>
      <c r="AJ32" t="s">
        <v>66</v>
      </c>
    </row>
    <row r="33" spans="1:62" x14ac:dyDescent="0.3">
      <c r="D33" t="s">
        <v>14</v>
      </c>
      <c r="AI33" t="s">
        <v>14</v>
      </c>
    </row>
    <row r="34" spans="1:62" x14ac:dyDescent="0.3">
      <c r="D34" t="s">
        <v>80</v>
      </c>
      <c r="AI34" t="s">
        <v>80</v>
      </c>
    </row>
    <row r="35" spans="1:62" x14ac:dyDescent="0.3">
      <c r="D35" t="s">
        <v>15</v>
      </c>
      <c r="E35" t="s">
        <v>16</v>
      </c>
      <c r="F35" t="s">
        <v>17</v>
      </c>
      <c r="G35" t="s">
        <v>18</v>
      </c>
      <c r="H35" t="s">
        <v>19</v>
      </c>
      <c r="I35" t="s">
        <v>20</v>
      </c>
      <c r="J35" t="s">
        <v>21</v>
      </c>
      <c r="K35" t="s">
        <v>22</v>
      </c>
      <c r="L35" t="s">
        <v>23</v>
      </c>
      <c r="M35" t="s">
        <v>24</v>
      </c>
      <c r="N35" t="s">
        <v>25</v>
      </c>
      <c r="O35" t="s">
        <v>26</v>
      </c>
      <c r="P35" t="s">
        <v>27</v>
      </c>
      <c r="Q35" t="s">
        <v>28</v>
      </c>
      <c r="R35" t="s">
        <v>29</v>
      </c>
      <c r="S35" t="s">
        <v>30</v>
      </c>
      <c r="T35" t="s">
        <v>31</v>
      </c>
      <c r="U35" t="s">
        <v>32</v>
      </c>
      <c r="V35" t="s">
        <v>33</v>
      </c>
      <c r="W35" t="s">
        <v>34</v>
      </c>
      <c r="X35" t="s">
        <v>35</v>
      </c>
      <c r="Y35" t="s">
        <v>36</v>
      </c>
      <c r="Z35" t="s">
        <v>37</v>
      </c>
      <c r="AA35" t="s">
        <v>38</v>
      </c>
      <c r="AB35" t="s">
        <v>39</v>
      </c>
      <c r="AC35" t="s">
        <v>67</v>
      </c>
      <c r="AD35" t="s">
        <v>68</v>
      </c>
      <c r="AE35" t="s">
        <v>69</v>
      </c>
      <c r="AI35" t="s">
        <v>15</v>
      </c>
      <c r="AJ35" t="s">
        <v>16</v>
      </c>
      <c r="AK35" t="s">
        <v>17</v>
      </c>
      <c r="AL35" t="s">
        <v>18</v>
      </c>
      <c r="AM35" t="s">
        <v>19</v>
      </c>
      <c r="AN35" t="s">
        <v>20</v>
      </c>
      <c r="AO35" t="s">
        <v>21</v>
      </c>
      <c r="AP35" t="s">
        <v>22</v>
      </c>
      <c r="AQ35" t="s">
        <v>23</v>
      </c>
      <c r="AR35" t="s">
        <v>24</v>
      </c>
      <c r="AS35" t="s">
        <v>25</v>
      </c>
      <c r="AT35" t="s">
        <v>26</v>
      </c>
      <c r="AU35" t="s">
        <v>27</v>
      </c>
      <c r="AV35" t="s">
        <v>28</v>
      </c>
      <c r="AW35" t="s">
        <v>29</v>
      </c>
      <c r="AX35" t="s">
        <v>30</v>
      </c>
      <c r="AY35" t="s">
        <v>31</v>
      </c>
      <c r="AZ35" t="s">
        <v>32</v>
      </c>
      <c r="BA35" t="s">
        <v>33</v>
      </c>
      <c r="BB35" t="s">
        <v>34</v>
      </c>
      <c r="BC35" t="s">
        <v>35</v>
      </c>
      <c r="BD35" t="s">
        <v>36</v>
      </c>
      <c r="BE35" t="s">
        <v>37</v>
      </c>
      <c r="BF35" t="s">
        <v>38</v>
      </c>
      <c r="BG35" t="s">
        <v>39</v>
      </c>
      <c r="BH35" t="s">
        <v>67</v>
      </c>
      <c r="BI35" t="s">
        <v>68</v>
      </c>
      <c r="BJ35" t="s">
        <v>69</v>
      </c>
    </row>
    <row r="36" spans="1:62" x14ac:dyDescent="0.3">
      <c r="D36">
        <v>0</v>
      </c>
      <c r="AI36">
        <v>0</v>
      </c>
    </row>
    <row r="37" spans="1:62" x14ac:dyDescent="0.3">
      <c r="D37">
        <f t="shared" ref="D37:D48" si="52">(D36+5000)*1.00328-(0.00146*(D36+5000))</f>
        <v>5009.0999999999995</v>
      </c>
      <c r="E37">
        <f>(D48+5000)*1.00328-(0.00146*(D48+5000))</f>
        <v>65834.158851112938</v>
      </c>
      <c r="F37">
        <f>(E48+5000)*1.00328-(0.00146*(E48+5000))</f>
        <v>128001.01546725408</v>
      </c>
      <c r="G37">
        <f>(F48+5000)*1.00328-(0.00146*(F48+5000))</f>
        <v>191539.26984020713</v>
      </c>
      <c r="H37">
        <f>(G48+5000)*1.00328-(0.00125*(G48+5000))</f>
        <v>256585.6615426311</v>
      </c>
      <c r="I37">
        <f>(H48+5000)*1.00328-(0.00125*(H48+5000))</f>
        <v>323703.97155763803</v>
      </c>
      <c r="J37">
        <f>(I48+5000)*1.00328-(0.00125*(I48+5000))</f>
        <v>392475.66249246168</v>
      </c>
      <c r="K37">
        <f>(J48+5000)*1.00328-(0.00125*(J48+5000))</f>
        <v>462941.46344867506</v>
      </c>
      <c r="L37">
        <f>(K48+5000)*1.00328-(0.00104*(K48+5000))</f>
        <v>535800.5689631172</v>
      </c>
      <c r="M37">
        <f>(L48+5000)*1.00328-(0.00125*(L48+5000))</f>
        <v>611134.39367913886</v>
      </c>
      <c r="N37">
        <f>(M48+5000)*1.00328-(0.00104*(M48+5000))</f>
        <v>688380.13415027433</v>
      </c>
      <c r="O37">
        <f>(N48+5000)*1.00328-(0.00104*(N48+5000))</f>
        <v>767994.28348307428</v>
      </c>
      <c r="P37">
        <f>(O48+5000)*1.00328-(0.00104*(O48+5000))</f>
        <v>849775.02415453375</v>
      </c>
      <c r="Q37">
        <f>(P48+5000)*1.00328-(0.00104*(P48+5000))</f>
        <v>933781.31701606058</v>
      </c>
      <c r="R37">
        <f>(Q48+5000)*1.00328-(0.000833*(Q48+5000))</f>
        <v>1020702.7996142596</v>
      </c>
      <c r="S37">
        <f>(R48+5000)*1.00328-(0.000833*(R48+5000))</f>
        <v>1112044.3472453395</v>
      </c>
      <c r="T37">
        <f>(S48+5000)*1.00328-(0.000833*(S48+5000))</f>
        <v>1206104.4419048133</v>
      </c>
      <c r="U37">
        <f t="shared" ref="U37:AE37" si="53">(T48+5000)*1.00328-(0.00125*(T48+5000))</f>
        <v>1302421.984488633</v>
      </c>
      <c r="V37">
        <f t="shared" si="53"/>
        <v>1395303.2468369692</v>
      </c>
      <c r="W37">
        <f t="shared" si="53"/>
        <v>1490472.53024753</v>
      </c>
      <c r="X37">
        <f t="shared" si="53"/>
        <v>1587986.197438142</v>
      </c>
      <c r="Y37">
        <f t="shared" si="53"/>
        <v>1687901.9995561419</v>
      </c>
      <c r="Z37">
        <f t="shared" si="53"/>
        <v>1790279.1103807101</v>
      </c>
      <c r="AA37">
        <f t="shared" si="53"/>
        <v>1895178.1613677391</v>
      </c>
      <c r="AB37">
        <f t="shared" si="53"/>
        <v>2002661.2775579893</v>
      </c>
      <c r="AC37">
        <f t="shared" si="53"/>
        <v>2112792.1143698059</v>
      </c>
      <c r="AD37">
        <f t="shared" si="53"/>
        <v>2225635.8952981741</v>
      </c>
      <c r="AE37">
        <f t="shared" si="53"/>
        <v>2341259.4505424518</v>
      </c>
      <c r="AI37">
        <f t="shared" ref="AI37:AI48" si="54">(AI36+5000)*1.00328-0</f>
        <v>5016.3999999999996</v>
      </c>
      <c r="AJ37">
        <f t="shared" ref="AJ37:BJ37" si="55">(AI48+5000)*1.00328-0</f>
        <v>66512.158066508549</v>
      </c>
      <c r="AK37">
        <f t="shared" si="55"/>
        <v>130472.53545358813</v>
      </c>
      <c r="AL37">
        <f t="shared" si="55"/>
        <v>196996.30886692242</v>
      </c>
      <c r="AM37">
        <f t="shared" si="55"/>
        <v>266186.21377268381</v>
      </c>
      <c r="AN37">
        <f t="shared" si="55"/>
        <v>338149.10305624205</v>
      </c>
      <c r="AO37">
        <f t="shared" si="55"/>
        <v>412996.11203957797</v>
      </c>
      <c r="AP37">
        <f t="shared" si="55"/>
        <v>490842.8301122429</v>
      </c>
      <c r="AQ37">
        <f t="shared" si="55"/>
        <v>571809.47924092377</v>
      </c>
      <c r="AR37">
        <f t="shared" si="55"/>
        <v>656021.09963329101</v>
      </c>
      <c r="AS37">
        <f t="shared" si="55"/>
        <v>743607.7428428604</v>
      </c>
      <c r="AT37">
        <f t="shared" si="55"/>
        <v>834704.67261308653</v>
      </c>
      <c r="AU37">
        <f t="shared" si="55"/>
        <v>929452.57377086091</v>
      </c>
      <c r="AV37">
        <f t="shared" si="55"/>
        <v>1027997.7694920173</v>
      </c>
      <c r="AW37">
        <f t="shared" si="55"/>
        <v>1130492.4472743778</v>
      </c>
      <c r="AX37">
        <f t="shared" si="55"/>
        <v>1237094.8939673177</v>
      </c>
      <c r="AY37">
        <f t="shared" si="55"/>
        <v>1347969.7402208161</v>
      </c>
      <c r="AZ37">
        <f t="shared" si="55"/>
        <v>1463288.2147315051</v>
      </c>
      <c r="BA37">
        <f t="shared" si="55"/>
        <v>1583228.4086783612</v>
      </c>
      <c r="BB37">
        <f t="shared" si="55"/>
        <v>1707975.5507564165</v>
      </c>
      <c r="BC37">
        <f t="shared" si="55"/>
        <v>1837722.2932332354</v>
      </c>
      <c r="BD37">
        <f t="shared" si="55"/>
        <v>1972669.0094699301</v>
      </c>
      <c r="BE37">
        <f t="shared" si="55"/>
        <v>2113024.1033661845</v>
      </c>
      <c r="BF37">
        <f t="shared" si="55"/>
        <v>2259004.3312071757</v>
      </c>
      <c r="BG37">
        <f t="shared" si="55"/>
        <v>2410835.1364094405</v>
      </c>
      <c r="BH37">
        <f t="shared" si="55"/>
        <v>2568750.9976826408</v>
      </c>
      <c r="BI37">
        <f t="shared" si="55"/>
        <v>2732995.7911449135</v>
      </c>
      <c r="BJ37">
        <f t="shared" si="55"/>
        <v>2903823.1669510365</v>
      </c>
    </row>
    <row r="38" spans="1:62" x14ac:dyDescent="0.3">
      <c r="D38">
        <f t="shared" si="52"/>
        <v>10027.316561999998</v>
      </c>
      <c r="E38">
        <f t="shared" ref="E38:E47" si="56">(E37+5000)*1.00328-(0.00146*(E37+5000))</f>
        <v>70963.077020221972</v>
      </c>
      <c r="F38">
        <f t="shared" ref="F38:F47" si="57">(F37+5000)*1.00328-(0.00146*(F37+5000))</f>
        <v>133243.07731540452</v>
      </c>
      <c r="G38">
        <f t="shared" ref="G38:G47" si="58">(G37+5000)*1.00328-(0.00146*(G37+5000))</f>
        <v>196896.9713113163</v>
      </c>
      <c r="H38">
        <f t="shared" ref="H38:K43" si="59">(H37+5000)*1.00328-(0.00125*(H37+5000))</f>
        <v>262116.68043556265</v>
      </c>
      <c r="I38">
        <f t="shared" si="59"/>
        <v>329371.2406199</v>
      </c>
      <c r="J38">
        <f t="shared" si="59"/>
        <v>398282.53808732139</v>
      </c>
      <c r="K38">
        <f t="shared" si="59"/>
        <v>468891.38461947587</v>
      </c>
      <c r="L38">
        <f t="shared" ref="L38:L48" si="60">(L37+5000)*1.00328-(0.00104*(L37+5000))</f>
        <v>542011.96223759453</v>
      </c>
      <c r="M38">
        <f>(M37+5000)*1.00328-(0.00125*(M37+5000))</f>
        <v>617385.14649830747</v>
      </c>
      <c r="N38">
        <f t="shared" ref="N38:N46" si="61">(N37+5000)*1.00328-(0.00104*(N37+5000))</f>
        <v>694933.3056507709</v>
      </c>
      <c r="O38">
        <f t="shared" ref="O38:O46" si="62">(O37+5000)*1.00328-(0.00104*(O37+5000))</f>
        <v>774725.79067807633</v>
      </c>
      <c r="P38">
        <f t="shared" ref="P38:P46" si="63">(P37+5000)*1.00328-(0.00104*(P37+5000))</f>
        <v>856689.72020863986</v>
      </c>
      <c r="Q38">
        <f t="shared" ref="Q38:Q46" si="64">(Q37+5000)*1.00328-(0.00104*(Q37+5000))</f>
        <v>940884.1871661765</v>
      </c>
      <c r="R38">
        <f t="shared" ref="R38:R48" si="65">(R37+5000)*1.00328-(0.000833*(R37+5000))</f>
        <v>1028212.6943649157</v>
      </c>
      <c r="S38">
        <f t="shared" ref="S38:S48" si="66">(S37+5000)*1.00328-(0.000833*(S37+5000))</f>
        <v>1119777.7547630488</v>
      </c>
      <c r="T38">
        <f t="shared" ref="T38:T48" si="67">(T37+5000)*1.00328-(0.000833*(T37+5000))</f>
        <v>1214068.0144741542</v>
      </c>
      <c r="U38">
        <f t="shared" ref="U38:U48" si="68">(U37+5000)*1.00328-(0.00125*(U37+5000))</f>
        <v>1310076.0511171448</v>
      </c>
      <c r="V38">
        <f t="shared" ref="V38:V48" si="69">(V37+5000)*1.00328-(0.00125*(V37+5000))</f>
        <v>1403145.8624280482</v>
      </c>
      <c r="W38">
        <f t="shared" ref="W38:W48" si="70">(W37+5000)*1.00328-(0.00125*(W37+5000))</f>
        <v>1498508.3394839324</v>
      </c>
      <c r="X38">
        <f t="shared" ref="X38:X48" si="71">(X37+5000)*1.00328-(0.00125*(X37+5000))</f>
        <v>1596219.9594189415</v>
      </c>
      <c r="Y38">
        <f t="shared" ref="Y38:Y48" si="72">(Y37+5000)*1.00328-(0.00125*(Y37+5000))</f>
        <v>1696338.5906152409</v>
      </c>
      <c r="Z38">
        <f t="shared" ref="Z38:Z48" si="73">(Z37+5000)*1.00328-(0.00125*(Z37+5000))</f>
        <v>1798923.526974783</v>
      </c>
      <c r="AA38">
        <f t="shared" ref="AA38:AA48" si="74">(AA37+5000)*1.00328-(0.00125*(AA37+5000))</f>
        <v>1904035.5230353156</v>
      </c>
      <c r="AB38">
        <f t="shared" ref="AB38:AB48" si="75">(AB37+5000)*1.00328-(0.00125*(AB37+5000))</f>
        <v>2011736.8299514321</v>
      </c>
      <c r="AC38">
        <f t="shared" ref="AC38:AC48" si="76">(AC37+5000)*1.00328-(0.00125*(AC37+5000))</f>
        <v>2122091.2323619765</v>
      </c>
      <c r="AD38">
        <f t="shared" ref="AD38:AD48" si="77">(AD37+5000)*1.00328-(0.00125*(AD37+5000))</f>
        <v>2235164.0861656293</v>
      </c>
      <c r="AE38">
        <f t="shared" ref="AE38:AE48" si="78">(AE37+5000)*1.00328-(0.00125*(AE37+5000))</f>
        <v>2351022.3572270526</v>
      </c>
      <c r="AI38">
        <f t="shared" si="54"/>
        <v>10049.253792</v>
      </c>
      <c r="AJ38">
        <f t="shared" ref="AJ38:AJ48" si="79">(AJ37+5000)*1.00328-0</f>
        <v>71746.717944966687</v>
      </c>
      <c r="AK38">
        <f t="shared" ref="AK38:AK48" si="80">(AK37+5000)*1.00328-0</f>
        <v>135916.88536987588</v>
      </c>
      <c r="AL38">
        <f t="shared" ref="AL38:AL48" si="81">(AL37+5000)*1.00328-0</f>
        <v>202658.85676000593</v>
      </c>
      <c r="AM38">
        <f t="shared" ref="AM38:AM48" si="82">(AM37+5000)*1.00328-0</f>
        <v>272075.7045538582</v>
      </c>
      <c r="AN38">
        <f t="shared" ref="AN38:AN48" si="83">(AN37+5000)*1.00328-0</f>
        <v>344274.63211426651</v>
      </c>
      <c r="AO38">
        <f t="shared" ref="AO38:AO48" si="84">(AO37+5000)*1.00328-0</f>
        <v>419367.13928706775</v>
      </c>
      <c r="AP38">
        <f t="shared" ref="AP38:AP48" si="85">(AP37+5000)*1.00328-0</f>
        <v>497469.19459501101</v>
      </c>
      <c r="AQ38">
        <f t="shared" ref="AQ38:AQ48" si="86">(AQ37+5000)*1.00328-0</f>
        <v>578701.41433283396</v>
      </c>
      <c r="AR38">
        <f t="shared" ref="AR38:AR48" si="87">(AR37+5000)*1.00328-0</f>
        <v>663189.24884008814</v>
      </c>
      <c r="AS38">
        <f t="shared" ref="AS38:AS48" si="88">(AS37+5000)*1.00328-0</f>
        <v>751063.17623938492</v>
      </c>
      <c r="AT38">
        <f t="shared" ref="AT38:AT48" si="89">(AT37+5000)*1.00328-0</f>
        <v>842458.90393925738</v>
      </c>
      <c r="AU38">
        <f t="shared" ref="AU38:AU48" si="90">(AU37+5000)*1.00328-0</f>
        <v>937517.57821282931</v>
      </c>
      <c r="AV38">
        <f t="shared" ref="AV38:AV48" si="91">(AV37+5000)*1.00328-0</f>
        <v>1036386.0021759511</v>
      </c>
      <c r="AW38">
        <f t="shared" ref="AW38:AW48" si="92">(AW37+5000)*1.00328-0</f>
        <v>1139216.8625014378</v>
      </c>
      <c r="AX38">
        <f t="shared" ref="AX38:AX48" si="93">(AX37+5000)*1.00328-0</f>
        <v>1246168.9652195303</v>
      </c>
      <c r="AY38">
        <f t="shared" ref="AY38:AY48" si="94">(AY37+5000)*1.00328-0</f>
        <v>1357407.4809687403</v>
      </c>
      <c r="AZ38">
        <f t="shared" ref="AZ38:AZ48" si="95">(AZ37+5000)*1.00328-0</f>
        <v>1473104.2000758245</v>
      </c>
      <c r="BA38">
        <f t="shared" ref="BA38:BA48" si="96">(BA37+5000)*1.00328-0</f>
        <v>1593437.7978588261</v>
      </c>
      <c r="BB38">
        <f t="shared" ref="BB38:BB48" si="97">(BB37+5000)*1.00328-0</f>
        <v>1718594.1105628975</v>
      </c>
      <c r="BC38">
        <f t="shared" ref="BC38:BC48" si="98">(BC37+5000)*1.00328-0</f>
        <v>1848766.4223550402</v>
      </c>
      <c r="BD38">
        <f t="shared" ref="BD38:BD48" si="99">(BD37+5000)*1.00328-0</f>
        <v>1984155.7638209914</v>
      </c>
      <c r="BE38">
        <f t="shared" ref="BE38:BE48" si="100">(BE37+5000)*1.00328-0</f>
        <v>2124971.2224252257</v>
      </c>
      <c r="BF38">
        <f t="shared" ref="BF38:BF48" si="101">(BF37+5000)*1.00328-0</f>
        <v>2271430.2654135353</v>
      </c>
      <c r="BG38">
        <f t="shared" ref="BG38:BG48" si="102">(BG37+5000)*1.00328-0</f>
        <v>2423759.0756568634</v>
      </c>
      <c r="BH38">
        <f t="shared" ref="BH38:BH48" si="103">(BH37+5000)*1.00328-0</f>
        <v>2582192.9009550395</v>
      </c>
      <c r="BI38">
        <f t="shared" ref="BI38:BI48" si="104">(BI37+5000)*1.00328-0</f>
        <v>2746976.4173398688</v>
      </c>
      <c r="BJ38">
        <f t="shared" ref="BJ38:BJ48" si="105">(BJ37+5000)*1.00328-0</f>
        <v>2918364.1069386359</v>
      </c>
    </row>
    <row r="39" spans="1:62" x14ac:dyDescent="0.3">
      <c r="A39">
        <f>0.0175/12</f>
        <v>1.4583333333333334E-3</v>
      </c>
      <c r="B39">
        <v>1.75</v>
      </c>
      <c r="D39">
        <f t="shared" si="52"/>
        <v>15054.666278142837</v>
      </c>
      <c r="E39">
        <f t="shared" si="56"/>
        <v>76101.329820398765</v>
      </c>
      <c r="F39">
        <f t="shared" si="57"/>
        <v>138494.67971611855</v>
      </c>
      <c r="G39">
        <f t="shared" si="58"/>
        <v>202264.42379910289</v>
      </c>
      <c r="H39">
        <f t="shared" si="59"/>
        <v>267658.92729684681</v>
      </c>
      <c r="I39">
        <f t="shared" si="59"/>
        <v>335050.01423835836</v>
      </c>
      <c r="J39">
        <f t="shared" si="59"/>
        <v>404101.20163963863</v>
      </c>
      <c r="K39">
        <f t="shared" si="59"/>
        <v>474853.3841302534</v>
      </c>
      <c r="L39">
        <f t="shared" si="60"/>
        <v>548237.26903300674</v>
      </c>
      <c r="M39">
        <f>(M38+5000)*1.00328-(0.00125*(M38+5000))</f>
        <v>623648.58834569901</v>
      </c>
      <c r="N39">
        <f t="shared" si="61"/>
        <v>701501.15625542856</v>
      </c>
      <c r="O39">
        <f t="shared" si="62"/>
        <v>781472.3764491952</v>
      </c>
      <c r="P39">
        <f t="shared" si="63"/>
        <v>863619.90518190712</v>
      </c>
      <c r="Q39">
        <f t="shared" si="64"/>
        <v>948002.96774542867</v>
      </c>
      <c r="R39">
        <f t="shared" si="65"/>
        <v>1035740.9658280266</v>
      </c>
      <c r="S39">
        <f t="shared" si="66"/>
        <v>1127530.085928954</v>
      </c>
      <c r="T39">
        <f t="shared" si="67"/>
        <v>1222051.0739055725</v>
      </c>
      <c r="U39">
        <f t="shared" si="68"/>
        <v>1317745.6555009126</v>
      </c>
      <c r="V39">
        <f t="shared" si="69"/>
        <v>1411004.3985287771</v>
      </c>
      <c r="W39">
        <f t="shared" si="70"/>
        <v>1506560.4614130848</v>
      </c>
      <c r="X39">
        <f t="shared" si="71"/>
        <v>1604470.4359365618</v>
      </c>
      <c r="Y39">
        <f t="shared" si="72"/>
        <v>1704792.3079541896</v>
      </c>
      <c r="Z39">
        <f t="shared" si="73"/>
        <v>1807585.4917345417</v>
      </c>
      <c r="AA39">
        <f t="shared" si="74"/>
        <v>1912910.865147077</v>
      </c>
      <c r="AB39">
        <f t="shared" si="75"/>
        <v>2020830.8057162333</v>
      </c>
      <c r="AC39">
        <f t="shared" si="76"/>
        <v>2131409.2275636713</v>
      </c>
      <c r="AD39">
        <f t="shared" si="77"/>
        <v>2244711.6192605454</v>
      </c>
      <c r="AE39">
        <f t="shared" si="78"/>
        <v>2360805.0826122235</v>
      </c>
      <c r="AI39">
        <f t="shared" si="54"/>
        <v>15098.61534443776</v>
      </c>
      <c r="AJ39">
        <f t="shared" si="79"/>
        <v>76998.44717982618</v>
      </c>
      <c r="AK39">
        <f t="shared" si="80"/>
        <v>141379.09275388907</v>
      </c>
      <c r="AL39">
        <f t="shared" si="81"/>
        <v>208339.97781017874</v>
      </c>
      <c r="AM39">
        <f t="shared" si="82"/>
        <v>277984.51286479481</v>
      </c>
      <c r="AN39">
        <f t="shared" si="83"/>
        <v>350420.2529076013</v>
      </c>
      <c r="AO39">
        <f t="shared" si="84"/>
        <v>425759.0635039293</v>
      </c>
      <c r="AP39">
        <f t="shared" si="85"/>
        <v>504117.29355328262</v>
      </c>
      <c r="AQ39">
        <f t="shared" si="86"/>
        <v>585615.95497184561</v>
      </c>
      <c r="AR39">
        <f t="shared" si="87"/>
        <v>670380.90957628365</v>
      </c>
      <c r="AS39">
        <f t="shared" si="88"/>
        <v>758543.06345745001</v>
      </c>
      <c r="AT39">
        <f t="shared" si="89"/>
        <v>850238.56914417807</v>
      </c>
      <c r="AU39">
        <f t="shared" si="90"/>
        <v>945609.0358693673</v>
      </c>
      <c r="AV39">
        <f t="shared" si="91"/>
        <v>1044801.7482630882</v>
      </c>
      <c r="AW39">
        <f t="shared" si="92"/>
        <v>1147969.8938104424</v>
      </c>
      <c r="AX39">
        <f t="shared" si="93"/>
        <v>1255272.7994254504</v>
      </c>
      <c r="AY39">
        <f t="shared" si="94"/>
        <v>1366876.1775063176</v>
      </c>
      <c r="AZ39">
        <f t="shared" si="95"/>
        <v>1482952.3818520731</v>
      </c>
      <c r="BA39">
        <f t="shared" si="96"/>
        <v>1603680.6738358031</v>
      </c>
      <c r="BB39">
        <f t="shared" si="97"/>
        <v>1729247.4992455437</v>
      </c>
      <c r="BC39">
        <f t="shared" si="98"/>
        <v>1859846.7762203647</v>
      </c>
      <c r="BD39">
        <f t="shared" si="99"/>
        <v>1995680.1947263242</v>
      </c>
      <c r="BE39">
        <f t="shared" si="100"/>
        <v>2136957.5280347802</v>
      </c>
      <c r="BF39">
        <f t="shared" si="101"/>
        <v>2283896.9566840916</v>
      </c>
      <c r="BG39">
        <f t="shared" si="102"/>
        <v>2436725.4054250177</v>
      </c>
      <c r="BH39">
        <f t="shared" si="103"/>
        <v>2595678.893670172</v>
      </c>
      <c r="BI39">
        <f t="shared" si="104"/>
        <v>2761002.8999887435</v>
      </c>
      <c r="BJ39">
        <f t="shared" si="105"/>
        <v>2932952.7412093943</v>
      </c>
    </row>
    <row r="40" spans="1:62" x14ac:dyDescent="0.3">
      <c r="A40">
        <f>0.015/12</f>
        <v>1.25E-3</v>
      </c>
      <c r="B40">
        <v>1.5</v>
      </c>
      <c r="D40">
        <f t="shared" si="52"/>
        <v>20091.165770769057</v>
      </c>
      <c r="E40">
        <f t="shared" si="56"/>
        <v>81248.934240671893</v>
      </c>
      <c r="F40">
        <f t="shared" si="57"/>
        <v>143755.84003320188</v>
      </c>
      <c r="G40">
        <f t="shared" si="58"/>
        <v>207641.64505041725</v>
      </c>
      <c r="H40">
        <f t="shared" si="59"/>
        <v>273212.42491925939</v>
      </c>
      <c r="I40">
        <f t="shared" si="59"/>
        <v>340740.31576726225</v>
      </c>
      <c r="J40">
        <f t="shared" si="59"/>
        <v>409931.67707896704</v>
      </c>
      <c r="K40">
        <f t="shared" si="59"/>
        <v>480827.48650003778</v>
      </c>
      <c r="L40">
        <f t="shared" si="60"/>
        <v>554476.52051564073</v>
      </c>
      <c r="M40">
        <f t="shared" ref="M40:M48" si="106">(M39+5000)*1.00328-(0.00104*(M39+5000))</f>
        <v>630056.76118359342</v>
      </c>
      <c r="N40">
        <f t="shared" si="61"/>
        <v>708083.71884544066</v>
      </c>
      <c r="O40">
        <f t="shared" si="62"/>
        <v>788234.0745724414</v>
      </c>
      <c r="P40">
        <f t="shared" si="63"/>
        <v>870565.61376951449</v>
      </c>
      <c r="Q40">
        <f t="shared" si="64"/>
        <v>955137.69439317833</v>
      </c>
      <c r="R40">
        <f t="shared" si="65"/>
        <v>1043287.6589714078</v>
      </c>
      <c r="S40">
        <f t="shared" si="66"/>
        <v>1135301.3870492221</v>
      </c>
      <c r="T40">
        <f t="shared" si="67"/>
        <v>1230053.6678834194</v>
      </c>
      <c r="U40">
        <f t="shared" si="68"/>
        <v>1325430.8291815794</v>
      </c>
      <c r="V40">
        <f t="shared" si="69"/>
        <v>1418878.8874577903</v>
      </c>
      <c r="W40">
        <f t="shared" si="70"/>
        <v>1514628.9291497532</v>
      </c>
      <c r="X40">
        <f t="shared" si="71"/>
        <v>1612737.6609215129</v>
      </c>
      <c r="Y40">
        <f t="shared" si="72"/>
        <v>1713263.1863393364</v>
      </c>
      <c r="Z40">
        <f t="shared" si="73"/>
        <v>1816265.0402827628</v>
      </c>
      <c r="AA40">
        <f t="shared" si="74"/>
        <v>1921804.2242033256</v>
      </c>
      <c r="AB40">
        <f t="shared" si="75"/>
        <v>2029943.2422518372</v>
      </c>
      <c r="AC40">
        <f t="shared" si="76"/>
        <v>2140746.1382956253</v>
      </c>
      <c r="AD40">
        <f t="shared" si="77"/>
        <v>2254278.533847644</v>
      </c>
      <c r="AE40">
        <f t="shared" si="78"/>
        <v>2370607.6669299263</v>
      </c>
      <c r="AI40">
        <f t="shared" si="54"/>
        <v>20164.538802767514</v>
      </c>
      <c r="AJ40">
        <f t="shared" si="79"/>
        <v>82267.40208657601</v>
      </c>
      <c r="AK40">
        <f t="shared" si="80"/>
        <v>146859.21617812183</v>
      </c>
      <c r="AL40">
        <f t="shared" si="81"/>
        <v>214039.73293739613</v>
      </c>
      <c r="AM40">
        <f t="shared" si="82"/>
        <v>283912.7020669913</v>
      </c>
      <c r="AN40">
        <f t="shared" si="83"/>
        <v>356586.03133713821</v>
      </c>
      <c r="AO40">
        <f t="shared" si="84"/>
        <v>432171.95323222218</v>
      </c>
      <c r="AP40">
        <f t="shared" si="85"/>
        <v>510787.19827613735</v>
      </c>
      <c r="AQ40">
        <f t="shared" si="86"/>
        <v>592553.17530415324</v>
      </c>
      <c r="AR40">
        <f t="shared" si="87"/>
        <v>677596.15895969386</v>
      </c>
      <c r="AS40">
        <f t="shared" si="88"/>
        <v>766047.48470559041</v>
      </c>
      <c r="AT40">
        <f t="shared" si="89"/>
        <v>858043.75165097089</v>
      </c>
      <c r="AU40">
        <f t="shared" si="90"/>
        <v>953727.03350701882</v>
      </c>
      <c r="AV40">
        <f t="shared" si="91"/>
        <v>1053245.0979973909</v>
      </c>
      <c r="AW40">
        <f t="shared" si="92"/>
        <v>1156751.6350621406</v>
      </c>
      <c r="AX40">
        <f t="shared" si="93"/>
        <v>1264406.4942075659</v>
      </c>
      <c r="AY40">
        <f t="shared" si="94"/>
        <v>1376375.9313685382</v>
      </c>
      <c r="AZ40">
        <f t="shared" si="95"/>
        <v>1492832.8656645478</v>
      </c>
      <c r="BA40">
        <f t="shared" si="96"/>
        <v>1613957.1464459845</v>
      </c>
      <c r="BB40">
        <f t="shared" si="97"/>
        <v>1739935.831043069</v>
      </c>
      <c r="BC40">
        <f t="shared" si="98"/>
        <v>1870963.4736463674</v>
      </c>
      <c r="BD40">
        <f t="shared" si="99"/>
        <v>2007242.4257650264</v>
      </c>
      <c r="BE40">
        <f t="shared" si="100"/>
        <v>2148983.1487267343</v>
      </c>
      <c r="BF40">
        <f t="shared" si="101"/>
        <v>2296404.5387020153</v>
      </c>
      <c r="BG40">
        <f t="shared" si="102"/>
        <v>2449734.2647548118</v>
      </c>
      <c r="BH40">
        <f t="shared" si="103"/>
        <v>2609209.1204414102</v>
      </c>
      <c r="BI40">
        <f t="shared" si="104"/>
        <v>2775075.3895007065</v>
      </c>
      <c r="BJ40">
        <f t="shared" si="105"/>
        <v>2947589.226200561</v>
      </c>
    </row>
    <row r="41" spans="1:62" x14ac:dyDescent="0.3">
      <c r="A41">
        <f>0.0125/12</f>
        <v>1.0416666666666667E-3</v>
      </c>
      <c r="B41">
        <v>1.25</v>
      </c>
      <c r="D41">
        <f t="shared" si="52"/>
        <v>25136.831692471857</v>
      </c>
      <c r="E41">
        <f t="shared" si="56"/>
        <v>86405.907300989915</v>
      </c>
      <c r="F41">
        <f t="shared" si="57"/>
        <v>149026.5756620623</v>
      </c>
      <c r="G41">
        <f t="shared" si="58"/>
        <v>213028.65284440902</v>
      </c>
      <c r="H41">
        <f t="shared" si="59"/>
        <v>278777.19614184549</v>
      </c>
      <c r="I41">
        <f t="shared" si="59"/>
        <v>346442.16860826977</v>
      </c>
      <c r="J41">
        <f t="shared" si="59"/>
        <v>415773.98838343733</v>
      </c>
      <c r="K41">
        <f t="shared" si="59"/>
        <v>486813.71629763284</v>
      </c>
      <c r="L41">
        <f t="shared" si="60"/>
        <v>560729.7479215957</v>
      </c>
      <c r="M41">
        <f t="shared" si="106"/>
        <v>636479.2883286447</v>
      </c>
      <c r="N41">
        <f t="shared" si="61"/>
        <v>714681.02637565439</v>
      </c>
      <c r="O41">
        <f t="shared" si="62"/>
        <v>795010.91889948363</v>
      </c>
      <c r="P41">
        <f t="shared" si="63"/>
        <v>877526.88074435818</v>
      </c>
      <c r="Q41">
        <f t="shared" si="64"/>
        <v>962288.402828619</v>
      </c>
      <c r="R41">
        <f t="shared" si="65"/>
        <v>1050852.8188729107</v>
      </c>
      <c r="S41">
        <f t="shared" si="66"/>
        <v>1143091.7045433314</v>
      </c>
      <c r="T41">
        <f t="shared" si="67"/>
        <v>1238075.8442087302</v>
      </c>
      <c r="U41">
        <f t="shared" si="68"/>
        <v>1333131.603764818</v>
      </c>
      <c r="V41">
        <f t="shared" si="69"/>
        <v>1426769.3615993296</v>
      </c>
      <c r="W41">
        <f t="shared" si="70"/>
        <v>1522713.7758759272</v>
      </c>
      <c r="X41">
        <f t="shared" si="71"/>
        <v>1621021.6683731833</v>
      </c>
      <c r="Y41">
        <f t="shared" si="72"/>
        <v>1721751.2606076053</v>
      </c>
      <c r="Z41">
        <f t="shared" si="73"/>
        <v>1824962.2083145368</v>
      </c>
      <c r="AA41">
        <f t="shared" si="74"/>
        <v>1930715.6367784583</v>
      </c>
      <c r="AB41">
        <f t="shared" si="75"/>
        <v>2039074.1770336083</v>
      </c>
      <c r="AC41">
        <f t="shared" si="76"/>
        <v>2150102.0029563652</v>
      </c>
      <c r="AD41">
        <f t="shared" si="77"/>
        <v>2263864.8692713547</v>
      </c>
      <c r="AE41">
        <f t="shared" si="78"/>
        <v>2380430.1504937941</v>
      </c>
      <c r="AI41">
        <f t="shared" si="54"/>
        <v>25247.078490040589</v>
      </c>
      <c r="AJ41">
        <f t="shared" si="79"/>
        <v>87553.639165419969</v>
      </c>
      <c r="AK41">
        <f t="shared" si="80"/>
        <v>152357.31440718606</v>
      </c>
      <c r="AL41">
        <f t="shared" si="81"/>
        <v>219758.18326143076</v>
      </c>
      <c r="AM41">
        <f t="shared" si="82"/>
        <v>289860.335729771</v>
      </c>
      <c r="AN41">
        <f t="shared" si="83"/>
        <v>362772.03351992398</v>
      </c>
      <c r="AO41">
        <f t="shared" si="84"/>
        <v>438605.87723882386</v>
      </c>
      <c r="AP41">
        <f t="shared" si="85"/>
        <v>517478.98028648307</v>
      </c>
      <c r="AQ41">
        <f t="shared" si="86"/>
        <v>599513.14971915085</v>
      </c>
      <c r="AR41">
        <f t="shared" si="87"/>
        <v>684835.07436108158</v>
      </c>
      <c r="AS41">
        <f t="shared" si="88"/>
        <v>773576.52045542467</v>
      </c>
      <c r="AT41">
        <f t="shared" si="89"/>
        <v>865874.53515638609</v>
      </c>
      <c r="AU41">
        <f t="shared" si="90"/>
        <v>961871.65817692177</v>
      </c>
      <c r="AV41">
        <f t="shared" si="91"/>
        <v>1061716.1419188222</v>
      </c>
      <c r="AW41">
        <f t="shared" si="92"/>
        <v>1165562.1804251445</v>
      </c>
      <c r="AX41">
        <f t="shared" si="93"/>
        <v>1273570.1475085667</v>
      </c>
      <c r="AY41">
        <f t="shared" si="94"/>
        <v>1385906.844423427</v>
      </c>
      <c r="AZ41">
        <f t="shared" si="95"/>
        <v>1502745.7574639274</v>
      </c>
      <c r="BA41">
        <f t="shared" si="96"/>
        <v>1624267.3258863273</v>
      </c>
      <c r="BB41">
        <f t="shared" si="97"/>
        <v>1750659.2205688902</v>
      </c>
      <c r="BC41">
        <f t="shared" si="98"/>
        <v>1882116.6338399274</v>
      </c>
      <c r="BD41">
        <f t="shared" si="99"/>
        <v>2018842.5809215356</v>
      </c>
      <c r="BE41">
        <f t="shared" si="100"/>
        <v>2161048.213454558</v>
      </c>
      <c r="BF41">
        <f t="shared" si="101"/>
        <v>2308953.1455889577</v>
      </c>
      <c r="BG41">
        <f t="shared" si="102"/>
        <v>2462785.7931432072</v>
      </c>
      <c r="BH41">
        <f t="shared" si="103"/>
        <v>2622783.7263564579</v>
      </c>
      <c r="BI41">
        <f t="shared" si="104"/>
        <v>2789194.0367782684</v>
      </c>
      <c r="BJ41">
        <f t="shared" si="105"/>
        <v>2962273.7188624986</v>
      </c>
    </row>
    <row r="42" spans="1:62" x14ac:dyDescent="0.3">
      <c r="A42">
        <f>0.01/12</f>
        <v>8.3333333333333339E-4</v>
      </c>
      <c r="B42">
        <v>1</v>
      </c>
      <c r="D42">
        <f t="shared" si="52"/>
        <v>30191.680726152154</v>
      </c>
      <c r="E42">
        <f t="shared" si="56"/>
        <v>91572.266052277715</v>
      </c>
      <c r="F42">
        <f t="shared" si="57"/>
        <v>154306.90402976726</v>
      </c>
      <c r="G42">
        <f t="shared" si="58"/>
        <v>218425.46499258582</v>
      </c>
      <c r="H42">
        <f t="shared" si="59"/>
        <v>284353.26385001343</v>
      </c>
      <c r="I42">
        <f t="shared" si="59"/>
        <v>352155.59621054458</v>
      </c>
      <c r="J42">
        <f t="shared" si="59"/>
        <v>421628.15957985568</v>
      </c>
      <c r="K42">
        <f t="shared" si="59"/>
        <v>492812.09814171697</v>
      </c>
      <c r="L42">
        <f t="shared" si="60"/>
        <v>566996.98255694006</v>
      </c>
      <c r="M42">
        <f t="shared" si="106"/>
        <v>642916.20193450083</v>
      </c>
      <c r="N42">
        <f t="shared" si="61"/>
        <v>721293.1118747358</v>
      </c>
      <c r="O42">
        <f t="shared" si="62"/>
        <v>801802.94335781841</v>
      </c>
      <c r="P42">
        <f t="shared" si="63"/>
        <v>884503.74095722544</v>
      </c>
      <c r="Q42">
        <f t="shared" si="64"/>
        <v>969455.12885095505</v>
      </c>
      <c r="R42">
        <f t="shared" si="65"/>
        <v>1058436.4907206926</v>
      </c>
      <c r="S42">
        <f t="shared" si="66"/>
        <v>1150901.084944349</v>
      </c>
      <c r="T42">
        <f t="shared" si="67"/>
        <v>1246117.6507995089</v>
      </c>
      <c r="U42">
        <f t="shared" si="68"/>
        <v>1340848.0109204606</v>
      </c>
      <c r="V42">
        <f t="shared" si="69"/>
        <v>1434675.8534033762</v>
      </c>
      <c r="W42">
        <f t="shared" si="70"/>
        <v>1530815.0348409552</v>
      </c>
      <c r="X42">
        <f t="shared" si="71"/>
        <v>1629322.4923599807</v>
      </c>
      <c r="Y42">
        <f t="shared" si="72"/>
        <v>1730256.5656666385</v>
      </c>
      <c r="Z42">
        <f t="shared" si="73"/>
        <v>1833677.0315974152</v>
      </c>
      <c r="AA42">
        <f t="shared" si="74"/>
        <v>1939645.1395211185</v>
      </c>
      <c r="AB42">
        <f t="shared" si="75"/>
        <v>2048223.6476129864</v>
      </c>
      <c r="AC42">
        <f t="shared" si="76"/>
        <v>2159476.8600223665</v>
      </c>
      <c r="AD42">
        <f t="shared" si="77"/>
        <v>2273470.6649559755</v>
      </c>
      <c r="AE42">
        <f t="shared" si="78"/>
        <v>2390272.573699296</v>
      </c>
      <c r="AI42">
        <f t="shared" si="54"/>
        <v>30346.28890748792</v>
      </c>
      <c r="AJ42">
        <f t="shared" si="79"/>
        <v>92857.215101882539</v>
      </c>
      <c r="AK42">
        <f t="shared" si="80"/>
        <v>157873.44639844162</v>
      </c>
      <c r="AL42">
        <f t="shared" si="81"/>
        <v>225495.39010252824</v>
      </c>
      <c r="AM42">
        <f t="shared" si="82"/>
        <v>295827.47763096465</v>
      </c>
      <c r="AN42">
        <f t="shared" si="83"/>
        <v>368978.3257898693</v>
      </c>
      <c r="AO42">
        <f t="shared" si="84"/>
        <v>445060.90451616718</v>
      </c>
      <c r="AP42">
        <f t="shared" si="85"/>
        <v>524192.71134182269</v>
      </c>
      <c r="AQ42">
        <f t="shared" si="86"/>
        <v>606495.95285022969</v>
      </c>
      <c r="AR42">
        <f t="shared" si="87"/>
        <v>692097.73340498586</v>
      </c>
      <c r="AS42">
        <f t="shared" si="88"/>
        <v>781130.25144251843</v>
      </c>
      <c r="AT42">
        <f t="shared" si="89"/>
        <v>873731.00363169902</v>
      </c>
      <c r="AU42">
        <f t="shared" si="90"/>
        <v>970042.99721574201</v>
      </c>
      <c r="AV42">
        <f t="shared" si="91"/>
        <v>1070214.970864316</v>
      </c>
      <c r="AW42">
        <f t="shared" si="92"/>
        <v>1174401.6243769389</v>
      </c>
      <c r="AX42">
        <f t="shared" si="93"/>
        <v>1282763.8575923948</v>
      </c>
      <c r="AY42">
        <f t="shared" si="94"/>
        <v>1395469.0188731358</v>
      </c>
      <c r="AZ42">
        <f t="shared" si="95"/>
        <v>1512691.163548409</v>
      </c>
      <c r="BA42">
        <f t="shared" si="96"/>
        <v>1634611.3227152345</v>
      </c>
      <c r="BB42">
        <f t="shared" si="97"/>
        <v>1761417.782812356</v>
      </c>
      <c r="BC42">
        <f t="shared" si="98"/>
        <v>1893306.3763989222</v>
      </c>
      <c r="BD42">
        <f t="shared" si="99"/>
        <v>2030480.7845869581</v>
      </c>
      <c r="BE42">
        <f t="shared" si="100"/>
        <v>2173152.8515946888</v>
      </c>
      <c r="BF42">
        <f t="shared" si="101"/>
        <v>2321542.9119064892</v>
      </c>
      <c r="BG42">
        <f t="shared" si="102"/>
        <v>2475880.130544717</v>
      </c>
      <c r="BH42">
        <f t="shared" si="103"/>
        <v>2636402.8569789068</v>
      </c>
      <c r="BI42">
        <f t="shared" si="104"/>
        <v>2803358.9932189011</v>
      </c>
      <c r="BJ42">
        <f t="shared" si="105"/>
        <v>2977006.3766603675</v>
      </c>
    </row>
    <row r="43" spans="1:62" x14ac:dyDescent="0.3">
      <c r="D43">
        <f t="shared" si="52"/>
        <v>35255.72958507375</v>
      </c>
      <c r="E43">
        <f t="shared" si="56"/>
        <v>96748.027576492852</v>
      </c>
      <c r="F43">
        <f t="shared" si="57"/>
        <v>159596.84259510142</v>
      </c>
      <c r="G43">
        <f t="shared" si="58"/>
        <v>223832.09933887233</v>
      </c>
      <c r="H43">
        <f t="shared" si="59"/>
        <v>289940.65097562899</v>
      </c>
      <c r="I43">
        <f t="shared" si="59"/>
        <v>357880.62207085197</v>
      </c>
      <c r="J43">
        <f t="shared" si="59"/>
        <v>427494.21474380273</v>
      </c>
      <c r="K43">
        <f t="shared" si="59"/>
        <v>498822.65670094464</v>
      </c>
      <c r="L43">
        <f t="shared" si="60"/>
        <v>573278.25579786755</v>
      </c>
      <c r="M43">
        <f t="shared" si="106"/>
        <v>649367.53422683408</v>
      </c>
      <c r="N43">
        <f t="shared" si="61"/>
        <v>727920.0084453352</v>
      </c>
      <c r="O43">
        <f t="shared" si="62"/>
        <v>808610.18195093982</v>
      </c>
      <c r="P43">
        <f t="shared" si="63"/>
        <v>891496.22933696967</v>
      </c>
      <c r="Q43">
        <f t="shared" si="64"/>
        <v>976637.90833958122</v>
      </c>
      <c r="R43">
        <f t="shared" si="65"/>
        <v>1066038.7198134861</v>
      </c>
      <c r="S43">
        <f t="shared" si="66"/>
        <v>1158729.5748992078</v>
      </c>
      <c r="T43">
        <f t="shared" si="67"/>
        <v>1254179.135691015</v>
      </c>
      <c r="U43">
        <f t="shared" si="68"/>
        <v>1348580.0823826289</v>
      </c>
      <c r="V43">
        <f t="shared" si="69"/>
        <v>1442598.395385785</v>
      </c>
      <c r="W43">
        <f t="shared" si="70"/>
        <v>1538932.7393616822</v>
      </c>
      <c r="X43">
        <f t="shared" si="71"/>
        <v>1637640.1670194715</v>
      </c>
      <c r="Y43">
        <f t="shared" si="72"/>
        <v>1738779.1364949418</v>
      </c>
      <c r="Z43">
        <f t="shared" si="73"/>
        <v>1842409.5459715577</v>
      </c>
      <c r="AA43">
        <f t="shared" si="74"/>
        <v>1948592.7691543461</v>
      </c>
      <c r="AB43">
        <f t="shared" si="75"/>
        <v>2057391.6916176404</v>
      </c>
      <c r="AC43">
        <f t="shared" si="76"/>
        <v>2168870.7480482114</v>
      </c>
      <c r="AD43">
        <f t="shared" si="77"/>
        <v>2283095.9604058359</v>
      </c>
      <c r="AE43">
        <f t="shared" si="78"/>
        <v>2400134.9770239051</v>
      </c>
      <c r="AI43">
        <f t="shared" si="54"/>
        <v>35462.224735104479</v>
      </c>
      <c r="AJ43">
        <f t="shared" si="79"/>
        <v>98178.186767416715</v>
      </c>
      <c r="AK43">
        <f t="shared" si="80"/>
        <v>163407.6713026285</v>
      </c>
      <c r="AL43">
        <f t="shared" si="81"/>
        <v>231251.41498206451</v>
      </c>
      <c r="AM43">
        <f t="shared" si="82"/>
        <v>301814.19175759418</v>
      </c>
      <c r="AN43">
        <f t="shared" si="83"/>
        <v>375204.97469846008</v>
      </c>
      <c r="AO43">
        <f t="shared" si="84"/>
        <v>451537.1042829802</v>
      </c>
      <c r="AP43">
        <f t="shared" si="85"/>
        <v>530928.46343502391</v>
      </c>
      <c r="AQ43">
        <f t="shared" si="86"/>
        <v>613501.65957557841</v>
      </c>
      <c r="AR43">
        <f t="shared" si="87"/>
        <v>699384.21397055418</v>
      </c>
      <c r="AS43">
        <f t="shared" si="88"/>
        <v>788708.75866724981</v>
      </c>
      <c r="AT43">
        <f t="shared" si="89"/>
        <v>881613.241323611</v>
      </c>
      <c r="AU43">
        <f t="shared" si="90"/>
        <v>978241.1382466096</v>
      </c>
      <c r="AV43">
        <f t="shared" si="91"/>
        <v>1078741.6759687508</v>
      </c>
      <c r="AW43">
        <f t="shared" si="92"/>
        <v>1183270.0617048952</v>
      </c>
      <c r="AX43">
        <f t="shared" si="93"/>
        <v>1291987.7230452979</v>
      </c>
      <c r="AY43">
        <f t="shared" si="94"/>
        <v>1405062.5572550397</v>
      </c>
      <c r="AZ43">
        <f t="shared" si="95"/>
        <v>1522669.1905648478</v>
      </c>
      <c r="BA43">
        <f t="shared" si="96"/>
        <v>1644989.2478537404</v>
      </c>
      <c r="BB43">
        <f t="shared" si="97"/>
        <v>1772211.6331399805</v>
      </c>
      <c r="BC43">
        <f t="shared" si="98"/>
        <v>1904532.8213135106</v>
      </c>
      <c r="BD43">
        <f t="shared" si="99"/>
        <v>2042157.1615604032</v>
      </c>
      <c r="BE43">
        <f t="shared" si="100"/>
        <v>2185297.1929479195</v>
      </c>
      <c r="BF43">
        <f t="shared" si="101"/>
        <v>2334173.9726575422</v>
      </c>
      <c r="BG43">
        <f t="shared" si="102"/>
        <v>2489017.4173729033</v>
      </c>
      <c r="BH43">
        <f t="shared" si="103"/>
        <v>2650066.6583497976</v>
      </c>
      <c r="BI43">
        <f t="shared" si="104"/>
        <v>2817570.4107166589</v>
      </c>
      <c r="BJ43">
        <f t="shared" si="105"/>
        <v>2991787.3575758133</v>
      </c>
    </row>
    <row r="44" spans="1:62" x14ac:dyDescent="0.3">
      <c r="D44">
        <f t="shared" si="52"/>
        <v>40328.995012918582</v>
      </c>
      <c r="E44">
        <f t="shared" si="56"/>
        <v>101933.20898668206</v>
      </c>
      <c r="F44">
        <f t="shared" si="57"/>
        <v>164896.4088486245</v>
      </c>
      <c r="G44">
        <f t="shared" si="58"/>
        <v>229248.57375966909</v>
      </c>
      <c r="H44">
        <f t="shared" ref="H44:J48" si="107">(H43+5000)*1.00328-(0.00125*(H43+5000))</f>
        <v>295539.38049710949</v>
      </c>
      <c r="I44">
        <f t="shared" si="107"/>
        <v>363617.26973365579</v>
      </c>
      <c r="J44">
        <f t="shared" si="107"/>
        <v>433372.17799973267</v>
      </c>
      <c r="K44">
        <f>(K43+5000)*1.00328-(0.00104*(K43+5000))</f>
        <v>504951.2194519547</v>
      </c>
      <c r="L44">
        <f t="shared" si="60"/>
        <v>579573.59909085475</v>
      </c>
      <c r="M44">
        <f t="shared" si="106"/>
        <v>655833.31750350224</v>
      </c>
      <c r="N44">
        <f t="shared" si="61"/>
        <v>734561.74926425272</v>
      </c>
      <c r="O44">
        <f t="shared" si="62"/>
        <v>815432.6687585098</v>
      </c>
      <c r="P44">
        <f t="shared" si="63"/>
        <v>898504.38089068444</v>
      </c>
      <c r="Q44">
        <f t="shared" si="64"/>
        <v>983836.77725426189</v>
      </c>
      <c r="R44">
        <f t="shared" si="65"/>
        <v>1073659.5515608697</v>
      </c>
      <c r="S44">
        <f t="shared" si="66"/>
        <v>1166577.2211689861</v>
      </c>
      <c r="T44">
        <f t="shared" si="67"/>
        <v>1262260.3470360509</v>
      </c>
      <c r="U44">
        <f t="shared" si="68"/>
        <v>1356327.8499498656</v>
      </c>
      <c r="V44">
        <f t="shared" si="69"/>
        <v>1450537.020128418</v>
      </c>
      <c r="W44">
        <f t="shared" si="70"/>
        <v>1547066.9228225863</v>
      </c>
      <c r="X44">
        <f t="shared" si="71"/>
        <v>1645974.7265585209</v>
      </c>
      <c r="Y44">
        <f t="shared" si="72"/>
        <v>1747319.0081420264</v>
      </c>
      <c r="Z44">
        <f t="shared" si="73"/>
        <v>1851159.7873498797</v>
      </c>
      <c r="AA44">
        <f t="shared" si="74"/>
        <v>1957558.5624757293</v>
      </c>
      <c r="AB44">
        <f t="shared" si="75"/>
        <v>2066578.346751624</v>
      </c>
      <c r="AC44">
        <f t="shared" si="76"/>
        <v>2178283.7056667493</v>
      </c>
      <c r="AD44">
        <f t="shared" si="77"/>
        <v>2292740.7952054595</v>
      </c>
      <c r="AE44">
        <f t="shared" si="78"/>
        <v>2410017.4010272631</v>
      </c>
      <c r="AI44">
        <f t="shared" si="54"/>
        <v>40594.940832235618</v>
      </c>
      <c r="AJ44">
        <f t="shared" si="79"/>
        <v>103516.61122001383</v>
      </c>
      <c r="AK44">
        <f t="shared" si="80"/>
        <v>168960.0484645011</v>
      </c>
      <c r="AL44">
        <f t="shared" si="81"/>
        <v>237026.31962320567</v>
      </c>
      <c r="AM44">
        <f t="shared" si="82"/>
        <v>307820.54230655904</v>
      </c>
      <c r="AN44">
        <f t="shared" si="83"/>
        <v>381452.04701547103</v>
      </c>
      <c r="AO44">
        <f t="shared" si="84"/>
        <v>458034.54598502838</v>
      </c>
      <c r="AP44">
        <f t="shared" si="85"/>
        <v>537686.30879509076</v>
      </c>
      <c r="AQ44">
        <f t="shared" si="86"/>
        <v>620530.34501898626</v>
      </c>
      <c r="AR44">
        <f t="shared" si="87"/>
        <v>706694.59419237752</v>
      </c>
      <c r="AS44">
        <f t="shared" si="88"/>
        <v>796312.12339567835</v>
      </c>
      <c r="AT44">
        <f t="shared" si="89"/>
        <v>889521.33275515237</v>
      </c>
      <c r="AU44">
        <f t="shared" si="90"/>
        <v>986466.16918005841</v>
      </c>
      <c r="AV44">
        <f t="shared" si="91"/>
        <v>1087296.3486659282</v>
      </c>
      <c r="AW44">
        <f t="shared" si="92"/>
        <v>1192167.5875072873</v>
      </c>
      <c r="AX44">
        <f t="shared" si="93"/>
        <v>1301241.8427768864</v>
      </c>
      <c r="AY44">
        <f t="shared" si="94"/>
        <v>1414687.5624428361</v>
      </c>
      <c r="AZ44">
        <f t="shared" si="95"/>
        <v>1532679.9455099003</v>
      </c>
      <c r="BA44">
        <f t="shared" si="96"/>
        <v>1655401.2125867005</v>
      </c>
      <c r="BB44">
        <f t="shared" si="97"/>
        <v>1783040.8872966794</v>
      </c>
      <c r="BC44">
        <f t="shared" si="98"/>
        <v>1915796.0889674188</v>
      </c>
      <c r="BD44">
        <f t="shared" si="99"/>
        <v>2053871.8370503213</v>
      </c>
      <c r="BE44">
        <f t="shared" si="100"/>
        <v>2197481.3677407885</v>
      </c>
      <c r="BF44">
        <f t="shared" si="101"/>
        <v>2346846.4632878588</v>
      </c>
      <c r="BG44">
        <f t="shared" si="102"/>
        <v>2502197.7945018862</v>
      </c>
      <c r="BH44">
        <f t="shared" si="103"/>
        <v>2663775.2769891848</v>
      </c>
      <c r="BI44">
        <f t="shared" si="104"/>
        <v>2831828.4416638096</v>
      </c>
      <c r="BJ44">
        <f t="shared" si="105"/>
        <v>3006616.8201086619</v>
      </c>
    </row>
    <row r="45" spans="1:62" x14ac:dyDescent="0.3">
      <c r="D45">
        <f t="shared" si="52"/>
        <v>45411.493783842088</v>
      </c>
      <c r="E45">
        <f t="shared" si="56"/>
        <v>107127.82742703782</v>
      </c>
      <c r="F45">
        <f t="shared" si="57"/>
        <v>170205.62031272901</v>
      </c>
      <c r="G45">
        <f t="shared" si="58"/>
        <v>234674.90616391166</v>
      </c>
      <c r="H45">
        <f t="shared" si="107"/>
        <v>301149.47543951863</v>
      </c>
      <c r="I45">
        <f t="shared" si="107"/>
        <v>369365.56279121514</v>
      </c>
      <c r="J45">
        <f t="shared" si="107"/>
        <v>439262.0735210721</v>
      </c>
      <c r="K45">
        <f>(K44+5000)*1.00328-(0.00104*(K44+5000))</f>
        <v>511093.51018352708</v>
      </c>
      <c r="L45">
        <f t="shared" si="60"/>
        <v>585883.04395281826</v>
      </c>
      <c r="M45">
        <f t="shared" si="106"/>
        <v>662313.58413471014</v>
      </c>
      <c r="N45">
        <f t="shared" si="61"/>
        <v>741218.36758260464</v>
      </c>
      <c r="O45">
        <f t="shared" si="62"/>
        <v>822270.43793652882</v>
      </c>
      <c r="P45">
        <f t="shared" si="63"/>
        <v>905528.2307038795</v>
      </c>
      <c r="Q45">
        <f t="shared" si="64"/>
        <v>991051.77163531142</v>
      </c>
      <c r="R45">
        <f t="shared" si="65"/>
        <v>1081299.0314835391</v>
      </c>
      <c r="S45">
        <f t="shared" si="66"/>
        <v>1174444.0706291865</v>
      </c>
      <c r="T45">
        <f t="shared" si="67"/>
        <v>1270361.3331052482</v>
      </c>
      <c r="U45">
        <f t="shared" si="68"/>
        <v>1364091.3454852637</v>
      </c>
      <c r="V45">
        <f t="shared" si="69"/>
        <v>1458491.7602792787</v>
      </c>
      <c r="W45">
        <f t="shared" si="70"/>
        <v>1555217.618675916</v>
      </c>
      <c r="X45">
        <f t="shared" si="71"/>
        <v>1654326.2052534346</v>
      </c>
      <c r="Y45">
        <f t="shared" si="72"/>
        <v>1755876.2157285546</v>
      </c>
      <c r="Z45">
        <f t="shared" si="73"/>
        <v>1859927.7917181998</v>
      </c>
      <c r="AA45">
        <f t="shared" si="74"/>
        <v>1966542.5563575549</v>
      </c>
      <c r="AB45">
        <f t="shared" si="75"/>
        <v>2075783.6507955296</v>
      </c>
      <c r="AC45">
        <f t="shared" si="76"/>
        <v>2187715.7715892526</v>
      </c>
      <c r="AD45">
        <f t="shared" si="77"/>
        <v>2302405.2090197261</v>
      </c>
      <c r="AE45">
        <f t="shared" si="78"/>
        <v>2419919.8863513484</v>
      </c>
      <c r="AI45">
        <f t="shared" si="54"/>
        <v>45744.492238165345</v>
      </c>
      <c r="AJ45">
        <f t="shared" si="79"/>
        <v>108872.54570481546</v>
      </c>
      <c r="AK45">
        <f t="shared" si="80"/>
        <v>174530.63742346465</v>
      </c>
      <c r="AL45">
        <f t="shared" si="81"/>
        <v>242820.16595156977</v>
      </c>
      <c r="AM45">
        <f t="shared" si="82"/>
        <v>313846.59368532454</v>
      </c>
      <c r="AN45">
        <f t="shared" si="83"/>
        <v>387719.60972968175</v>
      </c>
      <c r="AO45">
        <f t="shared" si="84"/>
        <v>464553.29929585924</v>
      </c>
      <c r="AP45">
        <f t="shared" si="85"/>
        <v>544466.31988793868</v>
      </c>
      <c r="AQ45">
        <f t="shared" si="86"/>
        <v>627582.08455064846</v>
      </c>
      <c r="AR45">
        <f t="shared" si="87"/>
        <v>714028.95246132847</v>
      </c>
      <c r="AS45">
        <f t="shared" si="88"/>
        <v>803940.42716041615</v>
      </c>
      <c r="AT45">
        <f t="shared" si="89"/>
        <v>897455.3627265892</v>
      </c>
      <c r="AU45">
        <f t="shared" si="90"/>
        <v>994718.178214969</v>
      </c>
      <c r="AV45">
        <f t="shared" si="91"/>
        <v>1095879.0806895525</v>
      </c>
      <c r="AW45">
        <f t="shared" si="92"/>
        <v>1201094.2971943112</v>
      </c>
      <c r="AX45">
        <f t="shared" si="93"/>
        <v>1310526.3160211944</v>
      </c>
      <c r="AY45">
        <f t="shared" si="94"/>
        <v>1424344.1376476486</v>
      </c>
      <c r="AZ45">
        <f t="shared" si="95"/>
        <v>1542723.5357311727</v>
      </c>
      <c r="BA45">
        <f t="shared" si="96"/>
        <v>1665847.3285639847</v>
      </c>
      <c r="BB45">
        <f t="shared" si="97"/>
        <v>1793905.6614070125</v>
      </c>
      <c r="BC45">
        <f t="shared" si="98"/>
        <v>1927096.3001392318</v>
      </c>
      <c r="BD45">
        <f t="shared" si="99"/>
        <v>2065624.9366758463</v>
      </c>
      <c r="BE45">
        <f t="shared" si="100"/>
        <v>2209705.5066269781</v>
      </c>
      <c r="BF45">
        <f t="shared" si="101"/>
        <v>2359560.519687443</v>
      </c>
      <c r="BG45">
        <f t="shared" si="102"/>
        <v>2515421.4032678525</v>
      </c>
      <c r="BH45">
        <f t="shared" si="103"/>
        <v>2677528.859897709</v>
      </c>
      <c r="BI45">
        <f t="shared" si="104"/>
        <v>2846133.2389524668</v>
      </c>
      <c r="BJ45">
        <f t="shared" si="105"/>
        <v>3021494.9232786181</v>
      </c>
    </row>
    <row r="46" spans="1:62" x14ac:dyDescent="0.3">
      <c r="D46">
        <f t="shared" si="52"/>
        <v>50503.242702528674</v>
      </c>
      <c r="E46">
        <f t="shared" si="56"/>
        <v>112331.90007295502</v>
      </c>
      <c r="F46">
        <f t="shared" si="57"/>
        <v>175524.49454169816</v>
      </c>
      <c r="G46">
        <f t="shared" si="58"/>
        <v>240111.11449312995</v>
      </c>
      <c r="H46">
        <f t="shared" si="107"/>
        <v>306770.95887466089</v>
      </c>
      <c r="I46">
        <f t="shared" si="107"/>
        <v>375125.52488368127</v>
      </c>
      <c r="J46">
        <f t="shared" si="107"/>
        <v>445163.92553031986</v>
      </c>
      <c r="K46">
        <f>(K45+5000)*1.00328-(0.00104*(K45+5000))</f>
        <v>517249.55964633817</v>
      </c>
      <c r="L46">
        <f t="shared" si="60"/>
        <v>592206.62197127251</v>
      </c>
      <c r="M46">
        <f t="shared" si="106"/>
        <v>668808.36656317185</v>
      </c>
      <c r="N46">
        <f t="shared" si="61"/>
        <v>747889.89672598965</v>
      </c>
      <c r="O46">
        <f t="shared" si="62"/>
        <v>829123.52371750656</v>
      </c>
      <c r="P46">
        <f t="shared" si="63"/>
        <v>912567.81394065614</v>
      </c>
      <c r="Q46">
        <f t="shared" si="64"/>
        <v>998282.92760377447</v>
      </c>
      <c r="R46">
        <f t="shared" si="65"/>
        <v>1088957.2052135793</v>
      </c>
      <c r="S46">
        <f t="shared" si="66"/>
        <v>1182330.170270016</v>
      </c>
      <c r="T46">
        <f t="shared" si="67"/>
        <v>1278482.1422873565</v>
      </c>
      <c r="U46">
        <f t="shared" si="68"/>
        <v>1371870.6009165987</v>
      </c>
      <c r="V46">
        <f t="shared" si="69"/>
        <v>1466462.6485526457</v>
      </c>
      <c r="W46">
        <f t="shared" si="70"/>
        <v>1563384.8604418281</v>
      </c>
      <c r="X46">
        <f t="shared" si="71"/>
        <v>1662694.637450099</v>
      </c>
      <c r="Y46">
        <f t="shared" si="72"/>
        <v>1764450.7944464835</v>
      </c>
      <c r="Z46">
        <f t="shared" si="73"/>
        <v>1868713.5951353877</v>
      </c>
      <c r="AA46">
        <f t="shared" si="74"/>
        <v>1975544.7877469605</v>
      </c>
      <c r="AB46">
        <f t="shared" si="75"/>
        <v>2085007.6416066445</v>
      </c>
      <c r="AC46">
        <f t="shared" si="76"/>
        <v>2197166.9846055787</v>
      </c>
      <c r="AD46">
        <f t="shared" si="77"/>
        <v>2312089.2415940361</v>
      </c>
      <c r="AE46">
        <f t="shared" si="78"/>
        <v>2429842.4737206413</v>
      </c>
      <c r="AI46">
        <f t="shared" si="54"/>
        <v>50910.934172706526</v>
      </c>
      <c r="AJ46">
        <f t="shared" si="79"/>
        <v>114246.04765472726</v>
      </c>
      <c r="AK46">
        <f t="shared" si="80"/>
        <v>180119.4979142136</v>
      </c>
      <c r="AL46">
        <f t="shared" si="81"/>
        <v>248633.0160958909</v>
      </c>
      <c r="AM46">
        <f t="shared" si="82"/>
        <v>319892.41051261238</v>
      </c>
      <c r="AN46">
        <f t="shared" si="83"/>
        <v>394007.73004959506</v>
      </c>
      <c r="AO46">
        <f t="shared" si="84"/>
        <v>471093.43411754962</v>
      </c>
      <c r="AP46">
        <f t="shared" si="85"/>
        <v>551268.56941717106</v>
      </c>
      <c r="AQ46">
        <f t="shared" si="86"/>
        <v>634656.95378797455</v>
      </c>
      <c r="AR46">
        <f t="shared" si="87"/>
        <v>721387.36742540158</v>
      </c>
      <c r="AS46">
        <f t="shared" si="88"/>
        <v>811593.75176150224</v>
      </c>
      <c r="AT46">
        <f t="shared" si="89"/>
        <v>905415.41631633241</v>
      </c>
      <c r="AU46">
        <f t="shared" si="90"/>
        <v>1002997.2538395141</v>
      </c>
      <c r="AV46">
        <f t="shared" si="91"/>
        <v>1104489.9640742142</v>
      </c>
      <c r="AW46">
        <f t="shared" si="92"/>
        <v>1210050.2864891083</v>
      </c>
      <c r="AX46">
        <f t="shared" si="93"/>
        <v>1319841.242337744</v>
      </c>
      <c r="AY46">
        <f t="shared" si="94"/>
        <v>1434032.3864191328</v>
      </c>
      <c r="AZ46">
        <f t="shared" si="95"/>
        <v>1552800.0689283707</v>
      </c>
      <c r="BA46">
        <f t="shared" si="96"/>
        <v>1676327.7078016745</v>
      </c>
      <c r="BB46">
        <f t="shared" si="97"/>
        <v>1804806.0719764275</v>
      </c>
      <c r="BC46">
        <f t="shared" si="98"/>
        <v>1938433.5760036884</v>
      </c>
      <c r="BD46">
        <f t="shared" si="99"/>
        <v>2077416.5864681429</v>
      </c>
      <c r="BE46">
        <f t="shared" si="100"/>
        <v>2221969.7406887142</v>
      </c>
      <c r="BF46">
        <f t="shared" si="101"/>
        <v>2372316.2781920177</v>
      </c>
      <c r="BG46">
        <f t="shared" si="102"/>
        <v>2528688.385470571</v>
      </c>
      <c r="BH46">
        <f t="shared" si="103"/>
        <v>2691327.5545581733</v>
      </c>
      <c r="BI46">
        <f t="shared" si="104"/>
        <v>2860484.9559762306</v>
      </c>
      <c r="BJ46">
        <f t="shared" si="105"/>
        <v>3036421.8266269718</v>
      </c>
    </row>
    <row r="47" spans="1:62" x14ac:dyDescent="0.3">
      <c r="D47">
        <f t="shared" si="52"/>
        <v>55604.258604247276</v>
      </c>
      <c r="E47">
        <f t="shared" si="56"/>
        <v>117545.44413108779</v>
      </c>
      <c r="F47">
        <f t="shared" si="57"/>
        <v>180853.04912176402</v>
      </c>
      <c r="G47">
        <f t="shared" si="58"/>
        <v>245557.21672150743</v>
      </c>
      <c r="H47">
        <f t="shared" si="107"/>
        <v>312403.85392117646</v>
      </c>
      <c r="I47">
        <f t="shared" si="107"/>
        <v>380897.17969919514</v>
      </c>
      <c r="J47">
        <f t="shared" si="107"/>
        <v>451077.75829914637</v>
      </c>
      <c r="K47">
        <f>(K46+5000)*1.00328-(0.00104*(K46+5000))</f>
        <v>523419.39865994593</v>
      </c>
      <c r="L47">
        <f t="shared" si="60"/>
        <v>598544.36480448814</v>
      </c>
      <c r="M47">
        <f t="shared" si="106"/>
        <v>675317.69730427326</v>
      </c>
      <c r="N47">
        <f t="shared" ref="N47:P48" si="108">(N46+5000)*1.00328-(0.00104*(N46+5000))</f>
        <v>754576.37009465578</v>
      </c>
      <c r="O47">
        <f t="shared" si="108"/>
        <v>835991.96041063371</v>
      </c>
      <c r="P47">
        <f t="shared" si="108"/>
        <v>919623.16584388306</v>
      </c>
      <c r="Q47">
        <f>(Q46+5000)*1.00328-(0.000833*(Q46+5000))</f>
        <v>1005737.9609276209</v>
      </c>
      <c r="R47">
        <f t="shared" si="65"/>
        <v>1096634.118494737</v>
      </c>
      <c r="S47">
        <f t="shared" si="66"/>
        <v>1190235.5671966665</v>
      </c>
      <c r="T47">
        <f t="shared" si="67"/>
        <v>1286622.8230895337</v>
      </c>
      <c r="U47">
        <f t="shared" si="68"/>
        <v>1379665.6482364594</v>
      </c>
      <c r="V47">
        <f t="shared" si="69"/>
        <v>1474449.7177292076</v>
      </c>
      <c r="W47">
        <f t="shared" si="70"/>
        <v>1571568.6817085249</v>
      </c>
      <c r="X47">
        <f t="shared" si="71"/>
        <v>1671080.0575641226</v>
      </c>
      <c r="Y47">
        <f t="shared" si="72"/>
        <v>1773042.7795592097</v>
      </c>
      <c r="Z47">
        <f t="shared" si="73"/>
        <v>1877517.2337335125</v>
      </c>
      <c r="AA47">
        <f t="shared" si="74"/>
        <v>1984565.2936660866</v>
      </c>
      <c r="AB47">
        <f t="shared" si="75"/>
        <v>2094250.357119106</v>
      </c>
      <c r="AC47">
        <f t="shared" si="76"/>
        <v>2206637.383584328</v>
      </c>
      <c r="AD47">
        <f t="shared" si="77"/>
        <v>2321792.9327544719</v>
      </c>
      <c r="AE47">
        <f t="shared" si="78"/>
        <v>2439785.2039422938</v>
      </c>
      <c r="AI47">
        <f t="shared" si="54"/>
        <v>56094.322036792997</v>
      </c>
      <c r="AJ47">
        <f t="shared" si="79"/>
        <v>119637.17469103476</v>
      </c>
      <c r="AK47">
        <f t="shared" si="80"/>
        <v>185726.68986737222</v>
      </c>
      <c r="AL47">
        <f t="shared" si="81"/>
        <v>254464.93238868541</v>
      </c>
      <c r="AM47">
        <f t="shared" si="82"/>
        <v>325958.05761909374</v>
      </c>
      <c r="AN47">
        <f t="shared" si="83"/>
        <v>400316.47540415771</v>
      </c>
      <c r="AO47">
        <f t="shared" si="84"/>
        <v>477655.02058145514</v>
      </c>
      <c r="AP47">
        <f t="shared" si="85"/>
        <v>558093.1303248594</v>
      </c>
      <c r="AQ47">
        <f t="shared" si="86"/>
        <v>641755.02859639912</v>
      </c>
      <c r="AR47">
        <f t="shared" si="87"/>
        <v>728769.9179905568</v>
      </c>
      <c r="AS47">
        <f t="shared" si="88"/>
        <v>819272.17926727992</v>
      </c>
      <c r="AT47">
        <f t="shared" si="89"/>
        <v>913401.57888184988</v>
      </c>
      <c r="AU47">
        <f t="shared" si="90"/>
        <v>1011303.4848321077</v>
      </c>
      <c r="AV47">
        <f t="shared" si="91"/>
        <v>1113129.0911563777</v>
      </c>
      <c r="AW47">
        <f t="shared" si="92"/>
        <v>1219035.6514287926</v>
      </c>
      <c r="AX47">
        <f t="shared" si="93"/>
        <v>1329186.7216126118</v>
      </c>
      <c r="AY47">
        <f t="shared" si="94"/>
        <v>1443752.4126465875</v>
      </c>
      <c r="AZ47">
        <f t="shared" si="95"/>
        <v>1562909.6531544556</v>
      </c>
      <c r="BA47">
        <f t="shared" si="96"/>
        <v>1686842.4626832639</v>
      </c>
      <c r="BB47">
        <f t="shared" si="97"/>
        <v>1815742.23589251</v>
      </c>
      <c r="BC47">
        <f t="shared" si="98"/>
        <v>1949808.0381329805</v>
      </c>
      <c r="BD47">
        <f t="shared" si="99"/>
        <v>2089246.9128717582</v>
      </c>
      <c r="BE47">
        <f t="shared" si="100"/>
        <v>2234274.2014381732</v>
      </c>
      <c r="BF47">
        <f t="shared" si="101"/>
        <v>2385113.8755844873</v>
      </c>
      <c r="BG47">
        <f t="shared" si="102"/>
        <v>2541998.8833749145</v>
      </c>
      <c r="BH47">
        <f t="shared" si="103"/>
        <v>2705171.5089371242</v>
      </c>
      <c r="BI47">
        <f t="shared" si="104"/>
        <v>2874883.7466318323</v>
      </c>
      <c r="BJ47">
        <f t="shared" si="105"/>
        <v>3051397.690218308</v>
      </c>
    </row>
    <row r="48" spans="1:62" x14ac:dyDescent="0.3">
      <c r="D48">
        <f t="shared" si="52"/>
        <v>60714.558354907</v>
      </c>
      <c r="E48">
        <f>(E47+5000)*1.00328-(0.00146*(E47+5000))</f>
        <v>122768.47683940636</v>
      </c>
      <c r="F48">
        <f>(F47+5000)*1.00328-(0.00146*(F47+5000))</f>
        <v>186191.30167116562</v>
      </c>
      <c r="G48">
        <f>(G47+5000)*1.00328-(0.00125*(G47+5000))</f>
        <v>251065.84787145208</v>
      </c>
      <c r="H48">
        <f t="shared" si="107"/>
        <v>318048.18374463642</v>
      </c>
      <c r="I48">
        <f t="shared" si="107"/>
        <v>386680.55097398453</v>
      </c>
      <c r="J48">
        <f t="shared" si="107"/>
        <v>457003.59614849364</v>
      </c>
      <c r="K48">
        <f>(K47+5000)*1.00328-(0.00104*(K47+5000))</f>
        <v>529603.05811294424</v>
      </c>
      <c r="L48">
        <f t="shared" si="60"/>
        <v>604896.30418165016</v>
      </c>
      <c r="M48">
        <f t="shared" si="106"/>
        <v>681841.6089462348</v>
      </c>
      <c r="N48">
        <f t="shared" si="108"/>
        <v>761277.82116366772</v>
      </c>
      <c r="O48">
        <f t="shared" si="108"/>
        <v>842875.78240195347</v>
      </c>
      <c r="P48">
        <f t="shared" si="108"/>
        <v>926694.32173537335</v>
      </c>
      <c r="Q48">
        <f>(Q47+5000)*1.00328-(0.000833*(Q47+5000))</f>
        <v>1013211.2367180107</v>
      </c>
      <c r="R48">
        <f t="shared" si="65"/>
        <v>1104329.8171826936</v>
      </c>
      <c r="S48">
        <f t="shared" si="66"/>
        <v>1198160.3086295966</v>
      </c>
      <c r="T48">
        <f t="shared" si="67"/>
        <v>1294783.4241376338</v>
      </c>
      <c r="U48">
        <f t="shared" si="68"/>
        <v>1387476.5195023792</v>
      </c>
      <c r="V48">
        <f t="shared" si="69"/>
        <v>1482453.0006561978</v>
      </c>
      <c r="W48" s="3">
        <f t="shared" si="70"/>
        <v>1579769.1161323932</v>
      </c>
      <c r="X48">
        <f t="shared" si="71"/>
        <v>1679482.5000809776</v>
      </c>
      <c r="Y48">
        <f t="shared" si="72"/>
        <v>1781652.2064017148</v>
      </c>
      <c r="Z48">
        <f t="shared" si="73"/>
        <v>1886338.7437179915</v>
      </c>
      <c r="AA48">
        <f t="shared" si="74"/>
        <v>1993604.1112122287</v>
      </c>
      <c r="AB48" s="3">
        <f t="shared" si="75"/>
        <v>2103511.8353440575</v>
      </c>
      <c r="AC48">
        <f t="shared" si="76"/>
        <v>2216127.0074730041</v>
      </c>
      <c r="AD48">
        <f t="shared" si="77"/>
        <v>2331516.3224079637</v>
      </c>
      <c r="AE48">
        <f t="shared" si="78"/>
        <v>2449748.1179062966</v>
      </c>
      <c r="AI48">
        <f t="shared" si="54"/>
        <v>61294.711413073674</v>
      </c>
      <c r="AJ48">
        <f t="shared" si="79"/>
        <v>125045.98462402135</v>
      </c>
      <c r="AK48">
        <f t="shared" si="80"/>
        <v>191352.27341013719</v>
      </c>
      <c r="AL48">
        <f t="shared" si="81"/>
        <v>260315.9773669203</v>
      </c>
      <c r="AM48">
        <f t="shared" si="82"/>
        <v>332043.60004808434</v>
      </c>
      <c r="AN48">
        <f t="shared" si="83"/>
        <v>406645.91344348335</v>
      </c>
      <c r="AO48">
        <f t="shared" si="84"/>
        <v>484238.12904896232</v>
      </c>
      <c r="AP48">
        <f t="shared" si="85"/>
        <v>564940.07579232496</v>
      </c>
      <c r="AQ48">
        <f t="shared" si="86"/>
        <v>648876.38509019522</v>
      </c>
      <c r="AR48">
        <f t="shared" si="87"/>
        <v>736176.68332156574</v>
      </c>
      <c r="AS48">
        <f t="shared" si="88"/>
        <v>826975.7920152765</v>
      </c>
      <c r="AT48">
        <f t="shared" si="89"/>
        <v>921413.93606058229</v>
      </c>
      <c r="AU48">
        <f t="shared" si="90"/>
        <v>1019636.9602623569</v>
      </c>
      <c r="AV48">
        <f t="shared" si="91"/>
        <v>1121796.5545753706</v>
      </c>
      <c r="AW48">
        <f t="shared" si="92"/>
        <v>1228050.488365479</v>
      </c>
      <c r="AX48">
        <f t="shared" si="93"/>
        <v>1338562.8540595011</v>
      </c>
      <c r="AY48">
        <f t="shared" si="94"/>
        <v>1453504.3205600681</v>
      </c>
      <c r="AZ48">
        <f t="shared" si="95"/>
        <v>1573052.3968168022</v>
      </c>
      <c r="BA48">
        <f t="shared" si="96"/>
        <v>1697391.7059608649</v>
      </c>
      <c r="BB48" s="3">
        <f t="shared" si="97"/>
        <v>1826714.2704262375</v>
      </c>
      <c r="BC48">
        <f t="shared" si="98"/>
        <v>1961219.8084980566</v>
      </c>
      <c r="BD48">
        <f t="shared" si="99"/>
        <v>2101116.0427459776</v>
      </c>
      <c r="BE48">
        <f t="shared" si="100"/>
        <v>2246619.0208188901</v>
      </c>
      <c r="BF48">
        <f t="shared" si="101"/>
        <v>2397953.4490964045</v>
      </c>
      <c r="BG48" s="3">
        <f t="shared" si="102"/>
        <v>2555353.0397123843</v>
      </c>
      <c r="BH48">
        <f t="shared" si="103"/>
        <v>2719060.871486438</v>
      </c>
      <c r="BI48">
        <f t="shared" si="104"/>
        <v>2889329.7653207844</v>
      </c>
      <c r="BJ48">
        <f t="shared" si="105"/>
        <v>3066422.6746422239</v>
      </c>
    </row>
    <row r="51" spans="1:62" x14ac:dyDescent="0.3">
      <c r="D51" t="s">
        <v>55</v>
      </c>
      <c r="AI51" t="s">
        <v>55</v>
      </c>
      <c r="AJ51" t="s">
        <v>66</v>
      </c>
    </row>
    <row r="52" spans="1:62" x14ac:dyDescent="0.3">
      <c r="D52" t="s">
        <v>56</v>
      </c>
      <c r="AI52" t="s">
        <v>56</v>
      </c>
    </row>
    <row r="53" spans="1:62" x14ac:dyDescent="0.3">
      <c r="D53" t="s">
        <v>80</v>
      </c>
      <c r="AI53" t="s">
        <v>80</v>
      </c>
    </row>
    <row r="54" spans="1:62" x14ac:dyDescent="0.3">
      <c r="D54" t="s">
        <v>15</v>
      </c>
      <c r="E54" t="s">
        <v>16</v>
      </c>
      <c r="F54" t="s">
        <v>17</v>
      </c>
      <c r="G54" t="s">
        <v>18</v>
      </c>
      <c r="H54" t="s">
        <v>19</v>
      </c>
      <c r="I54" t="s">
        <v>20</v>
      </c>
      <c r="J54" t="s">
        <v>21</v>
      </c>
      <c r="K54" t="s">
        <v>22</v>
      </c>
      <c r="L54" t="s">
        <v>23</v>
      </c>
      <c r="M54" t="s">
        <v>24</v>
      </c>
      <c r="N54" t="s">
        <v>25</v>
      </c>
      <c r="O54" t="s">
        <v>26</v>
      </c>
      <c r="P54" t="s">
        <v>27</v>
      </c>
      <c r="Q54" t="s">
        <v>28</v>
      </c>
      <c r="R54" t="s">
        <v>29</v>
      </c>
      <c r="S54" t="s">
        <v>30</v>
      </c>
      <c r="T54" t="s">
        <v>31</v>
      </c>
      <c r="U54" t="s">
        <v>32</v>
      </c>
      <c r="V54" t="s">
        <v>33</v>
      </c>
      <c r="W54" t="s">
        <v>34</v>
      </c>
      <c r="X54" t="s">
        <v>35</v>
      </c>
      <c r="Y54" t="s">
        <v>36</v>
      </c>
      <c r="Z54" t="s">
        <v>37</v>
      </c>
      <c r="AA54" t="s">
        <v>38</v>
      </c>
      <c r="AB54" t="s">
        <v>39</v>
      </c>
      <c r="AC54" t="s">
        <v>67</v>
      </c>
      <c r="AD54" t="s">
        <v>68</v>
      </c>
      <c r="AE54" t="s">
        <v>69</v>
      </c>
      <c r="AI54" t="s">
        <v>15</v>
      </c>
      <c r="AJ54" t="s">
        <v>16</v>
      </c>
      <c r="AK54" t="s">
        <v>17</v>
      </c>
      <c r="AL54" t="s">
        <v>18</v>
      </c>
      <c r="AM54" t="s">
        <v>19</v>
      </c>
      <c r="AN54" t="s">
        <v>20</v>
      </c>
      <c r="AO54" t="s">
        <v>21</v>
      </c>
      <c r="AP54" t="s">
        <v>22</v>
      </c>
      <c r="AQ54" t="s">
        <v>23</v>
      </c>
      <c r="AR54" t="s">
        <v>24</v>
      </c>
      <c r="AS54" t="s">
        <v>25</v>
      </c>
      <c r="AT54" t="s">
        <v>26</v>
      </c>
      <c r="AU54" t="s">
        <v>27</v>
      </c>
      <c r="AV54" t="s">
        <v>28</v>
      </c>
      <c r="AW54" t="s">
        <v>29</v>
      </c>
      <c r="AX54" t="s">
        <v>30</v>
      </c>
      <c r="AY54" t="s">
        <v>31</v>
      </c>
      <c r="AZ54" t="s">
        <v>32</v>
      </c>
      <c r="BA54" t="s">
        <v>33</v>
      </c>
      <c r="BB54" t="s">
        <v>34</v>
      </c>
      <c r="BC54" t="s">
        <v>35</v>
      </c>
      <c r="BD54" t="s">
        <v>36</v>
      </c>
      <c r="BE54" t="s">
        <v>37</v>
      </c>
      <c r="BF54" t="s">
        <v>38</v>
      </c>
      <c r="BG54" t="s">
        <v>39</v>
      </c>
      <c r="BH54" t="s">
        <v>67</v>
      </c>
      <c r="BI54" t="s">
        <v>68</v>
      </c>
      <c r="BJ54" t="s">
        <v>69</v>
      </c>
    </row>
    <row r="55" spans="1:62" x14ac:dyDescent="0.3">
      <c r="D55">
        <v>0</v>
      </c>
      <c r="AI55">
        <v>0</v>
      </c>
    </row>
    <row r="56" spans="1:62" x14ac:dyDescent="0.3">
      <c r="D56">
        <f t="shared" ref="D56:D67" si="109">(D55+5000)*1.00407-(0.00146*(D55+5000))</f>
        <v>5013.05</v>
      </c>
      <c r="E56">
        <f>(D67+5000)*1.00407-(0.00146*(D67+5000))</f>
        <v>66200.037475138015</v>
      </c>
      <c r="F56">
        <f>(E67+5000)*1.00407-(0.00146*(E67+5000))</f>
        <v>129331.1517266569</v>
      </c>
      <c r="G56">
        <f>(F67+5000)*1.00407-(0.00146*(F67+5000))</f>
        <v>194468.16453118107</v>
      </c>
      <c r="H56">
        <f>(G67+5000)*1.00407-(0.00125*(G67+5000))</f>
        <v>261836.11695226195</v>
      </c>
      <c r="I56">
        <f>(H67+5000)*1.00407-(0.00125*(H67+5000))</f>
        <v>331946.63059432048</v>
      </c>
      <c r="J56">
        <f>(I67+5000)*1.00407-(0.00125*(I67+5000))</f>
        <v>404466.83021678869</v>
      </c>
      <c r="K56">
        <f>(J67+5000)*1.00407-(0.00125*(J67+5000))</f>
        <v>479479.53630153899</v>
      </c>
      <c r="L56">
        <f t="shared" ref="L56:Q56" si="110">(K67+5000)*1.00407-(0.00104*(K67+5000))</f>
        <v>558083.10308487434</v>
      </c>
      <c r="M56">
        <f t="shared" si="110"/>
        <v>639911.53679513209</v>
      </c>
      <c r="N56">
        <f t="shared" si="110"/>
        <v>724765.33964688738</v>
      </c>
      <c r="O56">
        <f t="shared" si="110"/>
        <v>812756.36589455151</v>
      </c>
      <c r="P56">
        <f t="shared" si="110"/>
        <v>904000.60527936229</v>
      </c>
      <c r="Q56">
        <f t="shared" si="110"/>
        <v>998618.33592702262</v>
      </c>
      <c r="R56">
        <f>(Q67+5000)*1.00407-(0.000833*(Q67+5000))</f>
        <v>1099384.312134342</v>
      </c>
      <c r="S56">
        <f>(R67+5000)*1.00407-(0.000833*(R67+5000))</f>
        <v>1204134.8849675041</v>
      </c>
      <c r="T56">
        <f>(S67+5000)*1.00407-(0.000833*(S67+5000))</f>
        <v>1313027.6176325451</v>
      </c>
      <c r="U56">
        <f t="shared" ref="U56:AE56" si="111">(T67+5000)*1.00407-(0.00125*(T67+5000))</f>
        <v>1425633.4864505571</v>
      </c>
      <c r="V56">
        <f t="shared" si="111"/>
        <v>1535743.51028926</v>
      </c>
      <c r="W56">
        <f t="shared" si="111"/>
        <v>1649637.9962145097</v>
      </c>
      <c r="X56">
        <f t="shared" si="111"/>
        <v>1767447.0155203198</v>
      </c>
      <c r="Y56">
        <f t="shared" si="111"/>
        <v>1889305.1100281221</v>
      </c>
      <c r="Z56">
        <f t="shared" si="111"/>
        <v>2015351.4457380066</v>
      </c>
      <c r="AA56">
        <f t="shared" si="111"/>
        <v>2145729.9717609268</v>
      </c>
      <c r="AB56">
        <f t="shared" si="111"/>
        <v>2280589.5847133757</v>
      </c>
      <c r="AC56">
        <f t="shared" si="111"/>
        <v>2420084.2987622726</v>
      </c>
      <c r="AD56">
        <f t="shared" si="111"/>
        <v>2564373.4215142783</v>
      </c>
      <c r="AE56">
        <f t="shared" si="111"/>
        <v>2713621.7359503759</v>
      </c>
      <c r="AI56">
        <f t="shared" ref="AI56:AI67" si="112">(AI55+5000)*1.00407-0</f>
        <v>5020.3500000000004</v>
      </c>
      <c r="AJ56">
        <f t="shared" ref="AJ56:BJ56" si="113">(AI67+5000)*1.00407-0</f>
        <v>66882.338314360706</v>
      </c>
      <c r="AK56">
        <f t="shared" si="113"/>
        <v>131834.22483044444</v>
      </c>
      <c r="AL56">
        <f t="shared" si="113"/>
        <v>200030.34456329298</v>
      </c>
      <c r="AM56">
        <f t="shared" si="113"/>
        <v>271632.74129222223</v>
      </c>
      <c r="AN56">
        <f t="shared" si="113"/>
        <v>346811.55260012508</v>
      </c>
      <c r="AO56">
        <f t="shared" si="113"/>
        <v>425745.41414481518</v>
      </c>
      <c r="AP56">
        <f t="shared" si="113"/>
        <v>508621.88412301685</v>
      </c>
      <c r="AQ56">
        <f t="shared" si="113"/>
        <v>595637.88893559016</v>
      </c>
      <c r="AR56">
        <f t="shared" si="113"/>
        <v>687000.19111295533</v>
      </c>
      <c r="AS56">
        <f t="shared" si="113"/>
        <v>782925.88061257359</v>
      </c>
      <c r="AT56">
        <f t="shared" si="113"/>
        <v>883642.89065587881</v>
      </c>
      <c r="AU56">
        <f t="shared" si="113"/>
        <v>989390.53933036258</v>
      </c>
      <c r="AV56">
        <f t="shared" si="113"/>
        <v>1100420.098243736</v>
      </c>
      <c r="AW56">
        <f t="shared" si="113"/>
        <v>1216995.389581376</v>
      </c>
      <c r="AX56">
        <f t="shared" si="113"/>
        <v>1339393.4129857428</v>
      </c>
      <c r="AY56">
        <f t="shared" si="113"/>
        <v>1467905.0037473331</v>
      </c>
      <c r="AZ56">
        <f t="shared" si="113"/>
        <v>1602835.5238711184</v>
      </c>
      <c r="BA56">
        <f t="shared" si="113"/>
        <v>1744505.587660545</v>
      </c>
      <c r="BB56">
        <f t="shared" si="113"/>
        <v>1893251.8235431877</v>
      </c>
      <c r="BC56">
        <f t="shared" si="113"/>
        <v>2049427.6739482614</v>
      </c>
      <c r="BD56">
        <f t="shared" si="113"/>
        <v>2213404.2351366193</v>
      </c>
      <c r="BE56">
        <f t="shared" si="113"/>
        <v>2385571.1389787872</v>
      </c>
      <c r="BF56">
        <f t="shared" si="113"/>
        <v>2566337.4787762756</v>
      </c>
      <c r="BG56">
        <f t="shared" si="113"/>
        <v>2756132.7813260444</v>
      </c>
      <c r="BH56">
        <f t="shared" si="113"/>
        <v>2955408.027537887</v>
      </c>
      <c r="BI56">
        <f t="shared" si="113"/>
        <v>3164636.7240298735</v>
      </c>
      <c r="BJ56">
        <f t="shared" si="113"/>
        <v>3384316.0282481131</v>
      </c>
    </row>
    <row r="57" spans="1:62" x14ac:dyDescent="0.3">
      <c r="D57">
        <f t="shared" si="109"/>
        <v>10039.1840605</v>
      </c>
      <c r="E57">
        <f t="shared" ref="E57:E65" si="114">(E56+5000)*1.00407-(0.00146*(E56+5000))</f>
        <v>71385.869572948126</v>
      </c>
      <c r="F57">
        <f t="shared" ref="F57:F65" si="115">(F56+5000)*1.00407-(0.00146*(F56+5000))</f>
        <v>134681.75603266346</v>
      </c>
      <c r="G57">
        <f t="shared" ref="G57:G65" si="116">(G56+5000)*1.00407-(0.00146*(G56+5000))</f>
        <v>199988.77644060747</v>
      </c>
      <c r="H57">
        <f t="shared" ref="H57:K59" si="117">(H56+5000)*1.00407-(0.00125*(H56+5000))</f>
        <v>267588.59480206732</v>
      </c>
      <c r="I57">
        <f t="shared" si="117"/>
        <v>337896.82009259646</v>
      </c>
      <c r="J57">
        <f t="shared" si="117"/>
        <v>410621.52667800005</v>
      </c>
      <c r="K57">
        <f t="shared" si="117"/>
        <v>485845.76859390934</v>
      </c>
      <c r="L57">
        <f t="shared" ref="L57:L67" si="118">(L56+5000)*1.00407-(0.00104*(L56+5000))</f>
        <v>564789.24488722149</v>
      </c>
      <c r="M57">
        <f t="shared" ref="M57:M67" si="119">(M56+5000)*1.00407-(0.00104*(M56+5000))</f>
        <v>646865.61875162134</v>
      </c>
      <c r="N57">
        <f t="shared" ref="N57:N67" si="120">(N56+5000)*1.00407-(0.00104*(N56+5000))</f>
        <v>731976.52862601751</v>
      </c>
      <c r="O57">
        <f t="shared" ref="O57:O67" si="121">(O56+5000)*1.00407-(0.00104*(O56+5000))</f>
        <v>820234.16768321197</v>
      </c>
      <c r="P57">
        <f t="shared" ref="P57:P67" si="122">(P56+5000)*1.00407-(0.00104*(P56+5000))</f>
        <v>911754.8771133587</v>
      </c>
      <c r="Q57">
        <f t="shared" ref="Q57:Q67" si="123">(Q56+5000)*1.00407-(0.000833*(Q56+5000))</f>
        <v>1006867.0484804184</v>
      </c>
      <c r="R57">
        <f t="shared" ref="R57:R67" si="124">(R56+5000)*1.00407-(0.000833*(R56+5000))</f>
        <v>1107959.204152721</v>
      </c>
      <c r="S57">
        <f t="shared" ref="S57:S67" si="125">(S56+5000)*1.00407-(0.000833*(S56+5000))</f>
        <v>1213048.854590144</v>
      </c>
      <c r="T57">
        <f t="shared" ref="T57:T67" si="126">(T56+5000)*1.00407-(0.000833*(T56+5000))</f>
        <v>1322294.0730308215</v>
      </c>
      <c r="U57">
        <f t="shared" ref="U57:U67" si="127">(U56+5000)*1.00407-(0.00125*(U56+5000))</f>
        <v>1434667.8728823476</v>
      </c>
      <c r="V57">
        <f t="shared" ref="V57:V67" si="128">(V56+5000)*1.00407-(0.00125*(V56+5000))</f>
        <v>1545088.4069882757</v>
      </c>
      <c r="W57">
        <f t="shared" ref="W57:W67" si="129">(W56+5000)*1.00407-(0.00125*(W56+5000))</f>
        <v>1659304.0753638349</v>
      </c>
      <c r="X57">
        <f t="shared" ref="X57:X67" si="130">(X56+5000)*1.00407-(0.00125*(X56+5000))</f>
        <v>1777445.316104087</v>
      </c>
      <c r="Y57">
        <f t="shared" ref="Y57:Y67" si="131">(Y56+5000)*1.00407-(0.00125*(Y56+5000))</f>
        <v>1899647.0504384013</v>
      </c>
      <c r="Z57">
        <f t="shared" ref="Z57:Z67" si="132">(Z56+5000)*1.00407-(0.00125*(Z56+5000))</f>
        <v>2026048.8368149877</v>
      </c>
      <c r="AA57">
        <f t="shared" ref="AA57:AA67" si="133">(AA56+5000)*1.00407-(0.00125*(AA56+5000))</f>
        <v>2156795.0302812927</v>
      </c>
      <c r="AB57">
        <f t="shared" ref="AB57:AB67" si="134">(AB56+5000)*1.00407-(0.00125*(AB56+5000))</f>
        <v>2292034.9473422673</v>
      </c>
      <c r="AC57">
        <f t="shared" ref="AC57:AC67" si="135">(AC56+5000)*1.00407-(0.00125*(AC56+5000))</f>
        <v>2431923.0364847821</v>
      </c>
      <c r="AD57">
        <f t="shared" ref="AD57:AD67" si="136">(AD56+5000)*1.00407-(0.00125*(AD56+5000))</f>
        <v>2576619.0545629486</v>
      </c>
      <c r="AE57">
        <f t="shared" ref="AE57:AE67" si="137">(AE56+5000)*1.00407-(0.00125*(AE56+5000))</f>
        <v>2726288.2492457558</v>
      </c>
      <c r="AI57">
        <f t="shared" si="112"/>
        <v>10061.1328245</v>
      </c>
      <c r="AJ57">
        <f t="shared" ref="AJ57:AJ67" si="138">(AJ56+5000)*1.00407-0</f>
        <v>72174.89943130016</v>
      </c>
      <c r="AK57">
        <f t="shared" ref="AK57:AK67" si="139">(AK56+5000)*1.00407-0</f>
        <v>137391.14012550435</v>
      </c>
      <c r="AL57">
        <f t="shared" ref="AL57:AL67" si="140">(AL56+5000)*1.00407-0</f>
        <v>205864.81806566557</v>
      </c>
      <c r="AM57">
        <f t="shared" ref="AM57:AM67" si="141">(AM56+5000)*1.00407-0</f>
        <v>277758.6365492816</v>
      </c>
      <c r="AN57">
        <f t="shared" ref="AN57:AN67" si="142">(AN56+5000)*1.00407-0</f>
        <v>353243.42561920761</v>
      </c>
      <c r="AO57">
        <f t="shared" ref="AO57:AO67" si="143">(AO56+5000)*1.00407-0</f>
        <v>432498.54798038461</v>
      </c>
      <c r="AP57">
        <f t="shared" ref="AP57:AP67" si="144">(AP56+5000)*1.00407-0</f>
        <v>515712.32519139751</v>
      </c>
      <c r="AQ57">
        <f t="shared" ref="AQ57:AQ67" si="145">(AQ56+5000)*1.00407-0</f>
        <v>603082.48514355801</v>
      </c>
      <c r="AR57">
        <f t="shared" ref="AR57:AR67" si="146">(AR56+5000)*1.00407-0</f>
        <v>694816.63189078507</v>
      </c>
      <c r="AS57">
        <f t="shared" ref="AS57:AS67" si="147">(AS56+5000)*1.00407-0</f>
        <v>791132.73894666682</v>
      </c>
      <c r="AT57">
        <f t="shared" ref="AT57:AT67" si="148">(AT56+5000)*1.00407-0</f>
        <v>892259.66722084826</v>
      </c>
      <c r="AU57">
        <f t="shared" ref="AU57:AU67" si="149">(AU56+5000)*1.00407-0</f>
        <v>998437.70882543712</v>
      </c>
      <c r="AV57">
        <f t="shared" ref="AV57:AV67" si="150">(AV56+5000)*1.00407-0</f>
        <v>1109919.158043588</v>
      </c>
      <c r="AW57">
        <f t="shared" ref="AW57:AW67" si="151">(AW56+5000)*1.00407-0</f>
        <v>1226968.9108169721</v>
      </c>
      <c r="AX57">
        <f t="shared" ref="AX57:AX67" si="152">(AX56+5000)*1.00407-0</f>
        <v>1349865.0941765949</v>
      </c>
      <c r="AY57">
        <f t="shared" ref="AY57:AY67" si="153">(AY56+5000)*1.00407-0</f>
        <v>1478899.7271125847</v>
      </c>
      <c r="AZ57">
        <f t="shared" ref="AZ57:AZ67" si="154">(AZ56+5000)*1.00407-0</f>
        <v>1614379.4144532739</v>
      </c>
      <c r="BA57">
        <f t="shared" ref="BA57:BA67" si="155">(BA56+5000)*1.00407-0</f>
        <v>1756626.0754023234</v>
      </c>
      <c r="BB57">
        <f t="shared" ref="BB57:BB67" si="156">(BB56+5000)*1.00407-0</f>
        <v>1905977.7084650085</v>
      </c>
      <c r="BC57">
        <f t="shared" ref="BC57:BC67" si="157">(BC56+5000)*1.00407-0</f>
        <v>2062789.1945812309</v>
      </c>
      <c r="BD57">
        <f t="shared" ref="BD57:BD67" si="158">(BD56+5000)*1.00407-0</f>
        <v>2227433.1403736253</v>
      </c>
      <c r="BE57">
        <f t="shared" ref="BE57:BE67" si="159">(BE56+5000)*1.00407-0</f>
        <v>2400300.7635144307</v>
      </c>
      <c r="BF57">
        <f t="shared" ref="BF57:BF67" si="160">(BF56+5000)*1.00407-0</f>
        <v>2581802.8223148952</v>
      </c>
      <c r="BG57">
        <f t="shared" ref="BG57:BG67" si="161">(BG56+5000)*1.00407-0</f>
        <v>2772370.5917460416</v>
      </c>
      <c r="BH57">
        <f t="shared" ref="BH57:BH67" si="162">(BH56+5000)*1.00407-0</f>
        <v>2972456.888209966</v>
      </c>
      <c r="BI57">
        <f t="shared" ref="BI57:BI67" si="163">(BI56+5000)*1.00407-0</f>
        <v>3182537.1454966753</v>
      </c>
      <c r="BJ57">
        <f t="shared" ref="BJ57:BJ67" si="164">(BJ56+5000)*1.00407-0</f>
        <v>3403110.5444830828</v>
      </c>
    </row>
    <row r="58" spans="1:62" x14ac:dyDescent="0.3">
      <c r="A58">
        <f>0.0175/12</f>
        <v>1.4583333333333334E-3</v>
      </c>
      <c r="B58">
        <v>1.75</v>
      </c>
      <c r="D58">
        <f t="shared" si="109"/>
        <v>15078.436330897905</v>
      </c>
      <c r="E58">
        <f t="shared" si="114"/>
        <v>76585.236692533523</v>
      </c>
      <c r="F58">
        <f t="shared" si="115"/>
        <v>140046.32541590871</v>
      </c>
      <c r="G58">
        <f t="shared" si="116"/>
        <v>205523.79714711744</v>
      </c>
      <c r="H58">
        <f t="shared" si="117"/>
        <v>273357.29463940917</v>
      </c>
      <c r="I58">
        <f t="shared" si="117"/>
        <v>343863.78912525764</v>
      </c>
      <c r="J58">
        <f t="shared" si="117"/>
        <v>416793.57938323205</v>
      </c>
      <c r="K58">
        <f t="shared" si="117"/>
        <v>492229.95366134419</v>
      </c>
      <c r="L58">
        <f t="shared" si="118"/>
        <v>571515.70629922976</v>
      </c>
      <c r="M58">
        <f t="shared" si="119"/>
        <v>653840.7715764388</v>
      </c>
      <c r="N58">
        <f t="shared" si="120"/>
        <v>739209.56750775443</v>
      </c>
      <c r="O58">
        <f t="shared" si="121"/>
        <v>827734.62721129204</v>
      </c>
      <c r="P58">
        <f t="shared" si="122"/>
        <v>919532.64439101215</v>
      </c>
      <c r="Q58">
        <f t="shared" si="123"/>
        <v>1015142.4621163495</v>
      </c>
      <c r="R58">
        <f t="shared" si="124"/>
        <v>1116561.8530965634</v>
      </c>
      <c r="S58">
        <f t="shared" si="125"/>
        <v>1221991.6787324522</v>
      </c>
      <c r="T58">
        <f t="shared" si="126"/>
        <v>1331590.5239452224</v>
      </c>
      <c r="U58">
        <f t="shared" si="127"/>
        <v>1443727.736283876</v>
      </c>
      <c r="V58">
        <f t="shared" si="128"/>
        <v>1554459.6562959827</v>
      </c>
      <c r="W58">
        <f t="shared" si="129"/>
        <v>1668997.4128563609</v>
      </c>
      <c r="X58">
        <f t="shared" si="130"/>
        <v>1787471.8118955006</v>
      </c>
      <c r="Y58">
        <f t="shared" si="131"/>
        <v>1910018.1551206375</v>
      </c>
      <c r="Z58">
        <f t="shared" si="132"/>
        <v>2036776.394534806</v>
      </c>
      <c r="AA58">
        <f t="shared" si="133"/>
        <v>2167891.292266686</v>
      </c>
      <c r="AB58">
        <f t="shared" si="134"/>
        <v>2303512.5858937721</v>
      </c>
      <c r="AC58">
        <f t="shared" si="135"/>
        <v>2443795.1594476691</v>
      </c>
      <c r="AD58">
        <f t="shared" si="136"/>
        <v>2588899.220296816</v>
      </c>
      <c r="AE58">
        <f t="shared" si="137"/>
        <v>2738990.4821086288</v>
      </c>
      <c r="AI58">
        <f t="shared" si="112"/>
        <v>15122.431635095716</v>
      </c>
      <c r="AJ58">
        <f t="shared" si="138"/>
        <v>77489.001271985559</v>
      </c>
      <c r="AK58">
        <f t="shared" si="139"/>
        <v>142970.67206581516</v>
      </c>
      <c r="AL58">
        <f t="shared" si="140"/>
        <v>211723.03787519285</v>
      </c>
      <c r="AM58">
        <f t="shared" si="141"/>
        <v>283909.46420003718</v>
      </c>
      <c r="AN58">
        <f t="shared" si="142"/>
        <v>359701.47636147781</v>
      </c>
      <c r="AO58">
        <f t="shared" si="143"/>
        <v>439279.16707066476</v>
      </c>
      <c r="AP58">
        <f t="shared" si="144"/>
        <v>522831.62435492652</v>
      </c>
      <c r="AQ58">
        <f t="shared" si="145"/>
        <v>610557.38085809234</v>
      </c>
      <c r="AR58">
        <f t="shared" si="146"/>
        <v>702664.88558258058</v>
      </c>
      <c r="AS58">
        <f t="shared" si="147"/>
        <v>799372.99919417978</v>
      </c>
      <c r="AT58">
        <f t="shared" si="148"/>
        <v>900911.51406643714</v>
      </c>
      <c r="AU58">
        <f t="shared" si="149"/>
        <v>1007521.7003003567</v>
      </c>
      <c r="AV58">
        <f t="shared" si="150"/>
        <v>1119456.8790168255</v>
      </c>
      <c r="AW58">
        <f t="shared" si="151"/>
        <v>1236983.0242839972</v>
      </c>
      <c r="AX58">
        <f t="shared" si="152"/>
        <v>1360379.3951098935</v>
      </c>
      <c r="AY58">
        <f t="shared" si="153"/>
        <v>1489939.199001933</v>
      </c>
      <c r="AZ58">
        <f t="shared" si="154"/>
        <v>1625970.2886700986</v>
      </c>
      <c r="BA58">
        <f t="shared" si="155"/>
        <v>1768795.8935292109</v>
      </c>
      <c r="BB58">
        <f t="shared" si="156"/>
        <v>1918755.3877384611</v>
      </c>
      <c r="BC58">
        <f t="shared" si="157"/>
        <v>2076205.0966031766</v>
      </c>
      <c r="BD58">
        <f t="shared" si="158"/>
        <v>2241519.143254946</v>
      </c>
      <c r="BE58">
        <f t="shared" si="159"/>
        <v>2415090.3376219347</v>
      </c>
      <c r="BF58">
        <f t="shared" si="160"/>
        <v>2597331.1098017171</v>
      </c>
      <c r="BG58">
        <f t="shared" si="161"/>
        <v>2788674.4900544481</v>
      </c>
      <c r="BH58">
        <f t="shared" si="162"/>
        <v>2989575.1377449804</v>
      </c>
      <c r="BI58">
        <f t="shared" si="163"/>
        <v>3200510.4216788467</v>
      </c>
      <c r="BJ58">
        <f t="shared" si="164"/>
        <v>3421981.554399129</v>
      </c>
    </row>
    <row r="59" spans="1:62" x14ac:dyDescent="0.3">
      <c r="A59">
        <f>0.015/12</f>
        <v>1.25E-3</v>
      </c>
      <c r="B59">
        <v>1.5</v>
      </c>
      <c r="D59">
        <f t="shared" si="109"/>
        <v>20130.841049721548</v>
      </c>
      <c r="E59">
        <f t="shared" si="114"/>
        <v>81798.17416030103</v>
      </c>
      <c r="F59">
        <f t="shared" si="115"/>
        <v>145424.89632524425</v>
      </c>
      <c r="G59">
        <f t="shared" si="116"/>
        <v>211073.2642576714</v>
      </c>
      <c r="H59">
        <f t="shared" si="117"/>
        <v>279142.26221029233</v>
      </c>
      <c r="I59">
        <f t="shared" si="117"/>
        <v>349847.5850105909</v>
      </c>
      <c r="J59">
        <f t="shared" si="117"/>
        <v>422983.03727709275</v>
      </c>
      <c r="K59">
        <f t="shared" si="117"/>
        <v>498632.14213066921</v>
      </c>
      <c r="L59">
        <f t="shared" si="118"/>
        <v>578262.54888931639</v>
      </c>
      <c r="M59">
        <f t="shared" si="119"/>
        <v>660837.05911431543</v>
      </c>
      <c r="N59">
        <f t="shared" si="120"/>
        <v>746464.52249730285</v>
      </c>
      <c r="O59">
        <f t="shared" si="121"/>
        <v>835257.8131317423</v>
      </c>
      <c r="P59">
        <f t="shared" si="122"/>
        <v>927333.97830351698</v>
      </c>
      <c r="Q59">
        <f t="shared" si="123"/>
        <v>1023444.6632662201</v>
      </c>
      <c r="R59">
        <f t="shared" si="124"/>
        <v>1125192.3488150369</v>
      </c>
      <c r="S59">
        <f t="shared" si="125"/>
        <v>1230963.4507965094</v>
      </c>
      <c r="T59">
        <f t="shared" si="126"/>
        <v>1340917.067471233</v>
      </c>
      <c r="U59">
        <f t="shared" si="127"/>
        <v>1452813.1485001966</v>
      </c>
      <c r="V59">
        <f t="shared" si="128"/>
        <v>1563857.3325267374</v>
      </c>
      <c r="W59">
        <f t="shared" si="129"/>
        <v>1678718.0855606159</v>
      </c>
      <c r="X59">
        <f t="shared" si="130"/>
        <v>1797526.5824050461</v>
      </c>
      <c r="Y59">
        <f t="shared" si="131"/>
        <v>1920418.5063180777</v>
      </c>
      <c r="Z59">
        <f t="shared" si="132"/>
        <v>2047534.2039673941</v>
      </c>
      <c r="AA59">
        <f t="shared" si="133"/>
        <v>2179018.8457108783</v>
      </c>
      <c r="AB59">
        <f t="shared" si="134"/>
        <v>2315022.5913859927</v>
      </c>
      <c r="AC59">
        <f t="shared" si="135"/>
        <v>2455700.7617973117</v>
      </c>
      <c r="AD59">
        <f t="shared" si="136"/>
        <v>2601214.0160980532</v>
      </c>
      <c r="AE59">
        <f t="shared" si="137"/>
        <v>2751728.535268175</v>
      </c>
      <c r="AI59">
        <f t="shared" si="112"/>
        <v>20204.329931850556</v>
      </c>
      <c r="AJ59">
        <f t="shared" si="138"/>
        <v>82824.731507162534</v>
      </c>
      <c r="AK59">
        <f t="shared" si="139"/>
        <v>148572.91270112304</v>
      </c>
      <c r="AL59">
        <f t="shared" si="140"/>
        <v>217605.10063934489</v>
      </c>
      <c r="AM59">
        <f t="shared" si="141"/>
        <v>290085.32571933133</v>
      </c>
      <c r="AN59">
        <f t="shared" si="142"/>
        <v>366185.81137026905</v>
      </c>
      <c r="AO59">
        <f t="shared" si="143"/>
        <v>446087.38328064239</v>
      </c>
      <c r="AP59">
        <f t="shared" si="144"/>
        <v>529979.89906605112</v>
      </c>
      <c r="AQ59">
        <f t="shared" si="145"/>
        <v>618062.69939818478</v>
      </c>
      <c r="AR59">
        <f t="shared" si="146"/>
        <v>710545.08166690171</v>
      </c>
      <c r="AS59">
        <f t="shared" si="147"/>
        <v>807646.7973009001</v>
      </c>
      <c r="AT59">
        <f t="shared" si="148"/>
        <v>909598.57392868761</v>
      </c>
      <c r="AU59">
        <f t="shared" si="149"/>
        <v>1016642.6636205792</v>
      </c>
      <c r="AV59">
        <f t="shared" si="150"/>
        <v>1129033.418514424</v>
      </c>
      <c r="AW59">
        <f t="shared" si="151"/>
        <v>1247037.8951928332</v>
      </c>
      <c r="AX59">
        <f t="shared" si="152"/>
        <v>1370936.4892479908</v>
      </c>
      <c r="AY59">
        <f t="shared" si="153"/>
        <v>1501023.601541871</v>
      </c>
      <c r="AZ59">
        <f t="shared" si="154"/>
        <v>1637608.3377449859</v>
      </c>
      <c r="BA59">
        <f t="shared" si="155"/>
        <v>1781015.2428158747</v>
      </c>
      <c r="BB59">
        <f t="shared" si="156"/>
        <v>1931585.0721665567</v>
      </c>
      <c r="BC59">
        <f t="shared" si="157"/>
        <v>2089675.6013463514</v>
      </c>
      <c r="BD59">
        <f t="shared" si="158"/>
        <v>2255662.4761679936</v>
      </c>
      <c r="BE59">
        <f t="shared" si="159"/>
        <v>2429940.1052960563</v>
      </c>
      <c r="BF59">
        <f t="shared" si="160"/>
        <v>2612922.59741861</v>
      </c>
      <c r="BG59">
        <f t="shared" si="161"/>
        <v>2805044.74522897</v>
      </c>
      <c r="BH59">
        <f t="shared" si="162"/>
        <v>3006763.0585556026</v>
      </c>
      <c r="BI59">
        <f t="shared" si="163"/>
        <v>3218556.8490950796</v>
      </c>
      <c r="BJ59">
        <f t="shared" si="164"/>
        <v>3440929.3693255335</v>
      </c>
    </row>
    <row r="60" spans="1:62" x14ac:dyDescent="0.3">
      <c r="A60">
        <f>0.0125/12</f>
        <v>1.0416666666666667E-3</v>
      </c>
      <c r="B60">
        <v>1.25</v>
      </c>
      <c r="D60">
        <f t="shared" si="109"/>
        <v>25196.432544861324</v>
      </c>
      <c r="E60">
        <f t="shared" si="114"/>
        <v>87024.717394859414</v>
      </c>
      <c r="F60">
        <f t="shared" si="115"/>
        <v>150817.50530465314</v>
      </c>
      <c r="G60">
        <f t="shared" si="116"/>
        <v>216637.21547738393</v>
      </c>
      <c r="H60">
        <f t="shared" ref="H60:J67" si="165">(H59+5000)*1.00407-(0.00125*(H59+5000))</f>
        <v>284943.54338972538</v>
      </c>
      <c r="I60">
        <f t="shared" si="165"/>
        <v>355848.2552003208</v>
      </c>
      <c r="J60">
        <f t="shared" si="165"/>
        <v>429189.94944221416</v>
      </c>
      <c r="K60">
        <f t="shared" ref="K60:K67" si="166">(K59+5000)*1.00407-(0.00104*(K59+5000))</f>
        <v>505158.14752132515</v>
      </c>
      <c r="L60">
        <f t="shared" si="118"/>
        <v>585029.83441245102</v>
      </c>
      <c r="M60">
        <f t="shared" si="119"/>
        <v>667854.54540343187</v>
      </c>
      <c r="N60">
        <f t="shared" si="120"/>
        <v>753741.4600004697</v>
      </c>
      <c r="O60">
        <f t="shared" si="121"/>
        <v>842803.79430553154</v>
      </c>
      <c r="P60">
        <f t="shared" si="122"/>
        <v>935158.95025777665</v>
      </c>
      <c r="Q60">
        <f t="shared" si="123"/>
        <v>1031773.7386412129</v>
      </c>
      <c r="R60">
        <f t="shared" si="124"/>
        <v>1133850.7814481512</v>
      </c>
      <c r="S60">
        <f t="shared" si="125"/>
        <v>1239964.2644867378</v>
      </c>
      <c r="T60">
        <f t="shared" si="126"/>
        <v>1350273.8010186374</v>
      </c>
      <c r="U60">
        <f t="shared" si="127"/>
        <v>1461924.1815789673</v>
      </c>
      <c r="V60">
        <f t="shared" si="128"/>
        <v>1573281.5102044628</v>
      </c>
      <c r="W60">
        <f t="shared" si="129"/>
        <v>1688466.1705618969</v>
      </c>
      <c r="X60">
        <f t="shared" si="130"/>
        <v>1807609.7073674283</v>
      </c>
      <c r="Y60">
        <f t="shared" si="131"/>
        <v>1930848.1865058946</v>
      </c>
      <c r="Z60">
        <f t="shared" si="132"/>
        <v>2058322.3504225821</v>
      </c>
      <c r="AA60">
        <f t="shared" si="133"/>
        <v>2190177.7788557829</v>
      </c>
      <c r="AB60">
        <f t="shared" si="134"/>
        <v>2326565.0550937015</v>
      </c>
      <c r="AC60">
        <f t="shared" si="135"/>
        <v>2467639.9379455801</v>
      </c>
      <c r="AD60">
        <f t="shared" si="136"/>
        <v>2613563.5396234496</v>
      </c>
      <c r="AE60">
        <f t="shared" si="137"/>
        <v>2764502.5097376313</v>
      </c>
      <c r="AI60">
        <f t="shared" si="112"/>
        <v>25306.911554673188</v>
      </c>
      <c r="AJ60">
        <f t="shared" si="138"/>
        <v>88182.178164396682</v>
      </c>
      <c r="AK60">
        <f t="shared" si="139"/>
        <v>154197.95445581662</v>
      </c>
      <c r="AL60">
        <f t="shared" si="140"/>
        <v>223511.10339894702</v>
      </c>
      <c r="AM60">
        <f t="shared" si="141"/>
        <v>296286.32299500902</v>
      </c>
      <c r="AN60">
        <f t="shared" si="142"/>
        <v>372696.53762254602</v>
      </c>
      <c r="AO60">
        <f t="shared" si="143"/>
        <v>452923.30893059459</v>
      </c>
      <c r="AP60">
        <f t="shared" si="144"/>
        <v>537157.2672552499</v>
      </c>
      <c r="AQ60">
        <f t="shared" si="145"/>
        <v>625598.56458473543</v>
      </c>
      <c r="AR60">
        <f t="shared" si="146"/>
        <v>718457.35014928598</v>
      </c>
      <c r="AS60">
        <f t="shared" si="147"/>
        <v>815954.26976591477</v>
      </c>
      <c r="AT60">
        <f t="shared" si="148"/>
        <v>918320.99012457742</v>
      </c>
      <c r="AU60">
        <f t="shared" si="149"/>
        <v>1025800.749261515</v>
      </c>
      <c r="AV60">
        <f t="shared" si="150"/>
        <v>1138648.9345277778</v>
      </c>
      <c r="AW60">
        <f t="shared" si="151"/>
        <v>1257133.689426268</v>
      </c>
      <c r="AX60">
        <f t="shared" si="152"/>
        <v>1381536.55075923</v>
      </c>
      <c r="AY60">
        <f t="shared" si="153"/>
        <v>1512153.1176001464</v>
      </c>
      <c r="AZ60">
        <f t="shared" si="154"/>
        <v>1649293.753679608</v>
      </c>
      <c r="BA60">
        <f t="shared" si="155"/>
        <v>1793284.3248541353</v>
      </c>
      <c r="BB60">
        <f t="shared" si="156"/>
        <v>1944466.9734102746</v>
      </c>
      <c r="BC60">
        <f t="shared" si="157"/>
        <v>2103200.9310438312</v>
      </c>
      <c r="BD60">
        <f t="shared" si="158"/>
        <v>2269863.3724459973</v>
      </c>
      <c r="BE60">
        <f t="shared" si="159"/>
        <v>2444850.3115246114</v>
      </c>
      <c r="BF60">
        <f t="shared" si="160"/>
        <v>2628577.5423901039</v>
      </c>
      <c r="BG60">
        <f t="shared" si="161"/>
        <v>2821481.6273420518</v>
      </c>
      <c r="BH60">
        <f t="shared" si="162"/>
        <v>3024020.9342039241</v>
      </c>
      <c r="BI60">
        <f t="shared" si="163"/>
        <v>3236676.7254708968</v>
      </c>
      <c r="BJ60">
        <f t="shared" si="164"/>
        <v>3459954.3018586887</v>
      </c>
    </row>
    <row r="61" spans="1:62" x14ac:dyDescent="0.3">
      <c r="A61">
        <f>0.01/12</f>
        <v>8.3333333333333339E-4</v>
      </c>
      <c r="B61">
        <v>1</v>
      </c>
      <c r="D61">
        <f t="shared" si="109"/>
        <v>30275.245233803413</v>
      </c>
      <c r="E61">
        <f t="shared" si="114"/>
        <v>92264.901907260006</v>
      </c>
      <c r="F61">
        <f t="shared" si="115"/>
        <v>156224.18899349828</v>
      </c>
      <c r="G61">
        <f t="shared" si="116"/>
        <v>222215.6886097799</v>
      </c>
      <c r="H61">
        <f t="shared" si="165"/>
        <v>290761.1841820844</v>
      </c>
      <c r="I61">
        <f t="shared" si="165"/>
        <v>361865.84727998573</v>
      </c>
      <c r="J61">
        <f t="shared" si="165"/>
        <v>435414.3650996412</v>
      </c>
      <c r="K61">
        <f t="shared" si="166"/>
        <v>511703.92670831474</v>
      </c>
      <c r="L61">
        <f t="shared" si="118"/>
        <v>591817.62481072068</v>
      </c>
      <c r="M61">
        <f t="shared" si="119"/>
        <v>674893.29467600433</v>
      </c>
      <c r="N61">
        <f t="shared" si="120"/>
        <v>761040.44662427122</v>
      </c>
      <c r="O61">
        <f t="shared" si="121"/>
        <v>850372.63980227732</v>
      </c>
      <c r="P61">
        <f t="shared" si="122"/>
        <v>943007.63187705772</v>
      </c>
      <c r="Q61">
        <f t="shared" si="123"/>
        <v>1040129.7752331946</v>
      </c>
      <c r="R61">
        <f t="shared" si="124"/>
        <v>1142537.2414276991</v>
      </c>
      <c r="S61">
        <f t="shared" si="125"/>
        <v>1248994.2138108814</v>
      </c>
      <c r="T61">
        <f t="shared" si="126"/>
        <v>1359660.8223125348</v>
      </c>
      <c r="U61">
        <f t="shared" si="127"/>
        <v>1471060.90777102</v>
      </c>
      <c r="V61">
        <f t="shared" si="128"/>
        <v>1582732.2640632393</v>
      </c>
      <c r="W61">
        <f t="shared" si="129"/>
        <v>1698241.7451628814</v>
      </c>
      <c r="X61">
        <f t="shared" si="130"/>
        <v>1817721.2667422045</v>
      </c>
      <c r="Y61">
        <f t="shared" si="131"/>
        <v>1941307.2783918413</v>
      </c>
      <c r="Z61">
        <f t="shared" si="132"/>
        <v>2069140.9194507736</v>
      </c>
      <c r="AA61">
        <f t="shared" si="133"/>
        <v>2201368.1801921562</v>
      </c>
      <c r="AB61">
        <f t="shared" si="134"/>
        <v>2338140.0685490659</v>
      </c>
      <c r="AC61">
        <f t="shared" si="135"/>
        <v>2479612.782570587</v>
      </c>
      <c r="AD61">
        <f t="shared" si="136"/>
        <v>2625947.8888051878</v>
      </c>
      <c r="AE61">
        <f t="shared" si="137"/>
        <v>2777312.5068150912</v>
      </c>
      <c r="AI61">
        <f t="shared" si="112"/>
        <v>30430.260684700708</v>
      </c>
      <c r="AJ61">
        <f t="shared" si="138"/>
        <v>93561.429629525781</v>
      </c>
      <c r="AK61">
        <f t="shared" si="139"/>
        <v>159845.89013045179</v>
      </c>
      <c r="AL61">
        <f t="shared" si="140"/>
        <v>229441.14358978072</v>
      </c>
      <c r="AM61">
        <f t="shared" si="141"/>
        <v>302512.55832959869</v>
      </c>
      <c r="AN61">
        <f t="shared" si="142"/>
        <v>379233.7625306698</v>
      </c>
      <c r="AO61">
        <f t="shared" si="143"/>
        <v>459787.05679794215</v>
      </c>
      <c r="AP61">
        <f t="shared" si="144"/>
        <v>544363.84733297874</v>
      </c>
      <c r="AQ61">
        <f t="shared" si="145"/>
        <v>633165.10074259527</v>
      </c>
      <c r="AR61">
        <f t="shared" si="146"/>
        <v>726401.82156439358</v>
      </c>
      <c r="AS61">
        <f t="shared" si="147"/>
        <v>824295.55364386202</v>
      </c>
      <c r="AT61">
        <f t="shared" si="148"/>
        <v>927078.90655438451</v>
      </c>
      <c r="AU61">
        <f t="shared" si="149"/>
        <v>1034996.1083110094</v>
      </c>
      <c r="AV61">
        <f t="shared" si="150"/>
        <v>1148303.5856913058</v>
      </c>
      <c r="AW61">
        <f t="shared" si="151"/>
        <v>1267270.5735422329</v>
      </c>
      <c r="AX61">
        <f t="shared" si="152"/>
        <v>1392179.7545208202</v>
      </c>
      <c r="AY61">
        <f t="shared" si="153"/>
        <v>1523327.9307887792</v>
      </c>
      <c r="AZ61">
        <f t="shared" si="154"/>
        <v>1661026.729257084</v>
      </c>
      <c r="BA61">
        <f t="shared" si="155"/>
        <v>1805603.3420562916</v>
      </c>
      <c r="BB61">
        <f t="shared" si="156"/>
        <v>1957401.3039920544</v>
      </c>
      <c r="BC61">
        <f t="shared" si="157"/>
        <v>2116781.3088331795</v>
      </c>
      <c r="BD61">
        <f t="shared" si="158"/>
        <v>2284122.0663718525</v>
      </c>
      <c r="BE61">
        <f t="shared" si="159"/>
        <v>2459821.2022925168</v>
      </c>
      <c r="BF61">
        <f t="shared" si="160"/>
        <v>2644296.2029876318</v>
      </c>
      <c r="BG61">
        <f t="shared" si="161"/>
        <v>2837985.4075653339</v>
      </c>
      <c r="BH61">
        <f t="shared" si="162"/>
        <v>3041349.0494061341</v>
      </c>
      <c r="BI61">
        <f t="shared" si="163"/>
        <v>3254870.3497435632</v>
      </c>
      <c r="BJ61">
        <f t="shared" si="164"/>
        <v>3479056.6658672537</v>
      </c>
    </row>
    <row r="62" spans="1:62" x14ac:dyDescent="0.3">
      <c r="D62">
        <f t="shared" si="109"/>
        <v>35367.313623863643</v>
      </c>
      <c r="E62">
        <f t="shared" si="114"/>
        <v>97518.763301237952</v>
      </c>
      <c r="F62">
        <f t="shared" si="115"/>
        <v>161644.98412677131</v>
      </c>
      <c r="G62">
        <f t="shared" si="116"/>
        <v>227808.72155705144</v>
      </c>
      <c r="H62">
        <f t="shared" si="165"/>
        <v>296595.23072147788</v>
      </c>
      <c r="I62">
        <f t="shared" si="165"/>
        <v>367900.40896931529</v>
      </c>
      <c r="J62">
        <f t="shared" si="165"/>
        <v>441656.3336092222</v>
      </c>
      <c r="K62">
        <f t="shared" si="166"/>
        <v>518269.53960624099</v>
      </c>
      <c r="L62">
        <f t="shared" si="118"/>
        <v>598625.98221389716</v>
      </c>
      <c r="M62">
        <f t="shared" si="119"/>
        <v>681953.37135887262</v>
      </c>
      <c r="N62">
        <f t="shared" si="120"/>
        <v>768361.54917754279</v>
      </c>
      <c r="O62">
        <f t="shared" si="121"/>
        <v>857964.41890087829</v>
      </c>
      <c r="P62">
        <f t="shared" si="122"/>
        <v>950880.09500164527</v>
      </c>
      <c r="Q62">
        <f t="shared" si="123"/>
        <v>1048512.8603156244</v>
      </c>
      <c r="R62">
        <f t="shared" si="124"/>
        <v>1151251.8194782005</v>
      </c>
      <c r="S62">
        <f t="shared" si="125"/>
        <v>1258053.393080987</v>
      </c>
      <c r="T62">
        <f t="shared" si="126"/>
        <v>1369078.2293943604</v>
      </c>
      <c r="U62">
        <f t="shared" si="127"/>
        <v>1480223.3995309342</v>
      </c>
      <c r="V62">
        <f t="shared" si="128"/>
        <v>1592209.6690478977</v>
      </c>
      <c r="W62">
        <f t="shared" si="129"/>
        <v>1708044.8868842407</v>
      </c>
      <c r="X62">
        <f t="shared" si="130"/>
        <v>1827861.3407144176</v>
      </c>
      <c r="Y62">
        <f t="shared" si="131"/>
        <v>1951795.8649169062</v>
      </c>
      <c r="Z62">
        <f t="shared" si="132"/>
        <v>2079989.9968436246</v>
      </c>
      <c r="AA62">
        <f t="shared" si="133"/>
        <v>2212590.1384602981</v>
      </c>
      <c r="AB62">
        <f t="shared" si="134"/>
        <v>2349747.7235423746</v>
      </c>
      <c r="AC62">
        <f t="shared" si="135"/>
        <v>2491619.3906174358</v>
      </c>
      <c r="AD62">
        <f t="shared" si="136"/>
        <v>2638367.1618516184</v>
      </c>
      <c r="AE62">
        <f t="shared" si="137"/>
        <v>2790158.6280843099</v>
      </c>
      <c r="AI62">
        <f t="shared" si="112"/>
        <v>35574.461845687445</v>
      </c>
      <c r="AJ62">
        <f t="shared" si="138"/>
        <v>98962.574648117952</v>
      </c>
      <c r="AK62">
        <f t="shared" si="139"/>
        <v>165516.81290328273</v>
      </c>
      <c r="AL62">
        <f t="shared" si="140"/>
        <v>235395.31904419113</v>
      </c>
      <c r="AM62">
        <f t="shared" si="141"/>
        <v>308764.13444200018</v>
      </c>
      <c r="AN62">
        <f t="shared" si="142"/>
        <v>385797.59394416964</v>
      </c>
      <c r="AO62">
        <f t="shared" si="143"/>
        <v>466678.7401191098</v>
      </c>
      <c r="AP62">
        <f t="shared" si="144"/>
        <v>551599.75819162396</v>
      </c>
      <c r="AQ62">
        <f t="shared" si="145"/>
        <v>640762.4327026176</v>
      </c>
      <c r="AR62">
        <f t="shared" si="146"/>
        <v>734378.6269781607</v>
      </c>
      <c r="AS62">
        <f t="shared" si="147"/>
        <v>832670.78654719261</v>
      </c>
      <c r="AT62">
        <f t="shared" si="148"/>
        <v>935872.46770406084</v>
      </c>
      <c r="AU62">
        <f t="shared" si="149"/>
        <v>1044228.8924718351</v>
      </c>
      <c r="AV62">
        <f t="shared" si="150"/>
        <v>1157997.5312850694</v>
      </c>
      <c r="AW62">
        <f t="shared" si="151"/>
        <v>1277448.7147765497</v>
      </c>
      <c r="AX62">
        <f t="shared" si="152"/>
        <v>1402866.27612172</v>
      </c>
      <c r="AY62">
        <f t="shared" si="153"/>
        <v>1534548.2254670896</v>
      </c>
      <c r="AZ62">
        <f t="shared" si="154"/>
        <v>1672807.4580451604</v>
      </c>
      <c r="BA62">
        <f t="shared" si="155"/>
        <v>1817972.4976584609</v>
      </c>
      <c r="BB62">
        <f t="shared" si="156"/>
        <v>1970388.2772993022</v>
      </c>
      <c r="BC62">
        <f t="shared" si="157"/>
        <v>2130416.9587601307</v>
      </c>
      <c r="BD62">
        <f t="shared" si="158"/>
        <v>2298438.7931819861</v>
      </c>
      <c r="BE62">
        <f t="shared" si="159"/>
        <v>2474853.0245858473</v>
      </c>
      <c r="BF62">
        <f t="shared" si="160"/>
        <v>2660078.8385337917</v>
      </c>
      <c r="BG62">
        <f t="shared" si="161"/>
        <v>2854556.3581741247</v>
      </c>
      <c r="BH62">
        <f t="shared" si="162"/>
        <v>3058747.690037217</v>
      </c>
      <c r="BI62">
        <f t="shared" si="163"/>
        <v>3273138.0220670197</v>
      </c>
      <c r="BJ62">
        <f t="shared" si="164"/>
        <v>3498236.7764973333</v>
      </c>
    </row>
    <row r="63" spans="1:62" x14ac:dyDescent="0.3">
      <c r="D63">
        <f t="shared" si="109"/>
        <v>40472.672312421928</v>
      </c>
      <c r="E63">
        <f t="shared" si="114"/>
        <v>102786.33727345419</v>
      </c>
      <c r="F63">
        <f t="shared" si="115"/>
        <v>167079.92753534217</v>
      </c>
      <c r="G63">
        <f t="shared" si="116"/>
        <v>233416.35232031535</v>
      </c>
      <c r="H63">
        <f t="shared" si="165"/>
        <v>302445.72927211242</v>
      </c>
      <c r="I63">
        <f t="shared" si="165"/>
        <v>373951.9881226088</v>
      </c>
      <c r="J63">
        <f t="shared" si="165"/>
        <v>447915.90447000024</v>
      </c>
      <c r="K63">
        <f t="shared" si="166"/>
        <v>524855.04631124786</v>
      </c>
      <c r="L63">
        <f t="shared" si="118"/>
        <v>605454.96894000529</v>
      </c>
      <c r="M63">
        <f t="shared" si="119"/>
        <v>689034.84007408994</v>
      </c>
      <c r="N63">
        <f t="shared" si="120"/>
        <v>775704.83467155078</v>
      </c>
      <c r="O63">
        <f t="shared" si="121"/>
        <v>865579.20109014795</v>
      </c>
      <c r="P63">
        <f t="shared" si="122"/>
        <v>958776.41168950032</v>
      </c>
      <c r="Q63">
        <f t="shared" si="123"/>
        <v>1056923.081444466</v>
      </c>
      <c r="R63">
        <f t="shared" si="124"/>
        <v>1159994.6066178516</v>
      </c>
      <c r="S63">
        <f t="shared" si="125"/>
        <v>1267141.8969143904</v>
      </c>
      <c r="T63">
        <f t="shared" si="126"/>
        <v>1378526.1206229099</v>
      </c>
      <c r="U63">
        <f t="shared" si="127"/>
        <v>1489411.7295176114</v>
      </c>
      <c r="V63">
        <f t="shared" si="128"/>
        <v>1601713.8003146127</v>
      </c>
      <c r="W63">
        <f t="shared" si="129"/>
        <v>1717875.6734652543</v>
      </c>
      <c r="X63">
        <f t="shared" si="130"/>
        <v>1838030.0096952324</v>
      </c>
      <c r="Y63">
        <f t="shared" si="131"/>
        <v>1962314.0292559718</v>
      </c>
      <c r="Z63">
        <f t="shared" si="132"/>
        <v>2090869.6686347236</v>
      </c>
      <c r="AA63">
        <f t="shared" si="133"/>
        <v>2223843.7426507561</v>
      </c>
      <c r="AB63">
        <f t="shared" si="134"/>
        <v>2361388.1121227639</v>
      </c>
      <c r="AC63">
        <f t="shared" si="135"/>
        <v>2503659.8572989772</v>
      </c>
      <c r="AD63">
        <f t="shared" si="136"/>
        <v>2650821.45724804</v>
      </c>
      <c r="AE63">
        <f t="shared" si="137"/>
        <v>2803040.9754155078</v>
      </c>
      <c r="AI63">
        <f t="shared" si="112"/>
        <v>40739.599905399395</v>
      </c>
      <c r="AJ63">
        <f t="shared" si="138"/>
        <v>104385.70232693579</v>
      </c>
      <c r="AK63">
        <f t="shared" si="139"/>
        <v>171210.81633179908</v>
      </c>
      <c r="AL63">
        <f t="shared" si="140"/>
        <v>241373.72799270099</v>
      </c>
      <c r="AM63">
        <f t="shared" si="141"/>
        <v>315041.15446917911</v>
      </c>
      <c r="AN63">
        <f t="shared" si="142"/>
        <v>392388.14015152241</v>
      </c>
      <c r="AO63">
        <f t="shared" si="143"/>
        <v>473598.47259139462</v>
      </c>
      <c r="AP63">
        <f t="shared" si="144"/>
        <v>558865.11920746393</v>
      </c>
      <c r="AQ63">
        <f t="shared" si="145"/>
        <v>648390.68580371724</v>
      </c>
      <c r="AR63">
        <f t="shared" si="146"/>
        <v>742387.89798996178</v>
      </c>
      <c r="AS63">
        <f t="shared" si="147"/>
        <v>841080.10664843966</v>
      </c>
      <c r="AT63">
        <f t="shared" si="148"/>
        <v>944701.81864761643</v>
      </c>
      <c r="AU63">
        <f t="shared" si="149"/>
        <v>1053499.2540641953</v>
      </c>
      <c r="AV63">
        <f t="shared" si="150"/>
        <v>1167730.9312373996</v>
      </c>
      <c r="AW63">
        <f t="shared" si="151"/>
        <v>1287668.2810456904</v>
      </c>
      <c r="AX63">
        <f t="shared" si="152"/>
        <v>1413596.2918655353</v>
      </c>
      <c r="AY63">
        <f t="shared" si="153"/>
        <v>1545814.1867447407</v>
      </c>
      <c r="AZ63">
        <f t="shared" si="154"/>
        <v>1684636.1343994043</v>
      </c>
      <c r="BA63">
        <f t="shared" si="155"/>
        <v>1830391.9957239309</v>
      </c>
      <c r="BB63">
        <f t="shared" si="156"/>
        <v>1983428.1075879103</v>
      </c>
      <c r="BC63">
        <f t="shared" si="157"/>
        <v>2144108.1057822844</v>
      </c>
      <c r="BD63">
        <f t="shared" si="158"/>
        <v>2312813.789070237</v>
      </c>
      <c r="BE63">
        <f t="shared" si="159"/>
        <v>2489946.0263959118</v>
      </c>
      <c r="BF63">
        <f t="shared" si="160"/>
        <v>2675925.7094066241</v>
      </c>
      <c r="BG63">
        <f t="shared" si="161"/>
        <v>2871194.7525518937</v>
      </c>
      <c r="BH63">
        <f t="shared" si="162"/>
        <v>3076217.1431356687</v>
      </c>
      <c r="BI63">
        <f t="shared" si="163"/>
        <v>3291480.0438168324</v>
      </c>
      <c r="BJ63">
        <f t="shared" si="164"/>
        <v>3517494.9501776774</v>
      </c>
    </row>
    <row r="64" spans="1:62" x14ac:dyDescent="0.3">
      <c r="D64">
        <f t="shared" si="109"/>
        <v>45591.355987157353</v>
      </c>
      <c r="E64">
        <f t="shared" si="114"/>
        <v>108067.65961373791</v>
      </c>
      <c r="F64">
        <f t="shared" si="115"/>
        <v>172529.05614620942</v>
      </c>
      <c r="G64">
        <f t="shared" si="116"/>
        <v>239038.61899987137</v>
      </c>
      <c r="H64">
        <f t="shared" si="165"/>
        <v>308312.7262286598</v>
      </c>
      <c r="I64">
        <f t="shared" si="165"/>
        <v>380020.63272911456</v>
      </c>
      <c r="J64">
        <f t="shared" si="165"/>
        <v>454193.12732060562</v>
      </c>
      <c r="K64">
        <f t="shared" si="166"/>
        <v>531460.50710157095</v>
      </c>
      <c r="L64">
        <f t="shared" si="118"/>
        <v>612304.64749589353</v>
      </c>
      <c r="M64">
        <f t="shared" si="119"/>
        <v>696137.76563951443</v>
      </c>
      <c r="N64">
        <f t="shared" si="120"/>
        <v>783070.37032060558</v>
      </c>
      <c r="O64">
        <f t="shared" si="121"/>
        <v>873217.05606945104</v>
      </c>
      <c r="P64">
        <f t="shared" si="122"/>
        <v>966696.65421691956</v>
      </c>
      <c r="Q64">
        <f t="shared" si="123"/>
        <v>1065360.5264591018</v>
      </c>
      <c r="R64">
        <f t="shared" si="124"/>
        <v>1168765.6941594735</v>
      </c>
      <c r="S64">
        <f t="shared" si="125"/>
        <v>1276259.8202347022</v>
      </c>
      <c r="T64">
        <f t="shared" si="126"/>
        <v>1388004.5946753661</v>
      </c>
      <c r="U64">
        <f t="shared" si="127"/>
        <v>1498625.9705948511</v>
      </c>
      <c r="V64">
        <f t="shared" si="128"/>
        <v>1611244.7332314998</v>
      </c>
      <c r="W64">
        <f t="shared" si="129"/>
        <v>1727734.1828644264</v>
      </c>
      <c r="X64">
        <f t="shared" si="130"/>
        <v>1848227.3543225732</v>
      </c>
      <c r="Y64">
        <f t="shared" si="131"/>
        <v>1972861.8548184738</v>
      </c>
      <c r="Z64">
        <f t="shared" si="132"/>
        <v>2101780.0211002738</v>
      </c>
      <c r="AA64">
        <f t="shared" si="133"/>
        <v>2235129.0820050314</v>
      </c>
      <c r="AB64">
        <f t="shared" si="134"/>
        <v>2373061.3265989497</v>
      </c>
      <c r="AC64">
        <f t="shared" si="135"/>
        <v>2515734.2780965604</v>
      </c>
      <c r="AD64">
        <f t="shared" si="136"/>
        <v>2663310.8737574792</v>
      </c>
      <c r="AE64">
        <f t="shared" si="137"/>
        <v>2815959.65096618</v>
      </c>
      <c r="AI64">
        <f t="shared" si="112"/>
        <v>45925.760077014369</v>
      </c>
      <c r="AJ64">
        <f t="shared" si="138"/>
        <v>109830.90213540642</v>
      </c>
      <c r="AK64">
        <f t="shared" si="139"/>
        <v>176927.9943542695</v>
      </c>
      <c r="AL64">
        <f t="shared" si="140"/>
        <v>247376.4690656313</v>
      </c>
      <c r="AM64">
        <f t="shared" si="141"/>
        <v>321343.72196786868</v>
      </c>
      <c r="AN64">
        <f t="shared" si="142"/>
        <v>399005.5098819391</v>
      </c>
      <c r="AO64">
        <f t="shared" si="143"/>
        <v>480546.36837484158</v>
      </c>
      <c r="AP64">
        <f t="shared" si="144"/>
        <v>566160.05024263833</v>
      </c>
      <c r="AQ64">
        <f t="shared" si="145"/>
        <v>656049.98589493835</v>
      </c>
      <c r="AR64">
        <f t="shared" si="146"/>
        <v>750429.76673478098</v>
      </c>
      <c r="AS64">
        <f t="shared" si="147"/>
        <v>849523.6526824988</v>
      </c>
      <c r="AT64">
        <f t="shared" si="148"/>
        <v>953567.10504951223</v>
      </c>
      <c r="AU64">
        <f t="shared" si="149"/>
        <v>1062807.3460282367</v>
      </c>
      <c r="AV64">
        <f t="shared" si="150"/>
        <v>1177503.9461275358</v>
      </c>
      <c r="AW64">
        <f t="shared" si="151"/>
        <v>1297929.4409495464</v>
      </c>
      <c r="AX64">
        <f t="shared" si="152"/>
        <v>1424369.9787734281</v>
      </c>
      <c r="AY64">
        <f t="shared" si="153"/>
        <v>1557126.0004847918</v>
      </c>
      <c r="AZ64">
        <f t="shared" si="154"/>
        <v>1696512.9534664098</v>
      </c>
      <c r="BA64">
        <f t="shared" si="155"/>
        <v>1842862.0411465273</v>
      </c>
      <c r="BB64">
        <f t="shared" si="156"/>
        <v>1996521.0099857931</v>
      </c>
      <c r="BC64">
        <f t="shared" si="157"/>
        <v>2157854.9757728186</v>
      </c>
      <c r="BD64">
        <f t="shared" si="158"/>
        <v>2327247.291191753</v>
      </c>
      <c r="BE64">
        <f t="shared" si="159"/>
        <v>2505100.4567233431</v>
      </c>
      <c r="BF64">
        <f t="shared" si="160"/>
        <v>2691837.0770439091</v>
      </c>
      <c r="BG64">
        <f t="shared" si="161"/>
        <v>2887900.8651947798</v>
      </c>
      <c r="BH64">
        <f t="shared" si="162"/>
        <v>3093757.6969082309</v>
      </c>
      <c r="BI64">
        <f t="shared" si="163"/>
        <v>3309896.717595167</v>
      </c>
      <c r="BJ64">
        <f t="shared" si="164"/>
        <v>3536831.5046249009</v>
      </c>
    </row>
    <row r="65" spans="1:62" x14ac:dyDescent="0.3">
      <c r="D65">
        <f t="shared" si="109"/>
        <v>50723.399426283839</v>
      </c>
      <c r="E65">
        <f t="shared" si="114"/>
        <v>113362.76620532975</v>
      </c>
      <c r="F65">
        <f t="shared" si="115"/>
        <v>177992.40698275101</v>
      </c>
      <c r="G65">
        <f t="shared" si="116"/>
        <v>244675.55979546104</v>
      </c>
      <c r="H65">
        <f t="shared" si="165"/>
        <v>314196.26811662468</v>
      </c>
      <c r="I65">
        <f t="shared" si="165"/>
        <v>386106.39091341064</v>
      </c>
      <c r="J65">
        <f t="shared" si="165"/>
        <v>460488.05193964974</v>
      </c>
      <c r="K65">
        <f t="shared" si="166"/>
        <v>538085.98243808874</v>
      </c>
      <c r="L65">
        <f t="shared" si="118"/>
        <v>619175.0805778061</v>
      </c>
      <c r="M65">
        <f t="shared" si="119"/>
        <v>703262.21306940226</v>
      </c>
      <c r="N65">
        <f t="shared" si="120"/>
        <v>790458.22354267701</v>
      </c>
      <c r="O65">
        <f t="shared" si="121"/>
        <v>880878.05374934152</v>
      </c>
      <c r="P65">
        <f t="shared" si="122"/>
        <v>974640.8950791969</v>
      </c>
      <c r="Q65">
        <f t="shared" si="123"/>
        <v>1073825.2834832501</v>
      </c>
      <c r="R65">
        <f t="shared" si="124"/>
        <v>1177565.1737114678</v>
      </c>
      <c r="S65">
        <f t="shared" si="125"/>
        <v>1285407.258272802</v>
      </c>
      <c r="T65">
        <f t="shared" si="126"/>
        <v>1397513.7505483301</v>
      </c>
      <c r="U65">
        <f t="shared" si="127"/>
        <v>1507866.1958319286</v>
      </c>
      <c r="V65">
        <f t="shared" si="128"/>
        <v>1620802.5433792127</v>
      </c>
      <c r="W65">
        <f t="shared" si="129"/>
        <v>1737620.4932601042</v>
      </c>
      <c r="X65">
        <f t="shared" si="130"/>
        <v>1858453.4554617628</v>
      </c>
      <c r="Y65">
        <f t="shared" si="131"/>
        <v>1983439.425249062</v>
      </c>
      <c r="Z65">
        <f t="shared" si="132"/>
        <v>2112721.1407597768</v>
      </c>
      <c r="AA65">
        <f t="shared" si="133"/>
        <v>2246446.2460162854</v>
      </c>
      <c r="AB65">
        <f t="shared" si="134"/>
        <v>2384767.4595399587</v>
      </c>
      <c r="AC65">
        <f t="shared" si="135"/>
        <v>2527842.7487607924</v>
      </c>
      <c r="AD65">
        <f t="shared" si="136"/>
        <v>2675835.5104214754</v>
      </c>
      <c r="AE65">
        <f t="shared" si="137"/>
        <v>2828914.7571819047</v>
      </c>
      <c r="AI65">
        <f t="shared" si="112"/>
        <v>51133.02792052782</v>
      </c>
      <c r="AJ65">
        <f t="shared" si="138"/>
        <v>115298.26390709753</v>
      </c>
      <c r="AK65">
        <f t="shared" si="139"/>
        <v>182668.44129129138</v>
      </c>
      <c r="AL65">
        <f t="shared" si="140"/>
        <v>253403.64129472844</v>
      </c>
      <c r="AM65">
        <f t="shared" si="141"/>
        <v>327671.94091627793</v>
      </c>
      <c r="AN65">
        <f t="shared" si="142"/>
        <v>405649.8123071586</v>
      </c>
      <c r="AO65">
        <f t="shared" si="143"/>
        <v>487522.54209412722</v>
      </c>
      <c r="AP65">
        <f t="shared" si="144"/>
        <v>573484.67164712586</v>
      </c>
      <c r="AQ65">
        <f t="shared" si="145"/>
        <v>663740.45933753077</v>
      </c>
      <c r="AR65">
        <f t="shared" si="146"/>
        <v>758504.3658853916</v>
      </c>
      <c r="AS65">
        <f t="shared" si="147"/>
        <v>858001.56394891662</v>
      </c>
      <c r="AT65">
        <f t="shared" si="148"/>
        <v>962468.47316706378</v>
      </c>
      <c r="AU65">
        <f t="shared" si="149"/>
        <v>1072153.3219265717</v>
      </c>
      <c r="AV65">
        <f t="shared" si="150"/>
        <v>1187316.737188275</v>
      </c>
      <c r="AW65">
        <f t="shared" si="151"/>
        <v>1308232.3637742111</v>
      </c>
      <c r="AX65">
        <f t="shared" si="152"/>
        <v>1435187.5145870361</v>
      </c>
      <c r="AY65">
        <f t="shared" si="153"/>
        <v>1568483.853306765</v>
      </c>
      <c r="AZ65">
        <f t="shared" si="154"/>
        <v>1708438.1111870182</v>
      </c>
      <c r="BA65">
        <f t="shared" si="155"/>
        <v>1855382.8396539937</v>
      </c>
      <c r="BB65">
        <f t="shared" si="156"/>
        <v>2009667.2004964354</v>
      </c>
      <c r="BC65">
        <f t="shared" si="157"/>
        <v>2171657.7955242139</v>
      </c>
      <c r="BD65">
        <f t="shared" si="158"/>
        <v>2341739.5376669033</v>
      </c>
      <c r="BE65">
        <f t="shared" si="159"/>
        <v>2520316.5655822069</v>
      </c>
      <c r="BF65">
        <f t="shared" si="160"/>
        <v>2707813.203947478</v>
      </c>
      <c r="BG65">
        <f t="shared" si="161"/>
        <v>2904674.9717161227</v>
      </c>
      <c r="BH65">
        <f t="shared" si="162"/>
        <v>3111369.6407346474</v>
      </c>
      <c r="BI65">
        <f t="shared" si="163"/>
        <v>3328388.3472357793</v>
      </c>
      <c r="BJ65">
        <f t="shared" si="164"/>
        <v>3556246.7588487244</v>
      </c>
    </row>
    <row r="66" spans="1:62" x14ac:dyDescent="0.3">
      <c r="D66">
        <f t="shared" si="109"/>
        <v>55868.837498786437</v>
      </c>
      <c r="E66">
        <f>(E65+5000)*1.00407-(0.00146*(E65+5000))</f>
        <v>118671.69302512567</v>
      </c>
      <c r="F66">
        <f>(F65+5000)*1.00407-(0.00146*(F65+5000))</f>
        <v>183470.01716497599</v>
      </c>
      <c r="G66">
        <f>(G65+5000)*1.00407-(0.00125*(G65+5000))</f>
        <v>250379.64487408425</v>
      </c>
      <c r="H66">
        <f t="shared" si="165"/>
        <v>320096.40159271355</v>
      </c>
      <c r="I66">
        <f t="shared" si="165"/>
        <v>392209.31093578646</v>
      </c>
      <c r="J66">
        <f t="shared" si="165"/>
        <v>466800.72824611957</v>
      </c>
      <c r="K66">
        <f t="shared" si="166"/>
        <v>544731.53296487615</v>
      </c>
      <c r="L66">
        <f t="shared" si="118"/>
        <v>626066.3310719569</v>
      </c>
      <c r="M66">
        <f t="shared" si="119"/>
        <v>710408.24757500261</v>
      </c>
      <c r="N66">
        <f t="shared" si="120"/>
        <v>797868.46196001139</v>
      </c>
      <c r="O66">
        <f t="shared" si="121"/>
        <v>888562.264252202</v>
      </c>
      <c r="P66">
        <f t="shared" si="122"/>
        <v>982609.20699128683</v>
      </c>
      <c r="Q66">
        <f t="shared" si="123"/>
        <v>1082317.4409258852</v>
      </c>
      <c r="R66">
        <f t="shared" si="124"/>
        <v>1186393.1371787719</v>
      </c>
      <c r="S66">
        <f t="shared" si="125"/>
        <v>1294584.306567831</v>
      </c>
      <c r="T66">
        <f t="shared" si="126"/>
        <v>1407053.6875588549</v>
      </c>
      <c r="U66">
        <f t="shared" si="127"/>
        <v>1517132.4785041746</v>
      </c>
      <c r="V66">
        <f t="shared" si="128"/>
        <v>1630387.3065515421</v>
      </c>
      <c r="W66">
        <f t="shared" si="129"/>
        <v>1747534.6830510979</v>
      </c>
      <c r="X66">
        <f t="shared" si="130"/>
        <v>1868708.3942061651</v>
      </c>
      <c r="Y66">
        <f t="shared" si="131"/>
        <v>1994046.8244282645</v>
      </c>
      <c r="Z66">
        <f t="shared" si="132"/>
        <v>2123693.1143767196</v>
      </c>
      <c r="AA66">
        <f t="shared" si="133"/>
        <v>2257795.3244300513</v>
      </c>
      <c r="AB66">
        <f t="shared" si="134"/>
        <v>2396506.6037758612</v>
      </c>
      <c r="AC66">
        <f t="shared" si="135"/>
        <v>2539985.3653122978</v>
      </c>
      <c r="AD66">
        <f t="shared" si="136"/>
        <v>2688395.4665608639</v>
      </c>
      <c r="AE66">
        <f t="shared" si="137"/>
        <v>2841906.3967971574</v>
      </c>
      <c r="AI66">
        <f t="shared" si="112"/>
        <v>56361.489344164373</v>
      </c>
      <c r="AJ66">
        <f t="shared" si="138"/>
        <v>120787.87784119941</v>
      </c>
      <c r="AK66">
        <f t="shared" si="139"/>
        <v>188432.25184734695</v>
      </c>
      <c r="AL66">
        <f t="shared" si="140"/>
        <v>259455.34411479798</v>
      </c>
      <c r="AM66">
        <f t="shared" si="141"/>
        <v>334025.91571580718</v>
      </c>
      <c r="AN66">
        <f t="shared" si="142"/>
        <v>412321.15704324876</v>
      </c>
      <c r="AO66">
        <f t="shared" si="143"/>
        <v>494527.1088404503</v>
      </c>
      <c r="AP66">
        <f t="shared" si="144"/>
        <v>580839.10426072963</v>
      </c>
      <c r="AQ66">
        <f t="shared" si="145"/>
        <v>671462.23300703452</v>
      </c>
      <c r="AR66">
        <f t="shared" si="146"/>
        <v>766611.82865454513</v>
      </c>
      <c r="AS66">
        <f t="shared" si="147"/>
        <v>866513.98031418875</v>
      </c>
      <c r="AT66">
        <f t="shared" si="148"/>
        <v>971406.06985285378</v>
      </c>
      <c r="AU66">
        <f t="shared" si="149"/>
        <v>1081537.3359468128</v>
      </c>
      <c r="AV66">
        <f t="shared" si="150"/>
        <v>1197169.4663086312</v>
      </c>
      <c r="AW66">
        <f t="shared" si="151"/>
        <v>1318577.2194947721</v>
      </c>
      <c r="AX66">
        <f t="shared" si="152"/>
        <v>1446049.0777714055</v>
      </c>
      <c r="AY66">
        <f t="shared" si="153"/>
        <v>1579887.9325897235</v>
      </c>
      <c r="AZ66">
        <f t="shared" si="154"/>
        <v>1720411.8042995494</v>
      </c>
      <c r="BA66">
        <f t="shared" si="155"/>
        <v>1867954.5978113855</v>
      </c>
      <c r="BB66">
        <f t="shared" si="156"/>
        <v>2022866.8960024558</v>
      </c>
      <c r="BC66">
        <f t="shared" si="157"/>
        <v>2185516.7927519977</v>
      </c>
      <c r="BD66">
        <f t="shared" si="158"/>
        <v>2356290.7675852077</v>
      </c>
      <c r="BE66">
        <f t="shared" si="159"/>
        <v>2535594.6040041265</v>
      </c>
      <c r="BF66">
        <f t="shared" si="160"/>
        <v>2723854.3536875444</v>
      </c>
      <c r="BG66">
        <f t="shared" si="161"/>
        <v>2921517.3488510074</v>
      </c>
      <c r="BH66">
        <f t="shared" si="162"/>
        <v>3129053.2651724373</v>
      </c>
      <c r="BI66">
        <f t="shared" si="163"/>
        <v>3346955.2378090289</v>
      </c>
      <c r="BJ66">
        <f t="shared" si="164"/>
        <v>3575741.0331572387</v>
      </c>
    </row>
    <row r="67" spans="1:62" x14ac:dyDescent="0.3">
      <c r="D67">
        <f t="shared" si="109"/>
        <v>61027.705164658269</v>
      </c>
      <c r="E67">
        <f>(E66+5000)*1.00407-(0.00146*(E66+5000))</f>
        <v>123994.47614392126</v>
      </c>
      <c r="F67">
        <f>(F66+5000)*1.00407-(0.00146*(F66+5000))</f>
        <v>188961.92390977655</v>
      </c>
      <c r="G67">
        <f>(G66+5000)*1.00407-(0.00125*(G66+5000))</f>
        <v>256099.81547262915</v>
      </c>
      <c r="H67">
        <f t="shared" si="165"/>
        <v>326013.17344520503</v>
      </c>
      <c r="I67">
        <f t="shared" si="165"/>
        <v>398329.44119262544</v>
      </c>
      <c r="J67">
        <f t="shared" si="165"/>
        <v>473131.20629977365</v>
      </c>
      <c r="K67">
        <f t="shared" si="166"/>
        <v>551397.2195097598</v>
      </c>
      <c r="L67">
        <f t="shared" si="118"/>
        <v>632978.46205510502</v>
      </c>
      <c r="M67">
        <f t="shared" si="119"/>
        <v>717575.93456515495</v>
      </c>
      <c r="N67">
        <f t="shared" si="120"/>
        <v>805301.15339975024</v>
      </c>
      <c r="O67">
        <f t="shared" si="121"/>
        <v>896269.75791288621</v>
      </c>
      <c r="P67">
        <f t="shared" si="122"/>
        <v>990601.66288847046</v>
      </c>
      <c r="Q67">
        <f t="shared" si="123"/>
        <v>1090837.0874821623</v>
      </c>
      <c r="R67">
        <f t="shared" si="124"/>
        <v>1195249.6767638195</v>
      </c>
      <c r="S67">
        <f t="shared" si="125"/>
        <v>1303791.0609681911</v>
      </c>
      <c r="T67">
        <f t="shared" si="126"/>
        <v>1416624.5053454828</v>
      </c>
      <c r="U67">
        <f t="shared" si="127"/>
        <v>1526424.8920935562</v>
      </c>
      <c r="V67">
        <f t="shared" si="128"/>
        <v>1639999.0987560176</v>
      </c>
      <c r="W67" s="3">
        <f t="shared" si="129"/>
        <v>1757476.8308573021</v>
      </c>
      <c r="X67">
        <f t="shared" si="130"/>
        <v>1878992.2518778266</v>
      </c>
      <c r="Y67">
        <f t="shared" si="131"/>
        <v>2004684.1364731523</v>
      </c>
      <c r="Z67">
        <f t="shared" si="132"/>
        <v>2134696.0289592617</v>
      </c>
      <c r="AA67">
        <f t="shared" si="133"/>
        <v>2269176.4072449445</v>
      </c>
      <c r="AB67" s="3">
        <f t="shared" si="134"/>
        <v>2408278.8523985092</v>
      </c>
      <c r="AC67">
        <f t="shared" si="135"/>
        <v>2552162.2240424785</v>
      </c>
      <c r="AD67">
        <f t="shared" si="136"/>
        <v>2700990.8417765656</v>
      </c>
      <c r="AE67">
        <f t="shared" si="137"/>
        <v>2854934.6728361254</v>
      </c>
      <c r="AI67">
        <f t="shared" si="112"/>
        <v>61611.230605795121</v>
      </c>
      <c r="AJ67">
        <f t="shared" si="138"/>
        <v>126299.8345040131</v>
      </c>
      <c r="AK67">
        <f t="shared" si="139"/>
        <v>194219.52111236565</v>
      </c>
      <c r="AL67">
        <f t="shared" si="140"/>
        <v>265531.67736534524</v>
      </c>
      <c r="AM67">
        <f t="shared" si="141"/>
        <v>340405.75119277049</v>
      </c>
      <c r="AN67">
        <f t="shared" si="142"/>
        <v>419019.65415241482</v>
      </c>
      <c r="AO67">
        <f t="shared" si="143"/>
        <v>501560.18417343096</v>
      </c>
      <c r="AP67">
        <f t="shared" si="144"/>
        <v>588223.46941507084</v>
      </c>
      <c r="AQ67">
        <f t="shared" si="145"/>
        <v>679215.43429537315</v>
      </c>
      <c r="AR67">
        <f t="shared" si="146"/>
        <v>774752.28879716911</v>
      </c>
      <c r="AS67">
        <f t="shared" si="147"/>
        <v>875061.04221406754</v>
      </c>
      <c r="AT67">
        <f t="shared" si="148"/>
        <v>980380.0425571549</v>
      </c>
      <c r="AU67">
        <f t="shared" si="149"/>
        <v>1090959.5429041162</v>
      </c>
      <c r="AV67">
        <f t="shared" si="150"/>
        <v>1207062.2960365075</v>
      </c>
      <c r="AW67">
        <f t="shared" si="151"/>
        <v>1328964.1787781159</v>
      </c>
      <c r="AX67">
        <f t="shared" si="152"/>
        <v>1456954.8475179351</v>
      </c>
      <c r="AY67">
        <f t="shared" si="153"/>
        <v>1591338.4264753638</v>
      </c>
      <c r="AZ67">
        <f t="shared" si="154"/>
        <v>1732434.2303430487</v>
      </c>
      <c r="BA67">
        <f t="shared" si="155"/>
        <v>1880577.523024478</v>
      </c>
      <c r="BB67" s="3">
        <f t="shared" si="156"/>
        <v>2036120.3142691858</v>
      </c>
      <c r="BC67">
        <f t="shared" si="157"/>
        <v>2199432.1960984985</v>
      </c>
      <c r="BD67">
        <f t="shared" si="158"/>
        <v>2370901.2210092796</v>
      </c>
      <c r="BE67">
        <f t="shared" si="159"/>
        <v>2550934.8240424232</v>
      </c>
      <c r="BF67">
        <f t="shared" si="160"/>
        <v>2739960.7909070528</v>
      </c>
      <c r="BG67" s="3">
        <f t="shared" si="161"/>
        <v>2938428.2744608312</v>
      </c>
      <c r="BH67">
        <f t="shared" si="162"/>
        <v>3146808.8619616893</v>
      </c>
      <c r="BI67">
        <f t="shared" si="163"/>
        <v>3365597.6956269117</v>
      </c>
      <c r="BJ67">
        <f t="shared" si="164"/>
        <v>3595314.6491621886</v>
      </c>
    </row>
    <row r="70" spans="1:62" x14ac:dyDescent="0.3">
      <c r="D70" t="s">
        <v>57</v>
      </c>
      <c r="AI70" t="s">
        <v>57</v>
      </c>
      <c r="AJ70" t="s">
        <v>66</v>
      </c>
    </row>
    <row r="71" spans="1:62" x14ac:dyDescent="0.3">
      <c r="D71" t="s">
        <v>58</v>
      </c>
      <c r="AI71" t="s">
        <v>58</v>
      </c>
    </row>
    <row r="72" spans="1:62" x14ac:dyDescent="0.3">
      <c r="D72" t="s">
        <v>80</v>
      </c>
      <c r="AI72" t="s">
        <v>80</v>
      </c>
    </row>
    <row r="73" spans="1:62" x14ac:dyDescent="0.3">
      <c r="D73" t="s">
        <v>15</v>
      </c>
      <c r="E73" t="s">
        <v>16</v>
      </c>
      <c r="F73" t="s">
        <v>17</v>
      </c>
      <c r="G73" t="s">
        <v>18</v>
      </c>
      <c r="H73" t="s">
        <v>19</v>
      </c>
      <c r="I73" t="s">
        <v>20</v>
      </c>
      <c r="J73" t="s">
        <v>21</v>
      </c>
      <c r="K73" t="s">
        <v>22</v>
      </c>
      <c r="L73" t="s">
        <v>23</v>
      </c>
      <c r="M73" t="s">
        <v>24</v>
      </c>
      <c r="N73" t="s">
        <v>25</v>
      </c>
      <c r="O73" t="s">
        <v>26</v>
      </c>
      <c r="P73" t="s">
        <v>27</v>
      </c>
      <c r="Q73" t="s">
        <v>28</v>
      </c>
      <c r="R73" t="s">
        <v>29</v>
      </c>
      <c r="S73" t="s">
        <v>30</v>
      </c>
      <c r="T73" t="s">
        <v>31</v>
      </c>
      <c r="U73" t="s">
        <v>32</v>
      </c>
      <c r="V73" t="s">
        <v>33</v>
      </c>
      <c r="W73" t="s">
        <v>34</v>
      </c>
      <c r="X73" t="s">
        <v>35</v>
      </c>
      <c r="Y73" t="s">
        <v>36</v>
      </c>
      <c r="Z73" t="s">
        <v>37</v>
      </c>
      <c r="AA73" t="s">
        <v>38</v>
      </c>
      <c r="AB73" t="s">
        <v>39</v>
      </c>
      <c r="AC73" t="s">
        <v>67</v>
      </c>
      <c r="AD73" t="s">
        <v>68</v>
      </c>
      <c r="AE73" t="s">
        <v>69</v>
      </c>
      <c r="AI73" t="s">
        <v>15</v>
      </c>
      <c r="AJ73" t="s">
        <v>16</v>
      </c>
      <c r="AK73" t="s">
        <v>17</v>
      </c>
      <c r="AL73" t="s">
        <v>18</v>
      </c>
      <c r="AM73" t="s">
        <v>19</v>
      </c>
      <c r="AN73" t="s">
        <v>20</v>
      </c>
      <c r="AO73" t="s">
        <v>21</v>
      </c>
      <c r="AP73" t="s">
        <v>22</v>
      </c>
      <c r="AQ73" t="s">
        <v>23</v>
      </c>
      <c r="AR73" t="s">
        <v>24</v>
      </c>
      <c r="AS73" t="s">
        <v>25</v>
      </c>
      <c r="AT73" t="s">
        <v>26</v>
      </c>
      <c r="AU73" t="s">
        <v>27</v>
      </c>
      <c r="AV73" t="s">
        <v>28</v>
      </c>
      <c r="AW73" t="s">
        <v>29</v>
      </c>
      <c r="AX73" t="s">
        <v>30</v>
      </c>
      <c r="AY73" t="s">
        <v>31</v>
      </c>
      <c r="AZ73" t="s">
        <v>32</v>
      </c>
      <c r="BA73" t="s">
        <v>33</v>
      </c>
      <c r="BB73" t="s">
        <v>34</v>
      </c>
      <c r="BC73" t="s">
        <v>35</v>
      </c>
      <c r="BD73" t="s">
        <v>36</v>
      </c>
      <c r="BE73" t="s">
        <v>37</v>
      </c>
      <c r="BF73" t="s">
        <v>38</v>
      </c>
      <c r="BG73" t="s">
        <v>39</v>
      </c>
      <c r="BH73" t="s">
        <v>67</v>
      </c>
      <c r="BI73" t="s">
        <v>68</v>
      </c>
      <c r="BJ73" t="s">
        <v>69</v>
      </c>
    </row>
    <row r="74" spans="1:62" x14ac:dyDescent="0.3">
      <c r="D74">
        <v>0</v>
      </c>
      <c r="AI74">
        <v>0</v>
      </c>
    </row>
    <row r="75" spans="1:62" x14ac:dyDescent="0.3">
      <c r="D75">
        <f t="shared" ref="D75:D86" si="167">(D74+5000)*1.00487-(0.00146*(D74+5000))</f>
        <v>5017.0499999999993</v>
      </c>
      <c r="E75">
        <f>(D86+5000)*1.00487-(0.00146*(D86+5000))</f>
        <v>66572.912959793408</v>
      </c>
      <c r="F75">
        <f>(E86+5000)*1.00487-(0.00146*(E86+5000))</f>
        <v>130695.42428106008</v>
      </c>
      <c r="G75">
        <f>(F86+5000)*1.00487-(0.00146*(F86+5000))</f>
        <v>197491.60356347242</v>
      </c>
      <c r="H75">
        <f>(G86+5000)*1.00487-(0.00125*(G86+5000))</f>
        <v>267237.49728246831</v>
      </c>
      <c r="I75">
        <f>(H86+5000)*1.00487-(0.00125*(H86+5000))</f>
        <v>340510.94713422249</v>
      </c>
      <c r="J75">
        <f>(I86+5000)*1.00487-(0.00125*(I86+5000))</f>
        <v>417031.54012259573</v>
      </c>
      <c r="K75">
        <f>(J86+5000)*1.00487-(0.00125*(J86+5000))</f>
        <v>496943.17473429785</v>
      </c>
      <c r="L75">
        <f t="shared" ref="L75:Q75" si="168">(K86+5000)*1.00487-(0.00104*(K86+5000))</f>
        <v>581451.86736702023</v>
      </c>
      <c r="M75">
        <f t="shared" si="168"/>
        <v>670260.45414078538</v>
      </c>
      <c r="N75">
        <f t="shared" si="168"/>
        <v>763237.77055797668</v>
      </c>
      <c r="O75">
        <f t="shared" si="168"/>
        <v>860579.49935008818</v>
      </c>
      <c r="P75">
        <f t="shared" si="168"/>
        <v>962490.50871629291</v>
      </c>
      <c r="Q75">
        <f t="shared" si="168"/>
        <v>1069185.2834949419</v>
      </c>
      <c r="R75">
        <f>(Q86+5000)*1.00487-(0.000833*(Q86+5000))</f>
        <v>1183744.5286404062</v>
      </c>
      <c r="S75">
        <f>(R86+5000)*1.00487-(0.000833*(R86+5000))</f>
        <v>1303978.3781302602</v>
      </c>
      <c r="T75">
        <f>(S86+5000)*1.00487-(0.000833*(S86+5000))</f>
        <v>1430167.9191384339</v>
      </c>
      <c r="U75">
        <f t="shared" ref="U75:AE75" si="169">(T86+5000)*1.00487-(0.00125*(T86+5000))</f>
        <v>1561959.1746358657</v>
      </c>
      <c r="V75">
        <f t="shared" si="169"/>
        <v>1692608.7493589814</v>
      </c>
      <c r="W75">
        <f t="shared" si="169"/>
        <v>1829048.1138452739</v>
      </c>
      <c r="X75">
        <f t="shared" si="169"/>
        <v>1971533.8450148955</v>
      </c>
      <c r="Y75">
        <f t="shared" si="169"/>
        <v>2120333.8900999888</v>
      </c>
      <c r="Z75">
        <f t="shared" si="169"/>
        <v>2275728.070524747</v>
      </c>
      <c r="AA75">
        <f t="shared" si="169"/>
        <v>2438008.608115132</v>
      </c>
      <c r="AB75">
        <f t="shared" si="169"/>
        <v>2607480.6746277874</v>
      </c>
      <c r="AC75">
        <f t="shared" si="169"/>
        <v>2784462.9656315581</v>
      </c>
      <c r="AD75">
        <f t="shared" si="169"/>
        <v>2969288.2998208022</v>
      </c>
      <c r="AE75">
        <f t="shared" si="169"/>
        <v>3162304.2448875215</v>
      </c>
      <c r="AI75">
        <f t="shared" ref="AI75:AI86" si="170">(AI74+5000)*1.00487-0</f>
        <v>5024.3499999999995</v>
      </c>
      <c r="AJ75">
        <f t="shared" ref="AJ75:BJ75" si="171">(AI86+5000)*1.00487-0</f>
        <v>67259.598513920835</v>
      </c>
      <c r="AK75">
        <f t="shared" si="171"/>
        <v>133230.89162357524</v>
      </c>
      <c r="AL75">
        <f t="shared" si="171"/>
        <v>203162.50784563358</v>
      </c>
      <c r="AM75">
        <f t="shared" si="171"/>
        <v>277292.18936181365</v>
      </c>
      <c r="AN75">
        <f t="shared" si="171"/>
        <v>355871.95025624236</v>
      </c>
      <c r="AO75">
        <f t="shared" si="171"/>
        <v>439168.93327211897</v>
      </c>
      <c r="AP75">
        <f t="shared" si="171"/>
        <v>527466.31800034293</v>
      </c>
      <c r="AQ75">
        <f t="shared" si="171"/>
        <v>621064.28358761978</v>
      </c>
      <c r="AR75">
        <f t="shared" si="171"/>
        <v>720281.02923690272</v>
      </c>
      <c r="AS75">
        <f t="shared" si="171"/>
        <v>825453.85596950212</v>
      </c>
      <c r="AT75">
        <f t="shared" si="171"/>
        <v>936940.31332646508</v>
      </c>
      <c r="AU75">
        <f t="shared" si="171"/>
        <v>1055119.4149075896</v>
      </c>
      <c r="AV75">
        <f t="shared" si="171"/>
        <v>1180392.9268804723</v>
      </c>
      <c r="AW75">
        <f t="shared" si="171"/>
        <v>1313186.7338400483</v>
      </c>
      <c r="AX75">
        <f t="shared" si="171"/>
        <v>1453952.2866620559</v>
      </c>
      <c r="AY75">
        <f t="shared" si="171"/>
        <v>1603168.1372725978</v>
      </c>
      <c r="AZ75">
        <f t="shared" si="171"/>
        <v>1761341.5655514707</v>
      </c>
      <c r="BA75">
        <f t="shared" si="171"/>
        <v>1929010.303900131</v>
      </c>
      <c r="BB75">
        <f t="shared" si="171"/>
        <v>2106744.3653372149</v>
      </c>
      <c r="BC75">
        <f t="shared" si="171"/>
        <v>2295147.981336474</v>
      </c>
      <c r="BD75">
        <f t="shared" si="171"/>
        <v>2494861.6559950667</v>
      </c>
      <c r="BE75">
        <f t="shared" si="171"/>
        <v>2706564.3435156471</v>
      </c>
      <c r="BF75">
        <f t="shared" si="171"/>
        <v>2930975.7564048842</v>
      </c>
      <c r="BG75">
        <f t="shared" si="171"/>
        <v>3168858.8122354723</v>
      </c>
      <c r="BH75">
        <f t="shared" si="171"/>
        <v>3421022.2272897195</v>
      </c>
      <c r="BI75">
        <f t="shared" si="171"/>
        <v>3688323.2659021718</v>
      </c>
      <c r="BJ75">
        <f t="shared" si="171"/>
        <v>3971670.6548480485</v>
      </c>
    </row>
    <row r="76" spans="1:62" x14ac:dyDescent="0.3">
      <c r="D76">
        <f t="shared" si="167"/>
        <v>10051.208140499999</v>
      </c>
      <c r="E76">
        <f t="shared" ref="E76:E84" si="172">(E75+5000)*1.00487-(0.00146*(E75+5000))</f>
        <v>71816.976592986292</v>
      </c>
      <c r="F76">
        <f t="shared" ref="F76:F84" si="173">(F75+5000)*1.00487-(0.00146*(F75+5000))</f>
        <v>136158.14567785847</v>
      </c>
      <c r="G76">
        <f t="shared" ref="G76:G84" si="174">(G75+5000)*1.00487-(0.00146*(G75+5000))</f>
        <v>203182.09993162384</v>
      </c>
      <c r="H76">
        <f t="shared" ref="H76:K78" si="175">(H75+5000)*1.00487-(0.00125*(H75+5000))</f>
        <v>273222.99702263082</v>
      </c>
      <c r="I76">
        <f t="shared" si="175"/>
        <v>346761.69676284835</v>
      </c>
      <c r="J76">
        <f t="shared" si="175"/>
        <v>423559.29429783951</v>
      </c>
      <c r="K76">
        <f t="shared" si="175"/>
        <v>503760.20902683598</v>
      </c>
      <c r="L76">
        <f t="shared" ref="L76:L86" si="176">(L75+5000)*1.00487-(0.00104*(L75+5000))</f>
        <v>588697.97801903577</v>
      </c>
      <c r="M76">
        <f t="shared" ref="M76:M86" si="177">(M75+5000)*1.00487-(0.00104*(M75+5000))</f>
        <v>677846.70168014453</v>
      </c>
      <c r="N76">
        <f t="shared" ref="N76:N86" si="178">(N75+5000)*1.00487-(0.00104*(N75+5000))</f>
        <v>771180.1212192137</v>
      </c>
      <c r="O76">
        <f t="shared" ref="O76:O86" si="179">(O75+5000)*1.00487-(0.00104*(O75+5000))</f>
        <v>868894.66883259895</v>
      </c>
      <c r="P76">
        <f t="shared" ref="P76:P86" si="180">(P75+5000)*1.00487-(0.00104*(P75+5000))</f>
        <v>971195.99736467621</v>
      </c>
      <c r="Q76">
        <f t="shared" ref="Q76:Q86" si="181">(Q75+5000)*1.00487-(0.000833*(Q75+5000))</f>
        <v>1078521.769484411</v>
      </c>
      <c r="R76">
        <f t="shared" ref="R76:R86" si="182">(R75+5000)*1.00487-(0.000833*(R75+5000))</f>
        <v>1193543.4903025276</v>
      </c>
      <c r="S76">
        <f t="shared" ref="S76:S86" si="183">(S75+5000)*1.00487-(0.000833*(S75+5000))</f>
        <v>1314262.723842772</v>
      </c>
      <c r="T76">
        <f t="shared" ref="T76:T86" si="184">(T75+5000)*1.00487-(0.000833*(T75+5000))</f>
        <v>1440961.6920279956</v>
      </c>
      <c r="U76">
        <f t="shared" ref="U76:U86" si="185">(U75+5000)*1.00487-(0.00125*(U75+5000))</f>
        <v>1572631.5668480475</v>
      </c>
      <c r="V76">
        <f t="shared" ref="V76:V86" si="186">(V75+5000)*1.00487-(0.00125*(V75+5000))</f>
        <v>1703754.0930316609</v>
      </c>
      <c r="W76">
        <f t="shared" ref="W76:W86" si="187">(W75+5000)*1.00487-(0.00125*(W75+5000))</f>
        <v>1840687.3680173936</v>
      </c>
      <c r="X76">
        <f t="shared" ref="X76:X86" si="188">(X75+5000)*1.00487-(0.00125*(X75+5000))</f>
        <v>1983688.8975338493</v>
      </c>
      <c r="Y76">
        <f t="shared" ref="Y76:Y86" si="189">(Y75+5000)*1.00487-(0.00125*(Y75+5000))</f>
        <v>2133027.598782151</v>
      </c>
      <c r="Z76">
        <f t="shared" ref="Z76:Z86" si="190">(Z75+5000)*1.00487-(0.00125*(Z75+5000))</f>
        <v>2288984.3061400466</v>
      </c>
      <c r="AA76">
        <f t="shared" ref="AA76:AA86" si="191">(AA75+5000)*1.00487-(0.00125*(AA75+5000))</f>
        <v>2451852.2992765084</v>
      </c>
      <c r="AB76">
        <f t="shared" ref="AB76:AB86" si="192">(AB75+5000)*1.00487-(0.00125*(AB75+5000))</f>
        <v>2621937.8546699397</v>
      </c>
      <c r="AC76">
        <f t="shared" ref="AC76:AC86" si="193">(AC75+5000)*1.00487-(0.00125*(AC75+5000))</f>
        <v>2799560.8215671442</v>
      </c>
      <c r="AD76">
        <f t="shared" ref="AD76:AD86" si="194">(AD75+5000)*1.00487-(0.00125*(AD75+5000))</f>
        <v>2985055.2234661533</v>
      </c>
      <c r="AE76">
        <f t="shared" ref="AE76:AE86" si="195">(AE75+5000)*1.00487-(0.00125*(AE75+5000))</f>
        <v>3178769.886254014</v>
      </c>
      <c r="AI76">
        <f t="shared" si="170"/>
        <v>10073.168584499997</v>
      </c>
      <c r="AJ76">
        <f t="shared" ref="AJ76:AJ86" si="196">(AJ75+5000)*1.00487-0</f>
        <v>72611.502758683622</v>
      </c>
      <c r="AK76">
        <f t="shared" ref="AK76:AK86" si="197">(AK75+5000)*1.00487-0</f>
        <v>138904.07606578205</v>
      </c>
      <c r="AL76">
        <f t="shared" ref="AL76:AL86" si="198">(AL75+5000)*1.00487-0</f>
        <v>209176.2592588418</v>
      </c>
      <c r="AM76">
        <f t="shared" ref="AM76:AM86" si="199">(AM75+5000)*1.00487-0</f>
        <v>283666.95232400566</v>
      </c>
      <c r="AN76">
        <f t="shared" ref="AN76:AN86" si="200">(AN75+5000)*1.00487-0</f>
        <v>362629.39665399026</v>
      </c>
      <c r="AO76">
        <f t="shared" ref="AO76:AO86" si="201">(AO75+5000)*1.00487-0</f>
        <v>446332.03597715416</v>
      </c>
      <c r="AP76">
        <f t="shared" ref="AP76:AP86" si="202">(AP75+5000)*1.00487-0</f>
        <v>535059.42896900454</v>
      </c>
      <c r="AQ76">
        <f t="shared" ref="AQ76:AQ86" si="203">(AQ75+5000)*1.00487-0</f>
        <v>629113.21664869145</v>
      </c>
      <c r="AR76">
        <f t="shared" ref="AR76:AR86" si="204">(AR75+5000)*1.00487-0</f>
        <v>728813.14784928632</v>
      </c>
      <c r="AS76">
        <f t="shared" ref="AS76:AS86" si="205">(AS75+5000)*1.00487-0</f>
        <v>834498.16624807357</v>
      </c>
      <c r="AT76">
        <f t="shared" ref="AT76:AT86" si="206">(AT75+5000)*1.00487-0</f>
        <v>946527.56265236496</v>
      </c>
      <c r="AU76">
        <f t="shared" ref="AU76:AU86" si="207">(AU75+5000)*1.00487-0</f>
        <v>1065282.1964581895</v>
      </c>
      <c r="AV76">
        <f t="shared" ref="AV76:AV86" si="208">(AV75+5000)*1.00487-0</f>
        <v>1191165.7904343801</v>
      </c>
      <c r="AW76">
        <f t="shared" ref="AW76:AW86" si="209">(AW75+5000)*1.00487-0</f>
        <v>1324606.3032338494</v>
      </c>
      <c r="AX76">
        <f t="shared" ref="AX76:AX86" si="210">(AX75+5000)*1.00487-0</f>
        <v>1466057.3842980999</v>
      </c>
      <c r="AY76">
        <f t="shared" ref="AY76:AY86" si="211">(AY75+5000)*1.00487-0</f>
        <v>1615999.9161011153</v>
      </c>
      <c r="AZ76">
        <f t="shared" ref="AZ76:AZ86" si="212">(AZ75+5000)*1.00487-0</f>
        <v>1774943.6489757062</v>
      </c>
      <c r="BA76">
        <f t="shared" ref="BA76:BA86" si="213">(BA75+5000)*1.00487-0</f>
        <v>1943428.9340801246</v>
      </c>
      <c r="BB76">
        <f t="shared" ref="BB76:BB86" si="214">(BB75+5000)*1.00487-0</f>
        <v>2122028.5603964068</v>
      </c>
      <c r="BC76">
        <f t="shared" ref="BC76:BC86" si="215">(BC75+5000)*1.00487-0</f>
        <v>2311349.7020055824</v>
      </c>
      <c r="BD76">
        <f t="shared" ref="BD76:BD86" si="216">(BD75+5000)*1.00487-0</f>
        <v>2512035.9822597625</v>
      </c>
      <c r="BE76">
        <f t="shared" ref="BE76:BE86" si="217">(BE75+5000)*1.00487-0</f>
        <v>2724769.661868568</v>
      </c>
      <c r="BF76">
        <f t="shared" ref="BF76:BF86" si="218">(BF75+5000)*1.00487-0</f>
        <v>2950273.9583385759</v>
      </c>
      <c r="BG76">
        <f t="shared" ref="BG76:BG86" si="219">(BG75+5000)*1.00487-0</f>
        <v>3189315.5046510589</v>
      </c>
      <c r="BH76">
        <f t="shared" ref="BH76:BH86" si="220">(BH75+5000)*1.00487-0</f>
        <v>3442706.9555366202</v>
      </c>
      <c r="BI76">
        <f t="shared" ref="BI76:BI86" si="221">(BI75+5000)*1.00487-0</f>
        <v>3711309.750207115</v>
      </c>
      <c r="BJ76">
        <f t="shared" ref="BJ76:BJ86" si="222">(BJ75+5000)*1.00487-0</f>
        <v>3996037.0409371583</v>
      </c>
    </row>
    <row r="77" spans="1:62" x14ac:dyDescent="0.3">
      <c r="A77">
        <f>0.0175/12</f>
        <v>1.4583333333333334E-3</v>
      </c>
      <c r="B77">
        <v>1.75</v>
      </c>
      <c r="D77">
        <f t="shared" si="167"/>
        <v>15102.532760259104</v>
      </c>
      <c r="E77">
        <f t="shared" si="172"/>
        <v>77078.922483168368</v>
      </c>
      <c r="F77">
        <f t="shared" si="173"/>
        <v>141639.49495461994</v>
      </c>
      <c r="G77">
        <f t="shared" si="174"/>
        <v>208892.00089239067</v>
      </c>
      <c r="H77">
        <f t="shared" si="175"/>
        <v>279230.1642718527</v>
      </c>
      <c r="I77">
        <f t="shared" si="175"/>
        <v>353035.07410512981</v>
      </c>
      <c r="J77">
        <f t="shared" si="175"/>
        <v>430110.67894319771</v>
      </c>
      <c r="K77">
        <f t="shared" si="175"/>
        <v>510601.92098351306</v>
      </c>
      <c r="L77">
        <f t="shared" si="176"/>
        <v>595971.84127484856</v>
      </c>
      <c r="M77">
        <f t="shared" si="177"/>
        <v>685462.00454757945</v>
      </c>
      <c r="N77">
        <f t="shared" si="178"/>
        <v>779152.89108348323</v>
      </c>
      <c r="O77">
        <f t="shared" si="179"/>
        <v>877241.68541422777</v>
      </c>
      <c r="P77">
        <f t="shared" si="180"/>
        <v>979934.8280345829</v>
      </c>
      <c r="Q77">
        <f t="shared" si="181"/>
        <v>1087895.9468678196</v>
      </c>
      <c r="R77">
        <f t="shared" si="182"/>
        <v>1203382.0103728788</v>
      </c>
      <c r="S77">
        <f t="shared" si="183"/>
        <v>1324588.5874589251</v>
      </c>
      <c r="T77">
        <f t="shared" si="184"/>
        <v>1451799.0393787124</v>
      </c>
      <c r="U77">
        <f t="shared" si="185"/>
        <v>1583342.5931200373</v>
      </c>
      <c r="V77">
        <f t="shared" si="186"/>
        <v>1714939.7828484355</v>
      </c>
      <c r="W77">
        <f t="shared" si="187"/>
        <v>1852368.7562896165</v>
      </c>
      <c r="X77">
        <f t="shared" si="188"/>
        <v>1995887.9513429217</v>
      </c>
      <c r="Y77">
        <f t="shared" si="189"/>
        <v>2145767.2586897421</v>
      </c>
      <c r="Z77">
        <f t="shared" si="190"/>
        <v>2302288.5293282736</v>
      </c>
      <c r="AA77">
        <f t="shared" si="191"/>
        <v>2465746.1045998894</v>
      </c>
      <c r="AB77">
        <f t="shared" si="192"/>
        <v>2636447.3697038447</v>
      </c>
      <c r="AC77">
        <f t="shared" si="193"/>
        <v>2814713.3317412171</v>
      </c>
      <c r="AD77">
        <f t="shared" si="194"/>
        <v>3000879.2233751006</v>
      </c>
      <c r="AE77">
        <f t="shared" si="195"/>
        <v>3195295.1332422532</v>
      </c>
      <c r="AI77">
        <f t="shared" si="170"/>
        <v>15146.574915506511</v>
      </c>
      <c r="AJ77">
        <f t="shared" si="196"/>
        <v>77989.470777118404</v>
      </c>
      <c r="AK77">
        <f t="shared" si="197"/>
        <v>144604.88891622241</v>
      </c>
      <c r="AL77">
        <f t="shared" si="198"/>
        <v>215219.29764143235</v>
      </c>
      <c r="AM77">
        <f t="shared" si="199"/>
        <v>290072.76038182352</v>
      </c>
      <c r="AN77">
        <f t="shared" si="200"/>
        <v>369419.75181569514</v>
      </c>
      <c r="AO77">
        <f t="shared" si="201"/>
        <v>453530.02299236285</v>
      </c>
      <c r="AP77">
        <f t="shared" si="202"/>
        <v>542689.51838808355</v>
      </c>
      <c r="AQ77">
        <f t="shared" si="203"/>
        <v>637201.34801377053</v>
      </c>
      <c r="AR77">
        <f t="shared" si="204"/>
        <v>737386.81787931232</v>
      </c>
      <c r="AS77">
        <f t="shared" si="205"/>
        <v>843586.5223177016</v>
      </c>
      <c r="AT77">
        <f t="shared" si="206"/>
        <v>956161.50188248185</v>
      </c>
      <c r="AU77">
        <f t="shared" si="207"/>
        <v>1075494.4707549408</v>
      </c>
      <c r="AV77">
        <f t="shared" si="208"/>
        <v>1201991.1178337955</v>
      </c>
      <c r="AW77">
        <f t="shared" si="209"/>
        <v>1336081.4859305981</v>
      </c>
      <c r="AX77">
        <f t="shared" si="210"/>
        <v>1478221.4337596316</v>
      </c>
      <c r="AY77">
        <f t="shared" si="211"/>
        <v>1628894.1856925276</v>
      </c>
      <c r="AZ77">
        <f t="shared" si="212"/>
        <v>1788611.9745462178</v>
      </c>
      <c r="BA77">
        <f t="shared" si="213"/>
        <v>1957917.7829890947</v>
      </c>
      <c r="BB77">
        <f t="shared" si="214"/>
        <v>2137387.1894855374</v>
      </c>
      <c r="BC77">
        <f t="shared" si="215"/>
        <v>2327630.3250543494</v>
      </c>
      <c r="BD77">
        <f t="shared" si="216"/>
        <v>2529293.9474933674</v>
      </c>
      <c r="BE77">
        <f t="shared" si="217"/>
        <v>2743063.6401218679</v>
      </c>
      <c r="BF77">
        <f t="shared" si="218"/>
        <v>2969666.1425156845</v>
      </c>
      <c r="BG77">
        <f t="shared" si="219"/>
        <v>3209871.8211587095</v>
      </c>
      <c r="BH77">
        <f t="shared" si="220"/>
        <v>3464497.2884100834</v>
      </c>
      <c r="BI77">
        <f t="shared" si="221"/>
        <v>3734408.1786906235</v>
      </c>
      <c r="BJ77">
        <f t="shared" si="222"/>
        <v>4020522.0913265222</v>
      </c>
    </row>
    <row r="78" spans="1:62" x14ac:dyDescent="0.3">
      <c r="A78">
        <f>0.015/12</f>
        <v>1.25E-3</v>
      </c>
      <c r="B78">
        <v>1.5</v>
      </c>
      <c r="D78">
        <f t="shared" si="167"/>
        <v>20171.082396971589</v>
      </c>
      <c r="E78">
        <f t="shared" si="172"/>
        <v>82358.811608835967</v>
      </c>
      <c r="F78">
        <f t="shared" si="173"/>
        <v>147139.53563241518</v>
      </c>
      <c r="G78">
        <f t="shared" si="174"/>
        <v>214621.37261543371</v>
      </c>
      <c r="H78">
        <f t="shared" si="175"/>
        <v>285259.07746651676</v>
      </c>
      <c r="I78">
        <f t="shared" si="175"/>
        <v>359331.16107339039</v>
      </c>
      <c r="J78">
        <f t="shared" si="175"/>
        <v>436685.77960097208</v>
      </c>
      <c r="K78">
        <f t="shared" si="175"/>
        <v>517468.39993747335</v>
      </c>
      <c r="L78">
        <f t="shared" si="176"/>
        <v>603273.56342693116</v>
      </c>
      <c r="M78">
        <f t="shared" si="177"/>
        <v>693106.47402499663</v>
      </c>
      <c r="N78">
        <f t="shared" si="178"/>
        <v>787156.19665633293</v>
      </c>
      <c r="O78">
        <f t="shared" si="179"/>
        <v>885620.67106936418</v>
      </c>
      <c r="P78">
        <f t="shared" si="180"/>
        <v>988707.12842595531</v>
      </c>
      <c r="Q78">
        <f t="shared" si="181"/>
        <v>1097307.9678053248</v>
      </c>
      <c r="R78">
        <f t="shared" si="182"/>
        <v>1213260.2485487538</v>
      </c>
      <c r="S78">
        <f t="shared" si="183"/>
        <v>1334956.1365864966</v>
      </c>
      <c r="T78">
        <f t="shared" si="184"/>
        <v>1462680.1371006842</v>
      </c>
      <c r="U78">
        <f t="shared" si="185"/>
        <v>1594092.3933071317</v>
      </c>
      <c r="V78">
        <f t="shared" si="186"/>
        <v>1726165.9648623466</v>
      </c>
      <c r="W78">
        <f t="shared" si="187"/>
        <v>1864092.4311873848</v>
      </c>
      <c r="X78">
        <f t="shared" si="188"/>
        <v>2008131.165726783</v>
      </c>
      <c r="Y78">
        <f t="shared" si="189"/>
        <v>2158553.0361661986</v>
      </c>
      <c r="Z78">
        <f t="shared" si="190"/>
        <v>2315640.9138044417</v>
      </c>
      <c r="AA78">
        <f t="shared" si="191"/>
        <v>2479690.2054985408</v>
      </c>
      <c r="AB78">
        <f t="shared" si="192"/>
        <v>2651009.4091821723</v>
      </c>
      <c r="AC78">
        <f t="shared" si="193"/>
        <v>2829920.6940021203</v>
      </c>
      <c r="AD78">
        <f t="shared" si="194"/>
        <v>3016760.5061637182</v>
      </c>
      <c r="AE78">
        <f t="shared" si="195"/>
        <v>3211880.20162459</v>
      </c>
      <c r="AI78">
        <f t="shared" si="170"/>
        <v>20244.688735345029</v>
      </c>
      <c r="AJ78">
        <f t="shared" si="196"/>
        <v>83393.629499802963</v>
      </c>
      <c r="AK78">
        <f t="shared" si="197"/>
        <v>150333.46472524441</v>
      </c>
      <c r="AL78">
        <f t="shared" si="198"/>
        <v>221291.7656209461</v>
      </c>
      <c r="AM78">
        <f t="shared" si="199"/>
        <v>296509.76472488296</v>
      </c>
      <c r="AN78">
        <f t="shared" si="200"/>
        <v>376243.17600703757</v>
      </c>
      <c r="AO78">
        <f t="shared" si="201"/>
        <v>460763.06420433562</v>
      </c>
      <c r="AP78">
        <f t="shared" si="202"/>
        <v>550356.76634263352</v>
      </c>
      <c r="AQ78">
        <f t="shared" si="203"/>
        <v>645328.86857859755</v>
      </c>
      <c r="AR78">
        <f t="shared" si="204"/>
        <v>746002.24168238451</v>
      </c>
      <c r="AS78">
        <f t="shared" si="205"/>
        <v>852719.13868138869</v>
      </c>
      <c r="AT78">
        <f t="shared" si="206"/>
        <v>965842.35839664948</v>
      </c>
      <c r="AU78">
        <f t="shared" si="207"/>
        <v>1085756.4788275172</v>
      </c>
      <c r="AV78">
        <f t="shared" si="208"/>
        <v>1212869.1645776459</v>
      </c>
      <c r="AW78">
        <f t="shared" si="209"/>
        <v>1347612.55276708</v>
      </c>
      <c r="AX78">
        <f t="shared" si="210"/>
        <v>1490444.722142041</v>
      </c>
      <c r="AY78">
        <f t="shared" si="211"/>
        <v>1641851.2503768501</v>
      </c>
      <c r="AZ78">
        <f t="shared" si="212"/>
        <v>1802346.8648622578</v>
      </c>
      <c r="BA78">
        <f t="shared" si="213"/>
        <v>1972477.1925922516</v>
      </c>
      <c r="BB78">
        <f t="shared" si="214"/>
        <v>2152820.6150983316</v>
      </c>
      <c r="BC78">
        <f t="shared" si="215"/>
        <v>2343990.2347373641</v>
      </c>
      <c r="BD78">
        <f t="shared" si="216"/>
        <v>2546635.95901766</v>
      </c>
      <c r="BE78">
        <f t="shared" si="217"/>
        <v>2761446.7100492613</v>
      </c>
      <c r="BF78">
        <f t="shared" si="218"/>
        <v>2989152.7666297355</v>
      </c>
      <c r="BG78">
        <f t="shared" si="219"/>
        <v>3230528.2469277522</v>
      </c>
      <c r="BH78">
        <f t="shared" si="220"/>
        <v>3486393.7402046402</v>
      </c>
      <c r="BI78">
        <f t="shared" si="221"/>
        <v>3757619.0965208467</v>
      </c>
      <c r="BJ78">
        <f t="shared" si="222"/>
        <v>4045126.3839112818</v>
      </c>
    </row>
    <row r="79" spans="1:62" x14ac:dyDescent="0.3">
      <c r="A79">
        <f>0.0125/12</f>
        <v>1.0416666666666667E-3</v>
      </c>
      <c r="B79">
        <v>1.25</v>
      </c>
      <c r="D79">
        <f t="shared" si="167"/>
        <v>25256.915787945261</v>
      </c>
      <c r="E79">
        <f t="shared" si="172"/>
        <v>87656.705156422104</v>
      </c>
      <c r="F79">
        <f t="shared" si="173"/>
        <v>152658.3314489217</v>
      </c>
      <c r="G79">
        <f t="shared" si="174"/>
        <v>220370.28149605231</v>
      </c>
      <c r="H79">
        <f t="shared" ref="H79:J86" si="223">(H78+5000)*1.00487-(0.00125*(H78+5000))</f>
        <v>291309.81532694551</v>
      </c>
      <c r="I79">
        <f t="shared" si="223"/>
        <v>365650.03987647605</v>
      </c>
      <c r="J79">
        <f t="shared" si="223"/>
        <v>443284.68212312757</v>
      </c>
      <c r="K79">
        <f t="shared" ref="K79:K86" si="224">(K78+5000)*1.00487-(0.00104*(K78+5000))</f>
        <v>524469.45390923379</v>
      </c>
      <c r="L79">
        <f t="shared" si="176"/>
        <v>610603.25117485633</v>
      </c>
      <c r="M79">
        <f t="shared" si="177"/>
        <v>700780.2218205122</v>
      </c>
      <c r="N79">
        <f t="shared" si="178"/>
        <v>795190.15488952666</v>
      </c>
      <c r="O79">
        <f t="shared" si="179"/>
        <v>894031.7482395597</v>
      </c>
      <c r="P79">
        <f t="shared" si="180"/>
        <v>997513.02672782668</v>
      </c>
      <c r="Q79">
        <f t="shared" si="181"/>
        <v>1106757.9850713548</v>
      </c>
      <c r="R79">
        <f t="shared" si="182"/>
        <v>1223178.365172145</v>
      </c>
      <c r="S79">
        <f t="shared" si="183"/>
        <v>1345365.5395098962</v>
      </c>
      <c r="T79">
        <f t="shared" si="184"/>
        <v>1473605.1618141595</v>
      </c>
      <c r="U79">
        <f t="shared" si="185"/>
        <v>1604881.1077709033</v>
      </c>
      <c r="V79">
        <f t="shared" si="186"/>
        <v>1737432.7856551483</v>
      </c>
      <c r="W79">
        <f t="shared" si="187"/>
        <v>1875858.545788283</v>
      </c>
      <c r="X79">
        <f t="shared" si="188"/>
        <v>2020418.7005467138</v>
      </c>
      <c r="Y79">
        <f t="shared" si="189"/>
        <v>2171385.0981571199</v>
      </c>
      <c r="Z79">
        <f t="shared" si="190"/>
        <v>2329041.6339124134</v>
      </c>
      <c r="AA79">
        <f t="shared" si="191"/>
        <v>2493684.7840424455</v>
      </c>
      <c r="AB79">
        <f t="shared" si="192"/>
        <v>2665624.1632434116</v>
      </c>
      <c r="AC79">
        <f t="shared" si="193"/>
        <v>2845183.1069144076</v>
      </c>
      <c r="AD79">
        <f t="shared" si="194"/>
        <v>3032699.2791960309</v>
      </c>
      <c r="AE79">
        <f t="shared" si="195"/>
        <v>3228525.3079544706</v>
      </c>
      <c r="AI79">
        <f t="shared" si="170"/>
        <v>25367.630369486156</v>
      </c>
      <c r="AJ79">
        <f t="shared" si="196"/>
        <v>88824.106475466993</v>
      </c>
      <c r="AK79">
        <f t="shared" si="197"/>
        <v>156089.93869845633</v>
      </c>
      <c r="AL79">
        <f t="shared" si="198"/>
        <v>227393.80651952009</v>
      </c>
      <c r="AM79">
        <f t="shared" si="199"/>
        <v>302978.11727909313</v>
      </c>
      <c r="AN79">
        <f t="shared" si="200"/>
        <v>383099.8302741918</v>
      </c>
      <c r="AO79">
        <f t="shared" si="201"/>
        <v>468031.33032701071</v>
      </c>
      <c r="AP79">
        <f t="shared" si="202"/>
        <v>558061.35379472212</v>
      </c>
      <c r="AQ79">
        <f t="shared" si="203"/>
        <v>653495.9701685753</v>
      </c>
      <c r="AR79">
        <f t="shared" si="204"/>
        <v>754659.62259937765</v>
      </c>
      <c r="AS79">
        <f t="shared" si="205"/>
        <v>861896.23088676704</v>
      </c>
      <c r="AT79">
        <f t="shared" si="206"/>
        <v>975570.36068204104</v>
      </c>
      <c r="AU79">
        <f t="shared" si="207"/>
        <v>1096068.4628794072</v>
      </c>
      <c r="AV79">
        <f t="shared" si="208"/>
        <v>1223800.187409139</v>
      </c>
      <c r="AW79">
        <f t="shared" si="209"/>
        <v>1359199.7758990556</v>
      </c>
      <c r="AX79">
        <f t="shared" si="210"/>
        <v>1502727.5379388726</v>
      </c>
      <c r="AY79">
        <f t="shared" si="211"/>
        <v>1654871.4159661853</v>
      </c>
      <c r="AZ79">
        <f t="shared" si="212"/>
        <v>1816148.644094137</v>
      </c>
      <c r="BA79">
        <f t="shared" si="213"/>
        <v>1987107.5065201756</v>
      </c>
      <c r="BB79">
        <f t="shared" si="214"/>
        <v>2168329.2014938602</v>
      </c>
      <c r="BC79">
        <f t="shared" si="215"/>
        <v>2360429.8171805348</v>
      </c>
      <c r="BD79">
        <f t="shared" si="216"/>
        <v>2564062.426138076</v>
      </c>
      <c r="BE79">
        <f t="shared" si="217"/>
        <v>2779919.3055272009</v>
      </c>
      <c r="BF79">
        <f t="shared" si="218"/>
        <v>3008734.2906032219</v>
      </c>
      <c r="BG79">
        <f t="shared" si="219"/>
        <v>3251285.26949029</v>
      </c>
      <c r="BH79">
        <f t="shared" si="220"/>
        <v>3508396.8277194365</v>
      </c>
      <c r="BI79">
        <f t="shared" si="221"/>
        <v>3780943.0515209031</v>
      </c>
      <c r="BJ79">
        <f t="shared" si="222"/>
        <v>4069850.4994009295</v>
      </c>
    </row>
    <row r="80" spans="1:62" x14ac:dyDescent="0.3">
      <c r="A80">
        <f>0.01/12</f>
        <v>8.3333333333333339E-4</v>
      </c>
      <c r="B80">
        <v>1</v>
      </c>
      <c r="D80">
        <f t="shared" si="167"/>
        <v>30360.091870782151</v>
      </c>
      <c r="E80">
        <f t="shared" si="172"/>
        <v>92972.664521005499</v>
      </c>
      <c r="F80">
        <f t="shared" si="173"/>
        <v>158195.94635916251</v>
      </c>
      <c r="G80">
        <f t="shared" si="174"/>
        <v>226138.79415595383</v>
      </c>
      <c r="H80">
        <f t="shared" si="223"/>
        <v>297382.45685842901</v>
      </c>
      <c r="I80">
        <f t="shared" si="223"/>
        <v>371991.79302082886</v>
      </c>
      <c r="J80">
        <f t="shared" si="223"/>
        <v>449907.47267241328</v>
      </c>
      <c r="K80">
        <f t="shared" si="224"/>
        <v>531497.32191770617</v>
      </c>
      <c r="L80">
        <f t="shared" si="176"/>
        <v>617961.01162685605</v>
      </c>
      <c r="M80">
        <f t="shared" si="177"/>
        <v>708483.36007008469</v>
      </c>
      <c r="N80">
        <f t="shared" si="178"/>
        <v>803254.88318275346</v>
      </c>
      <c r="O80">
        <f t="shared" si="179"/>
        <v>902475.03983531706</v>
      </c>
      <c r="P80">
        <f t="shared" si="180"/>
        <v>1006352.6516201942</v>
      </c>
      <c r="Q80">
        <f t="shared" si="181"/>
        <v>1116246.1520570877</v>
      </c>
      <c r="R80">
        <f t="shared" si="182"/>
        <v>1233136.5212323447</v>
      </c>
      <c r="S80">
        <f t="shared" si="183"/>
        <v>1355816.9651928975</v>
      </c>
      <c r="T80">
        <f t="shared" si="184"/>
        <v>1484574.290852403</v>
      </c>
      <c r="U80">
        <f t="shared" si="185"/>
        <v>1615708.877381034</v>
      </c>
      <c r="V80">
        <f t="shared" si="186"/>
        <v>1748740.3923392198</v>
      </c>
      <c r="W80">
        <f t="shared" si="187"/>
        <v>1887667.2537240365</v>
      </c>
      <c r="X80">
        <f t="shared" si="188"/>
        <v>2032750.7162426927</v>
      </c>
      <c r="Y80">
        <f t="shared" si="189"/>
        <v>2184263.6122124484</v>
      </c>
      <c r="Z80">
        <f t="shared" si="190"/>
        <v>2342490.864627176</v>
      </c>
      <c r="AA80">
        <f t="shared" si="191"/>
        <v>2507730.0229606791</v>
      </c>
      <c r="AB80">
        <f t="shared" si="192"/>
        <v>2680291.8227143525</v>
      </c>
      <c r="AC80">
        <f t="shared" si="193"/>
        <v>2860500.7697614376</v>
      </c>
      <c r="AD80">
        <f t="shared" si="194"/>
        <v>3048695.7505867202</v>
      </c>
      <c r="AE80">
        <f t="shared" si="195"/>
        <v>3245230.6695692656</v>
      </c>
      <c r="AI80">
        <f t="shared" si="170"/>
        <v>30515.520729385553</v>
      </c>
      <c r="AJ80">
        <f t="shared" si="196"/>
        <v>94281.029874002517</v>
      </c>
      <c r="AK80">
        <f t="shared" si="197"/>
        <v>161874.44669991781</v>
      </c>
      <c r="AL80">
        <f t="shared" si="198"/>
        <v>233525.56435727014</v>
      </c>
      <c r="AM80">
        <f t="shared" si="199"/>
        <v>309477.97071024228</v>
      </c>
      <c r="AN80">
        <f t="shared" si="200"/>
        <v>389989.87644762709</v>
      </c>
      <c r="AO80">
        <f t="shared" si="201"/>
        <v>475334.9929057032</v>
      </c>
      <c r="AP80">
        <f t="shared" si="202"/>
        <v>565803.46258770232</v>
      </c>
      <c r="AQ80">
        <f t="shared" si="203"/>
        <v>661702.84554329619</v>
      </c>
      <c r="AR80">
        <f t="shared" si="204"/>
        <v>763359.16496143653</v>
      </c>
      <c r="AS80">
        <f t="shared" si="205"/>
        <v>871118.01553118555</v>
      </c>
      <c r="AT80">
        <f t="shared" si="206"/>
        <v>985345.73833856254</v>
      </c>
      <c r="AU80">
        <f t="shared" si="207"/>
        <v>1106430.6662936299</v>
      </c>
      <c r="AV80">
        <f t="shared" si="208"/>
        <v>1234784.4443218214</v>
      </c>
      <c r="AW80">
        <f t="shared" si="209"/>
        <v>1370843.428807684</v>
      </c>
      <c r="AX80">
        <f t="shared" si="210"/>
        <v>1515070.1710486347</v>
      </c>
      <c r="AY80">
        <f t="shared" si="211"/>
        <v>1667954.9897619404</v>
      </c>
      <c r="AZ80">
        <f t="shared" si="212"/>
        <v>1830017.6379908754</v>
      </c>
      <c r="BA80">
        <f t="shared" si="213"/>
        <v>2001809.0700769287</v>
      </c>
      <c r="BB80">
        <f t="shared" si="214"/>
        <v>2183913.3147051353</v>
      </c>
      <c r="BC80">
        <f t="shared" si="215"/>
        <v>2376949.4603902036</v>
      </c>
      <c r="BD80">
        <f t="shared" si="216"/>
        <v>2581573.7601533681</v>
      </c>
      <c r="BE80">
        <f t="shared" si="217"/>
        <v>2798481.8625451182</v>
      </c>
      <c r="BF80">
        <f t="shared" si="218"/>
        <v>3028411.1765984595</v>
      </c>
      <c r="BG80">
        <f t="shared" si="219"/>
        <v>3272143.3787527075</v>
      </c>
      <c r="BH80">
        <f t="shared" si="220"/>
        <v>3530507.0702704298</v>
      </c>
      <c r="BI80">
        <f t="shared" si="221"/>
        <v>3804380.5941818096</v>
      </c>
      <c r="BJ80">
        <f t="shared" si="222"/>
        <v>4094695.0213330118</v>
      </c>
    </row>
    <row r="81" spans="1:62" x14ac:dyDescent="0.3">
      <c r="D81">
        <f t="shared" si="167"/>
        <v>35480.669784061523</v>
      </c>
      <c r="E81">
        <f t="shared" si="172"/>
        <v>98306.751307022118</v>
      </c>
      <c r="F81">
        <f t="shared" si="173"/>
        <v>163752.44453624723</v>
      </c>
      <c r="G81">
        <f t="shared" si="174"/>
        <v>231926.9774440256</v>
      </c>
      <c r="H81">
        <f t="shared" si="223"/>
        <v>303477.08135225653</v>
      </c>
      <c r="I81">
        <f t="shared" si="223"/>
        <v>378356.50331156427</v>
      </c>
      <c r="J81">
        <f t="shared" si="223"/>
        <v>456554.23772348737</v>
      </c>
      <c r="K81">
        <f t="shared" si="224"/>
        <v>538552.10666065093</v>
      </c>
      <c r="L81">
        <f t="shared" si="176"/>
        <v>625346.95230138698</v>
      </c>
      <c r="M81">
        <f t="shared" si="177"/>
        <v>716216.00133915304</v>
      </c>
      <c r="N81">
        <f t="shared" si="178"/>
        <v>811350.49938534328</v>
      </c>
      <c r="O81">
        <f t="shared" si="179"/>
        <v>910950.66923788632</v>
      </c>
      <c r="P81">
        <f t="shared" si="180"/>
        <v>1015226.1322758994</v>
      </c>
      <c r="Q81">
        <f t="shared" si="181"/>
        <v>1125772.6227729421</v>
      </c>
      <c r="R81">
        <f t="shared" si="182"/>
        <v>1243134.8783685595</v>
      </c>
      <c r="S81">
        <f t="shared" si="183"/>
        <v>1366310.5832813811</v>
      </c>
      <c r="T81">
        <f t="shared" si="184"/>
        <v>1495587.7022645741</v>
      </c>
      <c r="U81">
        <f t="shared" si="185"/>
        <v>1626575.8435171531</v>
      </c>
      <c r="V81">
        <f t="shared" si="186"/>
        <v>1760088.9325594876</v>
      </c>
      <c r="W81">
        <f t="shared" si="187"/>
        <v>1899518.7091825174</v>
      </c>
      <c r="X81">
        <f t="shared" si="188"/>
        <v>2045127.373835491</v>
      </c>
      <c r="Y81">
        <f t="shared" si="189"/>
        <v>2197188.7464886573</v>
      </c>
      <c r="Z81">
        <f t="shared" si="190"/>
        <v>2355988.7815571264</v>
      </c>
      <c r="AA81">
        <f t="shared" si="191"/>
        <v>2521826.1056437967</v>
      </c>
      <c r="AB81">
        <f t="shared" si="192"/>
        <v>2695012.5791125782</v>
      </c>
      <c r="AC81">
        <f t="shared" si="193"/>
        <v>2875873.8825479737</v>
      </c>
      <c r="AD81">
        <f t="shared" si="194"/>
        <v>3064750.1292038439</v>
      </c>
      <c r="AE81">
        <f t="shared" si="195"/>
        <v>3261996.504593106</v>
      </c>
      <c r="AI81">
        <f t="shared" si="170"/>
        <v>35688.481315337653</v>
      </c>
      <c r="AJ81">
        <f t="shared" si="196"/>
        <v>99764.528489488905</v>
      </c>
      <c r="AK81">
        <f t="shared" si="197"/>
        <v>167687.12525534639</v>
      </c>
      <c r="AL81">
        <f t="shared" si="198"/>
        <v>239687.18385569003</v>
      </c>
      <c r="AM81">
        <f t="shared" si="199"/>
        <v>316009.47842760116</v>
      </c>
      <c r="AN81">
        <f t="shared" si="200"/>
        <v>396913.47714592703</v>
      </c>
      <c r="AO81">
        <f t="shared" si="201"/>
        <v>482674.22432115395</v>
      </c>
      <c r="AP81">
        <f t="shared" si="202"/>
        <v>573583.27545050438</v>
      </c>
      <c r="AQ81">
        <f t="shared" si="203"/>
        <v>669949.68840109196</v>
      </c>
      <c r="AR81">
        <f t="shared" si="204"/>
        <v>772101.07409479865</v>
      </c>
      <c r="AS81">
        <f t="shared" si="205"/>
        <v>880384.71026682237</v>
      </c>
      <c r="AT81">
        <f t="shared" si="206"/>
        <v>995168.72208427126</v>
      </c>
      <c r="AU81">
        <f t="shared" si="207"/>
        <v>1116843.3336384797</v>
      </c>
      <c r="AV81">
        <f t="shared" si="208"/>
        <v>1245822.1945656687</v>
      </c>
      <c r="AW81">
        <f t="shared" si="209"/>
        <v>1382543.7863059773</v>
      </c>
      <c r="AX81">
        <f t="shared" si="210"/>
        <v>1527472.9127816414</v>
      </c>
      <c r="AY81">
        <f t="shared" si="211"/>
        <v>1681102.2805620809</v>
      </c>
      <c r="AZ81">
        <f t="shared" si="212"/>
        <v>1843954.1738878908</v>
      </c>
      <c r="BA81">
        <f t="shared" si="213"/>
        <v>2016582.2302482033</v>
      </c>
      <c r="BB81">
        <f t="shared" si="214"/>
        <v>2199573.3225477492</v>
      </c>
      <c r="BC81">
        <f t="shared" si="215"/>
        <v>2393549.5542623037</v>
      </c>
      <c r="BD81">
        <f t="shared" si="216"/>
        <v>2599170.3743653148</v>
      </c>
      <c r="BE81">
        <f t="shared" si="217"/>
        <v>2817134.8192157126</v>
      </c>
      <c r="BF81">
        <f t="shared" si="218"/>
        <v>3048183.8890284938</v>
      </c>
      <c r="BG81">
        <f t="shared" si="219"/>
        <v>3293103.0670072329</v>
      </c>
      <c r="BH81">
        <f t="shared" si="220"/>
        <v>3552724.9897026466</v>
      </c>
      <c r="BI81">
        <f t="shared" si="221"/>
        <v>3827932.2776754745</v>
      </c>
      <c r="BJ81">
        <f t="shared" si="222"/>
        <v>4119660.5360869034</v>
      </c>
    </row>
    <row r="82" spans="1:62" x14ac:dyDescent="0.3">
      <c r="D82">
        <f t="shared" si="167"/>
        <v>40618.708868025169</v>
      </c>
      <c r="E82">
        <f t="shared" si="172"/>
        <v>103659.02732897906</v>
      </c>
      <c r="F82">
        <f t="shared" si="173"/>
        <v>169327.89037211583</v>
      </c>
      <c r="G82">
        <f t="shared" si="174"/>
        <v>237734.89843710972</v>
      </c>
      <c r="H82">
        <f t="shared" si="223"/>
        <v>309593.7683867517</v>
      </c>
      <c r="I82">
        <f t="shared" si="223"/>
        <v>384744.25385355216</v>
      </c>
      <c r="J82">
        <f t="shared" si="223"/>
        <v>463225.06406404637</v>
      </c>
      <c r="K82">
        <f t="shared" si="224"/>
        <v>545633.9112291612</v>
      </c>
      <c r="L82">
        <f t="shared" si="176"/>
        <v>632761.1811287012</v>
      </c>
      <c r="M82">
        <f t="shared" si="177"/>
        <v>723978.25862428197</v>
      </c>
      <c r="N82">
        <f t="shared" si="178"/>
        <v>819477.12179798912</v>
      </c>
      <c r="O82">
        <f t="shared" si="179"/>
        <v>919458.76030106738</v>
      </c>
      <c r="P82">
        <f t="shared" si="180"/>
        <v>1024133.598362516</v>
      </c>
      <c r="Q82">
        <f t="shared" si="181"/>
        <v>1135337.5518510763</v>
      </c>
      <c r="R82">
        <f t="shared" si="182"/>
        <v>1253173.5988725333</v>
      </c>
      <c r="S82">
        <f t="shared" si="183"/>
        <v>1376846.5641060879</v>
      </c>
      <c r="T82">
        <f t="shared" si="184"/>
        <v>1506645.574818616</v>
      </c>
      <c r="U82">
        <f t="shared" si="185"/>
        <v>1637482.1480706851</v>
      </c>
      <c r="V82">
        <f t="shared" si="186"/>
        <v>1771478.554495353</v>
      </c>
      <c r="W82">
        <f t="shared" si="187"/>
        <v>1911413.0669097579</v>
      </c>
      <c r="X82">
        <f t="shared" si="188"/>
        <v>2057548.8349287754</v>
      </c>
      <c r="Y82">
        <f t="shared" si="189"/>
        <v>2210160.6697509456</v>
      </c>
      <c r="Z82">
        <f t="shared" si="190"/>
        <v>2369535.560946363</v>
      </c>
      <c r="AA82">
        <f t="shared" si="191"/>
        <v>2535973.216146227</v>
      </c>
      <c r="AB82">
        <f t="shared" si="192"/>
        <v>2709786.6246489654</v>
      </c>
      <c r="AC82">
        <f t="shared" si="193"/>
        <v>2891302.6460027969</v>
      </c>
      <c r="AD82">
        <f t="shared" si="194"/>
        <v>3080862.6246715616</v>
      </c>
      <c r="AE82">
        <f t="shared" si="195"/>
        <v>3278823.0319397324</v>
      </c>
      <c r="AI82">
        <f t="shared" si="170"/>
        <v>40886.634219343345</v>
      </c>
      <c r="AJ82">
        <f t="shared" si="196"/>
        <v>105274.73174323271</v>
      </c>
      <c r="AK82">
        <f t="shared" si="197"/>
        <v>173528.11155533991</v>
      </c>
      <c r="AL82">
        <f t="shared" si="198"/>
        <v>245878.81044106724</v>
      </c>
      <c r="AM82">
        <f t="shared" si="199"/>
        <v>322572.79458754358</v>
      </c>
      <c r="AN82">
        <f t="shared" si="200"/>
        <v>403870.79577962769</v>
      </c>
      <c r="AO82">
        <f t="shared" si="201"/>
        <v>490049.19779359794</v>
      </c>
      <c r="AP82">
        <f t="shared" si="202"/>
        <v>581400.97600194835</v>
      </c>
      <c r="AQ82">
        <f t="shared" si="203"/>
        <v>678236.69338360522</v>
      </c>
      <c r="AR82">
        <f t="shared" si="204"/>
        <v>780885.5563256403</v>
      </c>
      <c r="AS82">
        <f t="shared" si="205"/>
        <v>889696.53380582167</v>
      </c>
      <c r="AT82">
        <f t="shared" si="206"/>
        <v>1005039.5437608216</v>
      </c>
      <c r="AU82">
        <f t="shared" si="207"/>
        <v>1127306.7106732989</v>
      </c>
      <c r="AV82">
        <f t="shared" si="208"/>
        <v>1256913.6986532034</v>
      </c>
      <c r="AW82">
        <f t="shared" si="209"/>
        <v>1394301.1245452873</v>
      </c>
      <c r="AX82">
        <f t="shared" si="210"/>
        <v>1539936.0558668878</v>
      </c>
      <c r="AY82">
        <f t="shared" si="211"/>
        <v>1694313.5986684181</v>
      </c>
      <c r="AZ82">
        <f t="shared" si="212"/>
        <v>1857958.5807147247</v>
      </c>
      <c r="BA82">
        <f t="shared" si="213"/>
        <v>2031427.3357095118</v>
      </c>
      <c r="BB82">
        <f t="shared" si="214"/>
        <v>2215309.5946285566</v>
      </c>
      <c r="BC82">
        <f t="shared" si="215"/>
        <v>2410230.490591561</v>
      </c>
      <c r="BD82">
        <f t="shared" si="216"/>
        <v>2616852.6840884737</v>
      </c>
      <c r="BE82">
        <f t="shared" si="217"/>
        <v>2835878.6157852928</v>
      </c>
      <c r="BF82">
        <f t="shared" si="218"/>
        <v>3068052.8945680624</v>
      </c>
      <c r="BG82">
        <f t="shared" si="219"/>
        <v>3314164.828943558</v>
      </c>
      <c r="BH82">
        <f t="shared" si="220"/>
        <v>3575051.1104024984</v>
      </c>
      <c r="BI82">
        <f t="shared" si="221"/>
        <v>3851598.6578677539</v>
      </c>
      <c r="BJ82">
        <f t="shared" si="222"/>
        <v>4144747.6328976462</v>
      </c>
    </row>
    <row r="83" spans="1:62" x14ac:dyDescent="0.3">
      <c r="D83">
        <f t="shared" si="167"/>
        <v>45774.268665265132</v>
      </c>
      <c r="E83">
        <f t="shared" si="172"/>
        <v>109029.55461217088</v>
      </c>
      <c r="F83">
        <f t="shared" si="173"/>
        <v>174922.34847828472</v>
      </c>
      <c r="G83">
        <f t="shared" si="174"/>
        <v>243562.62444078023</v>
      </c>
      <c r="H83">
        <f t="shared" si="223"/>
        <v>315732.59782831173</v>
      </c>
      <c r="I83">
        <f t="shared" si="223"/>
        <v>391155.128052502</v>
      </c>
      <c r="J83">
        <f t="shared" si="223"/>
        <v>469920.03879595816</v>
      </c>
      <c r="K83">
        <f t="shared" si="224"/>
        <v>552742.83910916885</v>
      </c>
      <c r="L83">
        <f t="shared" si="176"/>
        <v>640203.80645242403</v>
      </c>
      <c r="M83">
        <f t="shared" si="177"/>
        <v>731770.24535481283</v>
      </c>
      <c r="N83">
        <f t="shared" si="178"/>
        <v>827634.86917447532</v>
      </c>
      <c r="O83">
        <f t="shared" si="179"/>
        <v>927999.43735302042</v>
      </c>
      <c r="P83">
        <f t="shared" si="180"/>
        <v>1033075.1800442444</v>
      </c>
      <c r="Q83">
        <f t="shared" si="181"/>
        <v>1144941.094547899</v>
      </c>
      <c r="R83">
        <f t="shared" si="182"/>
        <v>1263252.8456911815</v>
      </c>
      <c r="S83">
        <f t="shared" si="183"/>
        <v>1387425.078685384</v>
      </c>
      <c r="T83">
        <f t="shared" si="184"/>
        <v>1517748.0880041586</v>
      </c>
      <c r="U83">
        <f t="shared" si="185"/>
        <v>1648427.9334467009</v>
      </c>
      <c r="V83">
        <f t="shared" si="186"/>
        <v>1782909.4068626261</v>
      </c>
      <c r="W83">
        <f t="shared" si="187"/>
        <v>1923350.482211971</v>
      </c>
      <c r="X83">
        <f t="shared" si="188"/>
        <v>2070015.2617112175</v>
      </c>
      <c r="Y83">
        <f t="shared" si="189"/>
        <v>2223179.5513754436</v>
      </c>
      <c r="Z83">
        <f t="shared" si="190"/>
        <v>2383131.3796769883</v>
      </c>
      <c r="AA83">
        <f t="shared" si="191"/>
        <v>2550171.539188676</v>
      </c>
      <c r="AB83">
        <f t="shared" si="192"/>
        <v>2724614.1522301948</v>
      </c>
      <c r="AC83">
        <f t="shared" si="193"/>
        <v>2906787.2615813268</v>
      </c>
      <c r="AD83">
        <f t="shared" si="194"/>
        <v>3097033.4473728724</v>
      </c>
      <c r="AE83">
        <f t="shared" si="195"/>
        <v>3295710.4713153541</v>
      </c>
      <c r="AI83">
        <f t="shared" si="170"/>
        <v>46110.102127991544</v>
      </c>
      <c r="AJ83">
        <f t="shared" si="196"/>
        <v>110811.76968682224</v>
      </c>
      <c r="AK83">
        <f t="shared" si="197"/>
        <v>179397.54345861441</v>
      </c>
      <c r="AL83">
        <f t="shared" si="198"/>
        <v>252100.59024791521</v>
      </c>
      <c r="AM83">
        <f t="shared" si="199"/>
        <v>329168.07409718487</v>
      </c>
      <c r="AN83">
        <f t="shared" si="200"/>
        <v>410861.99655507447</v>
      </c>
      <c r="AO83">
        <f t="shared" si="201"/>
        <v>497460.08738685271</v>
      </c>
      <c r="AP83">
        <f t="shared" si="202"/>
        <v>589256.74875507783</v>
      </c>
      <c r="AQ83">
        <f t="shared" si="203"/>
        <v>686564.05608038337</v>
      </c>
      <c r="AR83">
        <f t="shared" si="204"/>
        <v>789712.81898494612</v>
      </c>
      <c r="AS83">
        <f t="shared" si="205"/>
        <v>899053.70592545602</v>
      </c>
      <c r="AT83">
        <f t="shared" si="206"/>
        <v>1014958.4363389367</v>
      </c>
      <c r="AU83">
        <f t="shared" si="207"/>
        <v>1137821.0443542779</v>
      </c>
      <c r="AV83">
        <f t="shared" si="208"/>
        <v>1268059.2183656443</v>
      </c>
      <c r="AW83">
        <f t="shared" si="209"/>
        <v>1406115.7210218229</v>
      </c>
      <c r="AX83">
        <f t="shared" si="210"/>
        <v>1552459.8944589593</v>
      </c>
      <c r="AY83">
        <f t="shared" si="211"/>
        <v>1707589.2558939331</v>
      </c>
      <c r="AZ83">
        <f t="shared" si="212"/>
        <v>1872031.1890028054</v>
      </c>
      <c r="BA83">
        <f t="shared" si="213"/>
        <v>2046344.7368344169</v>
      </c>
      <c r="BB83">
        <f t="shared" si="214"/>
        <v>2231122.5023543974</v>
      </c>
      <c r="BC83">
        <f t="shared" si="215"/>
        <v>2426992.6630807417</v>
      </c>
      <c r="BD83">
        <f t="shared" si="216"/>
        <v>2634621.1066599842</v>
      </c>
      <c r="BE83">
        <f t="shared" si="217"/>
        <v>2854713.6946441671</v>
      </c>
      <c r="BF83">
        <f t="shared" si="218"/>
        <v>3088018.6621646085</v>
      </c>
      <c r="BG83">
        <f t="shared" si="219"/>
        <v>3335329.1616605129</v>
      </c>
      <c r="BH83">
        <f t="shared" si="220"/>
        <v>3597485.9593101582</v>
      </c>
      <c r="BI83">
        <f t="shared" si="221"/>
        <v>3875380.2933315695</v>
      </c>
      <c r="BJ83">
        <f t="shared" si="222"/>
        <v>4169956.9038698575</v>
      </c>
    </row>
    <row r="84" spans="1:62" x14ac:dyDescent="0.3">
      <c r="D84">
        <f t="shared" si="167"/>
        <v>50947.408921413684</v>
      </c>
      <c r="E84">
        <f t="shared" si="172"/>
        <v>114418.39539339837</v>
      </c>
      <c r="F84">
        <f t="shared" si="173"/>
        <v>180535.88368659565</v>
      </c>
      <c r="G84">
        <f t="shared" si="174"/>
        <v>249410.22299012326</v>
      </c>
      <c r="H84">
        <f t="shared" si="223"/>
        <v>321893.64983245014</v>
      </c>
      <c r="I84">
        <f t="shared" si="223"/>
        <v>397589.20961605205</v>
      </c>
      <c r="J84">
        <f t="shared" si="223"/>
        <v>476639.24933639955</v>
      </c>
      <c r="K84">
        <f t="shared" si="224"/>
        <v>559878.99418295699</v>
      </c>
      <c r="L84">
        <f t="shared" si="176"/>
        <v>647674.93703113683</v>
      </c>
      <c r="M84">
        <f t="shared" si="177"/>
        <v>739592.0753945217</v>
      </c>
      <c r="N84">
        <f t="shared" si="178"/>
        <v>835823.86072341353</v>
      </c>
      <c r="O84">
        <f t="shared" si="179"/>
        <v>936572.82519808237</v>
      </c>
      <c r="P84">
        <f t="shared" si="180"/>
        <v>1042051.0079838138</v>
      </c>
      <c r="Q84">
        <f t="shared" si="181"/>
        <v>1154583.4067465889</v>
      </c>
      <c r="R84">
        <f t="shared" si="182"/>
        <v>1273372.7824292367</v>
      </c>
      <c r="S84">
        <f t="shared" si="183"/>
        <v>1398046.2987280367</v>
      </c>
      <c r="T84">
        <f t="shared" si="184"/>
        <v>1528895.4220354313</v>
      </c>
      <c r="U84">
        <f t="shared" si="185"/>
        <v>1659413.3425657779</v>
      </c>
      <c r="V84">
        <f t="shared" si="186"/>
        <v>1794381.6389154687</v>
      </c>
      <c r="W84">
        <f t="shared" si="187"/>
        <v>1935331.1109575781</v>
      </c>
      <c r="X84">
        <f t="shared" si="188"/>
        <v>2082526.8169586121</v>
      </c>
      <c r="Y84">
        <f t="shared" si="189"/>
        <v>2236245.5613514227</v>
      </c>
      <c r="Z84">
        <f t="shared" si="190"/>
        <v>2396776.4152714191</v>
      </c>
      <c r="AA84">
        <f t="shared" si="191"/>
        <v>2564421.2601605388</v>
      </c>
      <c r="AB84">
        <f t="shared" si="192"/>
        <v>2739495.3554612678</v>
      </c>
      <c r="AC84">
        <f t="shared" si="193"/>
        <v>2922327.9314682507</v>
      </c>
      <c r="AD84">
        <f t="shared" si="194"/>
        <v>3113262.8084523617</v>
      </c>
      <c r="AE84">
        <f t="shared" si="195"/>
        <v>3312659.0432215156</v>
      </c>
      <c r="AI84">
        <f t="shared" si="170"/>
        <v>51359.008325354858</v>
      </c>
      <c r="AJ84">
        <f t="shared" si="196"/>
        <v>116375.77300519706</v>
      </c>
      <c r="AK84">
        <f t="shared" si="197"/>
        <v>185295.55949525785</v>
      </c>
      <c r="AL84">
        <f t="shared" si="198"/>
        <v>258352.67012242254</v>
      </c>
      <c r="AM84">
        <f t="shared" si="199"/>
        <v>335795.47261803813</v>
      </c>
      <c r="AN84">
        <f t="shared" si="200"/>
        <v>417887.24447829765</v>
      </c>
      <c r="AO84">
        <f t="shared" si="201"/>
        <v>504907.06801242667</v>
      </c>
      <c r="AP84">
        <f t="shared" si="202"/>
        <v>597150.77912151499</v>
      </c>
      <c r="AQ84">
        <f t="shared" si="203"/>
        <v>694931.97303349478</v>
      </c>
      <c r="AR84">
        <f t="shared" si="204"/>
        <v>798583.07041340275</v>
      </c>
      <c r="AS84">
        <f t="shared" si="205"/>
        <v>908456.44747331296</v>
      </c>
      <c r="AT84">
        <f t="shared" si="206"/>
        <v>1024925.6339239072</v>
      </c>
      <c r="AU84">
        <f t="shared" si="207"/>
        <v>1148386.5828402832</v>
      </c>
      <c r="AV84">
        <f t="shared" si="208"/>
        <v>1279259.016759085</v>
      </c>
      <c r="AW84">
        <f t="shared" si="209"/>
        <v>1417987.8545831991</v>
      </c>
      <c r="AX84">
        <f t="shared" si="210"/>
        <v>1565044.7241449743</v>
      </c>
      <c r="AY84">
        <f t="shared" si="211"/>
        <v>1720929.5655701365</v>
      </c>
      <c r="AZ84">
        <f t="shared" si="212"/>
        <v>1886172.330893249</v>
      </c>
      <c r="BA84">
        <f t="shared" si="213"/>
        <v>2061334.7857028004</v>
      </c>
      <c r="BB84">
        <f t="shared" si="214"/>
        <v>2247012.4189408631</v>
      </c>
      <c r="BC84">
        <f t="shared" si="215"/>
        <v>2443836.4673499446</v>
      </c>
      <c r="BD84">
        <f t="shared" si="216"/>
        <v>2652476.0614494183</v>
      </c>
      <c r="BE84">
        <f t="shared" si="217"/>
        <v>2873640.5003370838</v>
      </c>
      <c r="BF84">
        <f t="shared" si="218"/>
        <v>3108081.66304935</v>
      </c>
      <c r="BG84">
        <f t="shared" si="219"/>
        <v>3356596.5646777996</v>
      </c>
      <c r="BH84">
        <f t="shared" si="220"/>
        <v>3620030.0659319982</v>
      </c>
      <c r="BI84">
        <f t="shared" si="221"/>
        <v>3899277.7453600941</v>
      </c>
      <c r="BJ84">
        <f t="shared" si="222"/>
        <v>4195288.9439917039</v>
      </c>
    </row>
    <row r="85" spans="1:62" x14ac:dyDescent="0.3">
      <c r="D85">
        <f t="shared" si="167"/>
        <v>56138.189585835695</v>
      </c>
      <c r="E85">
        <f>(E84+5000)*1.00487-(0.00146*(E84+5000))</f>
        <v>119825.61212168986</v>
      </c>
      <c r="F85">
        <f>(F84+5000)*1.00487-(0.00146*(F84+5000))</f>
        <v>186168.56104996693</v>
      </c>
      <c r="G85">
        <f>(G84+5000)*1.00487-(0.00125*(G84+5000))</f>
        <v>255331.1879973475</v>
      </c>
      <c r="H85">
        <f t="shared" si="223"/>
        <v>328077.00484484358</v>
      </c>
      <c r="I85">
        <f t="shared" si="223"/>
        <v>404046.58255486214</v>
      </c>
      <c r="J85">
        <f t="shared" si="223"/>
        <v>483382.78341899731</v>
      </c>
      <c r="K85">
        <f t="shared" si="224"/>
        <v>567042.48073067772</v>
      </c>
      <c r="L85">
        <f t="shared" si="176"/>
        <v>655174.68203996599</v>
      </c>
      <c r="M85">
        <f t="shared" si="177"/>
        <v>747443.86304328265</v>
      </c>
      <c r="N85">
        <f t="shared" si="178"/>
        <v>844044.21610998421</v>
      </c>
      <c r="O85">
        <f t="shared" si="179"/>
        <v>945179.04911859101</v>
      </c>
      <c r="P85">
        <f t="shared" si="180"/>
        <v>1051061.2133443917</v>
      </c>
      <c r="Q85">
        <f t="shared" si="181"/>
        <v>1164264.6449596249</v>
      </c>
      <c r="R85">
        <f t="shared" si="182"/>
        <v>1283533.5733519034</v>
      </c>
      <c r="S85">
        <f t="shared" si="183"/>
        <v>1408710.3966360018</v>
      </c>
      <c r="T85">
        <f t="shared" si="184"/>
        <v>1540087.7578541883</v>
      </c>
      <c r="U85">
        <f t="shared" si="185"/>
        <v>1670438.5188658659</v>
      </c>
      <c r="V85">
        <f t="shared" si="186"/>
        <v>1805895.4004483426</v>
      </c>
      <c r="W85">
        <f t="shared" si="187"/>
        <v>1947355.1095792444</v>
      </c>
      <c r="X85">
        <f t="shared" si="188"/>
        <v>2095083.664036002</v>
      </c>
      <c r="Y85">
        <f t="shared" si="189"/>
        <v>2249358.8702835147</v>
      </c>
      <c r="Z85">
        <f t="shared" si="190"/>
        <v>2410470.8458947018</v>
      </c>
      <c r="AA85">
        <f t="shared" si="191"/>
        <v>2578722.5651223199</v>
      </c>
      <c r="AB85">
        <f t="shared" si="192"/>
        <v>2754430.4286480374</v>
      </c>
      <c r="AC85">
        <f t="shared" si="193"/>
        <v>2937924.8585801655</v>
      </c>
      <c r="AD85">
        <f t="shared" si="194"/>
        <v>3129550.9198189587</v>
      </c>
      <c r="AE85">
        <f t="shared" si="195"/>
        <v>3329668.9689579774</v>
      </c>
      <c r="AI85">
        <f t="shared" si="170"/>
        <v>56633.476695899335</v>
      </c>
      <c r="AJ85">
        <f t="shared" si="196"/>
        <v>121966.87301973236</v>
      </c>
      <c r="AK85">
        <f t="shared" si="197"/>
        <v>191222.29886999974</v>
      </c>
      <c r="AL85">
        <f t="shared" si="198"/>
        <v>264635.19762591866</v>
      </c>
      <c r="AM85">
        <f t="shared" si="199"/>
        <v>342455.14656968793</v>
      </c>
      <c r="AN85">
        <f t="shared" si="200"/>
        <v>424946.70535890694</v>
      </c>
      <c r="AO85">
        <f t="shared" si="201"/>
        <v>512390.31543364713</v>
      </c>
      <c r="AP85">
        <f t="shared" si="202"/>
        <v>605083.25341583672</v>
      </c>
      <c r="AQ85">
        <f t="shared" si="203"/>
        <v>703340.64174216788</v>
      </c>
      <c r="AR85">
        <f t="shared" si="204"/>
        <v>807496.51996631594</v>
      </c>
      <c r="AS85">
        <f t="shared" si="205"/>
        <v>917904.98037250794</v>
      </c>
      <c r="AT85">
        <f t="shared" si="206"/>
        <v>1034941.3717611165</v>
      </c>
      <c r="AU85">
        <f t="shared" si="207"/>
        <v>1159003.5754987153</v>
      </c>
      <c r="AV85">
        <f t="shared" si="208"/>
        <v>1290513.3581707017</v>
      </c>
      <c r="AW85">
        <f t="shared" si="209"/>
        <v>1429917.8054350193</v>
      </c>
      <c r="AX85">
        <f t="shared" si="210"/>
        <v>1577690.8419515602</v>
      </c>
      <c r="AY85">
        <f t="shared" si="211"/>
        <v>1734334.8425544631</v>
      </c>
      <c r="AZ85">
        <f t="shared" si="212"/>
        <v>1900382.340144699</v>
      </c>
      <c r="BA85">
        <f t="shared" si="213"/>
        <v>2076397.8361091728</v>
      </c>
      <c r="BB85">
        <f t="shared" si="214"/>
        <v>2262979.719421105</v>
      </c>
      <c r="BC85">
        <f t="shared" si="215"/>
        <v>2460762.3009459386</v>
      </c>
      <c r="BD85">
        <f t="shared" si="216"/>
        <v>2670417.9698686767</v>
      </c>
      <c r="BE85">
        <f t="shared" si="217"/>
        <v>2892659.4795737253</v>
      </c>
      <c r="BF85">
        <f t="shared" si="218"/>
        <v>3128242.3707484002</v>
      </c>
      <c r="BG85">
        <f t="shared" si="219"/>
        <v>3377967.5399477803</v>
      </c>
      <c r="BH85">
        <f t="shared" si="220"/>
        <v>3642683.9623530866</v>
      </c>
      <c r="BI85">
        <f t="shared" si="221"/>
        <v>3923291.5779799977</v>
      </c>
      <c r="BJ85">
        <f t="shared" si="222"/>
        <v>4220744.3511489434</v>
      </c>
    </row>
    <row r="86" spans="1:62" x14ac:dyDescent="0.3">
      <c r="D86">
        <f t="shared" si="167"/>
        <v>61346.670812323391</v>
      </c>
      <c r="E86">
        <f>(E85+5000)*1.00487-(0.00146*(E85+5000))</f>
        <v>125251.26745902482</v>
      </c>
      <c r="F86">
        <f>(F85+5000)*1.00487-(0.00146*(F85+5000))</f>
        <v>191820.44584314732</v>
      </c>
      <c r="G86">
        <f>(G85+5000)*1.00487-(0.00125*(G85+5000))</f>
        <v>261273.58689789788</v>
      </c>
      <c r="H86">
        <f t="shared" si="223"/>
        <v>334282.7436023819</v>
      </c>
      <c r="I86">
        <f t="shared" si="223"/>
        <v>410527.33118371072</v>
      </c>
      <c r="J86">
        <f t="shared" si="223"/>
        <v>490150.72909497406</v>
      </c>
      <c r="K86">
        <f t="shared" si="224"/>
        <v>574233.40343187621</v>
      </c>
      <c r="L86">
        <f t="shared" si="176"/>
        <v>662703.15107217908</v>
      </c>
      <c r="M86">
        <f t="shared" si="177"/>
        <v>755325.72303873836</v>
      </c>
      <c r="N86">
        <f t="shared" si="178"/>
        <v>852296.05545768538</v>
      </c>
      <c r="O86">
        <f t="shared" si="179"/>
        <v>953818.23487671511</v>
      </c>
      <c r="P86">
        <f t="shared" si="180"/>
        <v>1060105.9277915005</v>
      </c>
      <c r="Q86">
        <f t="shared" si="181"/>
        <v>1173984.9663313269</v>
      </c>
      <c r="R86">
        <f t="shared" si="182"/>
        <v>1293735.3833875249</v>
      </c>
      <c r="S86">
        <f t="shared" si="183"/>
        <v>1419417.5455072212</v>
      </c>
      <c r="T86">
        <f t="shared" si="184"/>
        <v>1551325.2771326457</v>
      </c>
      <c r="U86">
        <f t="shared" si="185"/>
        <v>1681503.6063041603</v>
      </c>
      <c r="V86">
        <f t="shared" si="186"/>
        <v>1817450.8417979653</v>
      </c>
      <c r="W86" s="3">
        <f t="shared" si="187"/>
        <v>1959422.635075921</v>
      </c>
      <c r="X86">
        <f t="shared" si="188"/>
        <v>2107685.9668998118</v>
      </c>
      <c r="Y86">
        <f t="shared" si="189"/>
        <v>2262519.6493939408</v>
      </c>
      <c r="Z86">
        <f t="shared" si="190"/>
        <v>2424214.8503568405</v>
      </c>
      <c r="AA86">
        <f t="shared" si="191"/>
        <v>2593075.6408080626</v>
      </c>
      <c r="AB86" s="3">
        <f t="shared" si="192"/>
        <v>2769419.5667997431</v>
      </c>
      <c r="AC86">
        <f t="shared" si="193"/>
        <v>2953578.2465682253</v>
      </c>
      <c r="AD86">
        <f t="shared" si="194"/>
        <v>3145897.9941487033</v>
      </c>
      <c r="AE86">
        <f t="shared" si="195"/>
        <v>3346740.470625605</v>
      </c>
      <c r="AI86">
        <f t="shared" si="170"/>
        <v>61933.631727408363</v>
      </c>
      <c r="AJ86">
        <f t="shared" si="196"/>
        <v>127585.20169133844</v>
      </c>
      <c r="AK86">
        <f t="shared" si="197"/>
        <v>197177.90146549663</v>
      </c>
      <c r="AL86">
        <f t="shared" si="198"/>
        <v>270948.32103835687</v>
      </c>
      <c r="AM86">
        <f t="shared" si="199"/>
        <v>349147.2531334823</v>
      </c>
      <c r="AN86">
        <f t="shared" si="200"/>
        <v>432040.54581400478</v>
      </c>
      <c r="AO86">
        <f t="shared" si="201"/>
        <v>519910.00626980898</v>
      </c>
      <c r="AP86">
        <f t="shared" si="202"/>
        <v>613054.35885997175</v>
      </c>
      <c r="AQ86">
        <f t="shared" si="203"/>
        <v>711790.26066745224</v>
      </c>
      <c r="AR86">
        <f t="shared" si="204"/>
        <v>816453.37801855186</v>
      </c>
      <c r="AS86">
        <f t="shared" si="205"/>
        <v>927399.527626922</v>
      </c>
      <c r="AT86">
        <f t="shared" si="206"/>
        <v>1045005.8862415932</v>
      </c>
      <c r="AU86">
        <f t="shared" si="207"/>
        <v>1169672.272911394</v>
      </c>
      <c r="AV86">
        <f t="shared" si="208"/>
        <v>1301822.5082249928</v>
      </c>
      <c r="AW86">
        <f t="shared" si="209"/>
        <v>1441905.8551474877</v>
      </c>
      <c r="AX86">
        <f t="shared" si="210"/>
        <v>1590398.5463518642</v>
      </c>
      <c r="AY86">
        <f t="shared" si="211"/>
        <v>1747805.4032377033</v>
      </c>
      <c r="AZ86">
        <f t="shared" si="212"/>
        <v>1914661.5521412035</v>
      </c>
      <c r="BA86">
        <f t="shared" si="213"/>
        <v>2091534.2435710244</v>
      </c>
      <c r="BB86" s="3">
        <f t="shared" si="214"/>
        <v>2279024.7806546856</v>
      </c>
      <c r="BC86">
        <f t="shared" si="215"/>
        <v>2477770.563351545</v>
      </c>
      <c r="BD86">
        <f t="shared" si="216"/>
        <v>2688447.2553819371</v>
      </c>
      <c r="BE86">
        <f t="shared" si="217"/>
        <v>2911771.0812392491</v>
      </c>
      <c r="BF86">
        <f t="shared" si="218"/>
        <v>3148501.2610939448</v>
      </c>
      <c r="BG86" s="3">
        <f t="shared" si="219"/>
        <v>3399442.5918673258</v>
      </c>
      <c r="BH86">
        <f t="shared" si="220"/>
        <v>3665448.183249746</v>
      </c>
      <c r="BI86">
        <f t="shared" si="221"/>
        <v>3947422.3579647602</v>
      </c>
      <c r="BJ86">
        <f t="shared" si="222"/>
        <v>4246323.7261390388</v>
      </c>
    </row>
    <row r="89" spans="1:62" x14ac:dyDescent="0.3">
      <c r="D89" t="s">
        <v>59</v>
      </c>
      <c r="AI89" t="s">
        <v>59</v>
      </c>
      <c r="AJ89" t="s">
        <v>66</v>
      </c>
    </row>
    <row r="90" spans="1:62" x14ac:dyDescent="0.3">
      <c r="D90" t="s">
        <v>8</v>
      </c>
      <c r="AI90" t="s">
        <v>8</v>
      </c>
    </row>
    <row r="91" spans="1:62" x14ac:dyDescent="0.3">
      <c r="D91" t="s">
        <v>80</v>
      </c>
      <c r="AI91" t="s">
        <v>80</v>
      </c>
    </row>
    <row r="92" spans="1:62" x14ac:dyDescent="0.3">
      <c r="D92" t="s">
        <v>15</v>
      </c>
      <c r="E92" t="s">
        <v>16</v>
      </c>
      <c r="F92" t="s">
        <v>17</v>
      </c>
      <c r="G92" t="s">
        <v>18</v>
      </c>
      <c r="H92" t="s">
        <v>19</v>
      </c>
      <c r="I92" t="s">
        <v>20</v>
      </c>
      <c r="J92" t="s">
        <v>21</v>
      </c>
      <c r="K92" t="s">
        <v>22</v>
      </c>
      <c r="L92" t="s">
        <v>23</v>
      </c>
      <c r="M92" t="s">
        <v>24</v>
      </c>
      <c r="N92" t="s">
        <v>25</v>
      </c>
      <c r="O92" t="s">
        <v>26</v>
      </c>
      <c r="P92" t="s">
        <v>27</v>
      </c>
      <c r="Q92" t="s">
        <v>28</v>
      </c>
      <c r="R92" t="s">
        <v>29</v>
      </c>
      <c r="S92" t="s">
        <v>30</v>
      </c>
      <c r="T92" t="s">
        <v>31</v>
      </c>
      <c r="U92" t="s">
        <v>32</v>
      </c>
      <c r="V92" t="s">
        <v>33</v>
      </c>
      <c r="W92" t="s">
        <v>34</v>
      </c>
      <c r="X92" t="s">
        <v>35</v>
      </c>
      <c r="Y92" t="s">
        <v>36</v>
      </c>
      <c r="Z92" t="s">
        <v>37</v>
      </c>
      <c r="AA92" t="s">
        <v>38</v>
      </c>
      <c r="AB92" t="s">
        <v>39</v>
      </c>
      <c r="AC92" t="s">
        <v>67</v>
      </c>
      <c r="AD92" t="s">
        <v>68</v>
      </c>
      <c r="AE92" t="s">
        <v>69</v>
      </c>
      <c r="AI92" t="s">
        <v>15</v>
      </c>
      <c r="AJ92" t="s">
        <v>16</v>
      </c>
      <c r="AK92" t="s">
        <v>17</v>
      </c>
      <c r="AL92" t="s">
        <v>18</v>
      </c>
      <c r="AM92" t="s">
        <v>19</v>
      </c>
      <c r="AN92" t="s">
        <v>20</v>
      </c>
      <c r="AO92" t="s">
        <v>21</v>
      </c>
      <c r="AP92" t="s">
        <v>22</v>
      </c>
      <c r="AQ92" t="s">
        <v>23</v>
      </c>
      <c r="AR92" t="s">
        <v>24</v>
      </c>
      <c r="AS92" t="s">
        <v>25</v>
      </c>
      <c r="AT92" t="s">
        <v>26</v>
      </c>
      <c r="AU92" t="s">
        <v>27</v>
      </c>
      <c r="AV92" t="s">
        <v>28</v>
      </c>
      <c r="AW92" t="s">
        <v>29</v>
      </c>
      <c r="AX92" t="s">
        <v>30</v>
      </c>
      <c r="AY92" t="s">
        <v>31</v>
      </c>
      <c r="AZ92" t="s">
        <v>32</v>
      </c>
      <c r="BA92" t="s">
        <v>33</v>
      </c>
      <c r="BB92" t="s">
        <v>34</v>
      </c>
      <c r="BC92" t="s">
        <v>35</v>
      </c>
      <c r="BD92" t="s">
        <v>36</v>
      </c>
      <c r="BE92" t="s">
        <v>37</v>
      </c>
      <c r="BF92" t="s">
        <v>38</v>
      </c>
      <c r="BG92" t="s">
        <v>39</v>
      </c>
      <c r="BH92" t="s">
        <v>67</v>
      </c>
      <c r="BI92" t="s">
        <v>68</v>
      </c>
      <c r="BJ92" t="s">
        <v>69</v>
      </c>
    </row>
    <row r="93" spans="1:62" x14ac:dyDescent="0.3">
      <c r="D93">
        <v>0</v>
      </c>
      <c r="AI93">
        <v>0</v>
      </c>
    </row>
    <row r="94" spans="1:62" x14ac:dyDescent="0.3">
      <c r="D94">
        <f t="shared" ref="D94:D105" si="225">(D93+5000)*1.00566-(0.00146*(D93+5000))</f>
        <v>5021</v>
      </c>
      <c r="E94">
        <f>(D105+5000)*1.00566-(0.00146*(D105+5000))</f>
        <v>66943.478744965527</v>
      </c>
      <c r="F94">
        <f>(E105+5000)*1.00566-(0.00146*(E105+5000))</f>
        <v>132059.96194436858</v>
      </c>
      <c r="G94">
        <f>(F105+5000)*1.00566-(0.00146*(F105+5000))</f>
        <v>200535.19856597879</v>
      </c>
      <c r="H94">
        <f>(G105+5000)*1.00566-(0.00125*(G105+5000))</f>
        <v>272764.16436078079</v>
      </c>
      <c r="I94">
        <f>(H105+5000)*1.00566-(0.00125*(H105+5000))</f>
        <v>349302.17503038899</v>
      </c>
      <c r="J94">
        <f>(I105+5000)*1.00566-(0.00125*(I105+5000))</f>
        <v>429990.27806340571</v>
      </c>
      <c r="K94">
        <f>(J105+5000)*1.00566-(0.00104*(J105+5000))</f>
        <v>515373.47322484874</v>
      </c>
      <c r="L94">
        <f>(K105+5000)*1.00566-(0.00104*(K105+5000))</f>
        <v>606515.77666682249</v>
      </c>
      <c r="M94">
        <f>(L105+5000)*1.00566-(0.00104*(L105+5000))</f>
        <v>702841.40233378334</v>
      </c>
      <c r="N94">
        <f>(M105+5000)*1.00566-(0.00104*(M105+5000))</f>
        <v>804645.12914038985</v>
      </c>
      <c r="O94">
        <f>(N105+5000)*1.00566-(0.00104*(N105+5000))</f>
        <v>912238.50027038297</v>
      </c>
      <c r="P94">
        <f>(O105+5000)*1.00566-(0.000833*(O105+5000))</f>
        <v>1026581.9818983718</v>
      </c>
      <c r="Q94">
        <f>(P105+5000)*1.00566-(0.000833*(P105+5000))</f>
        <v>1149566.3229322704</v>
      </c>
      <c r="R94">
        <f>(Q105+5000)*1.00566-(0.000833*(Q105+5000))</f>
        <v>1279866.610002812</v>
      </c>
      <c r="S94">
        <f>(R105+5000)*1.00566-(0.000833*(R105+5000))</f>
        <v>1417918.0453964123</v>
      </c>
      <c r="T94">
        <f>(S105+5000)*1.00566-(0.000833*(S105+5000))</f>
        <v>1564181.7201948848</v>
      </c>
      <c r="U94">
        <f t="shared" ref="U94:AE94" si="226">(T105+5000)*1.00566-(0.00125*(T105+5000))</f>
        <v>1718432.7141466313</v>
      </c>
      <c r="V94">
        <f t="shared" si="226"/>
        <v>1873358.6781481437</v>
      </c>
      <c r="W94">
        <f t="shared" si="226"/>
        <v>2036685.135636112</v>
      </c>
      <c r="X94">
        <f t="shared" si="226"/>
        <v>2208867.5834749318</v>
      </c>
      <c r="Y94">
        <f t="shared" si="226"/>
        <v>2390386.2167677144</v>
      </c>
      <c r="Z94">
        <f t="shared" si="226"/>
        <v>2581747.2680597883</v>
      </c>
      <c r="AA94">
        <f t="shared" si="226"/>
        <v>2783484.41915735</v>
      </c>
      <c r="AB94">
        <f t="shared" si="226"/>
        <v>2996160.2894986048</v>
      </c>
      <c r="AC94">
        <f t="shared" si="226"/>
        <v>3220368.0052283499</v>
      </c>
      <c r="AD94">
        <f t="shared" si="226"/>
        <v>3456732.853351878</v>
      </c>
      <c r="AE94">
        <f t="shared" si="226"/>
        <v>3705914.0255814777</v>
      </c>
      <c r="AI94">
        <f t="shared" ref="AI94:AI105" si="227">(AI93+5000)*1.00566-0</f>
        <v>5028.3</v>
      </c>
      <c r="AJ94">
        <f t="shared" ref="AJ94:BJ94" si="228">(AI105+5000)*1.00566-0</f>
        <v>67634.522666932215</v>
      </c>
      <c r="AK94">
        <f t="shared" si="228"/>
        <v>134627.86092154725</v>
      </c>
      <c r="AL94">
        <f t="shared" si="228"/>
        <v>206315.74080489678</v>
      </c>
      <c r="AM94">
        <f t="shared" si="228"/>
        <v>283027.13116191514</v>
      </c>
      <c r="AN94">
        <f t="shared" si="228"/>
        <v>365114.05324807984</v>
      </c>
      <c r="AO94">
        <f t="shared" si="228"/>
        <v>452953.19612138584</v>
      </c>
      <c r="AP94">
        <f t="shared" si="228"/>
        <v>546947.64523251285</v>
      </c>
      <c r="AQ94">
        <f t="shared" si="228"/>
        <v>647528.73214552226</v>
      </c>
      <c r="AR94">
        <f t="shared" si="228"/>
        <v>755158.0138772747</v>
      </c>
      <c r="AS94">
        <f t="shared" si="228"/>
        <v>870329.39093856828</v>
      </c>
      <c r="AT94">
        <f t="shared" si="228"/>
        <v>993571.37379648641</v>
      </c>
      <c r="AU94">
        <f t="shared" si="228"/>
        <v>1125449.5081585343</v>
      </c>
      <c r="AV94">
        <f t="shared" si="228"/>
        <v>1266568.9702079638</v>
      </c>
      <c r="AW94">
        <f t="shared" si="228"/>
        <v>1417577.3436995689</v>
      </c>
      <c r="AX94">
        <f t="shared" si="228"/>
        <v>1579167.5916597894</v>
      </c>
      <c r="AY94">
        <f t="shared" si="228"/>
        <v>1752081.2363279585</v>
      </c>
      <c r="AZ94">
        <f t="shared" si="228"/>
        <v>1937111.7619311509</v>
      </c>
      <c r="BA94">
        <f t="shared" si="228"/>
        <v>2135108.2559076385</v>
      </c>
      <c r="BB94">
        <f t="shared" si="228"/>
        <v>2346979.3052881784</v>
      </c>
      <c r="BC94">
        <f t="shared" si="228"/>
        <v>2573697.1661152593</v>
      </c>
      <c r="BD94">
        <f t="shared" si="228"/>
        <v>2816302.2250333684</v>
      </c>
      <c r="BE94">
        <f t="shared" si="228"/>
        <v>3075907.7735240972</v>
      </c>
      <c r="BF94">
        <f t="shared" si="228"/>
        <v>3353705.1166945938</v>
      </c>
      <c r="BG94">
        <f t="shared" si="228"/>
        <v>3650969.040063099</v>
      </c>
      <c r="BH94">
        <f t="shared" si="228"/>
        <v>3969063.6594281313</v>
      </c>
      <c r="BI94">
        <f t="shared" si="228"/>
        <v>4309448.6806658106</v>
      </c>
      <c r="BJ94">
        <f t="shared" si="228"/>
        <v>4673686.0981809357</v>
      </c>
    </row>
    <row r="95" spans="1:62" x14ac:dyDescent="0.3">
      <c r="D95">
        <f t="shared" si="225"/>
        <v>10063.0882</v>
      </c>
      <c r="E95">
        <f t="shared" ref="E95:G102" si="229">(E94+5000)*1.00566-(0.00146*(E94+5000))</f>
        <v>72245.641355694388</v>
      </c>
      <c r="F95">
        <f t="shared" si="229"/>
        <v>137635.61378453494</v>
      </c>
      <c r="G95">
        <f t="shared" si="229"/>
        <v>206398.44639995589</v>
      </c>
      <c r="H95">
        <f t="shared" ref="H95:H103" si="230">(H94+5000)*1.00566-(0.00125*(H94+5000))</f>
        <v>278989.10432561178</v>
      </c>
      <c r="I95">
        <f t="shared" ref="I95:I103" si="231">(I94+5000)*1.00566-(0.00125*(I94+5000))</f>
        <v>355864.64762227301</v>
      </c>
      <c r="J95">
        <f t="shared" ref="J95:J103" si="232">(J94+5000)*1.00566-(0.00125*(J94+5000))</f>
        <v>436908.58518966538</v>
      </c>
      <c r="K95">
        <f t="shared" ref="K95:K103" si="233">(K94+5000)*1.00566-(0.00104*(K94+5000))</f>
        <v>522777.59867114754</v>
      </c>
      <c r="L95">
        <f t="shared" ref="L95:L103" si="234">(L94+5000)*1.00566-(0.00104*(L94+5000))</f>
        <v>614340.97955502325</v>
      </c>
      <c r="M95">
        <f t="shared" ref="M95:M103" si="235">(M94+5000)*1.00566-(0.00104*(M94+5000))</f>
        <v>711111.62961256539</v>
      </c>
      <c r="N95">
        <f t="shared" ref="N95:N103" si="236">(N94+5000)*1.00566-(0.00104*(N94+5000))</f>
        <v>813385.68963701848</v>
      </c>
      <c r="O95">
        <f t="shared" ref="O95:O103" si="237">(O94+5000)*1.00566-(0.00104*(O94+5000))</f>
        <v>921476.14214163215</v>
      </c>
      <c r="P95">
        <f t="shared" ref="P95:P105" si="238">(P94+5000)*1.00566-(0.000833*(P94+5000))</f>
        <v>1036561.4281249953</v>
      </c>
      <c r="Q95">
        <f t="shared" ref="Q95:Q105" si="239">(Q94+5000)*1.00566-(0.000833*(Q94+5000))</f>
        <v>1160139.4145730643</v>
      </c>
      <c r="R95">
        <f t="shared" ref="R95:R105" si="240">(R94+5000)*1.00566-(0.000833*(R94+5000))</f>
        <v>1291068.6611292956</v>
      </c>
      <c r="S95">
        <f t="shared" ref="S95:S105" si="241">(S94+5000)*1.00566-(0.000833*(S94+5000))</f>
        <v>1429786.4708015409</v>
      </c>
      <c r="T95">
        <f t="shared" ref="T95:T105" si="242">(T94+5000)*1.00566-(0.000833*(T94+5000))</f>
        <v>1576756.1603582655</v>
      </c>
      <c r="U95">
        <f t="shared" ref="U95:U105" si="243">(U94+5000)*1.00566-(0.00125*(U94+5000))</f>
        <v>1731033.052416018</v>
      </c>
      <c r="V95">
        <f t="shared" ref="V95:V105" si="244">(V94+5000)*1.00566-(0.00125*(V94+5000))</f>
        <v>1886642.239918777</v>
      </c>
      <c r="W95">
        <f t="shared" ref="W95:W105" si="245">(W94+5000)*1.00566-(0.00125*(W94+5000))</f>
        <v>2050688.9670842672</v>
      </c>
      <c r="X95">
        <f t="shared" ref="X95:X105" si="246">(X94+5000)*1.00566-(0.00125*(X94+5000))</f>
        <v>2223630.7395180562</v>
      </c>
      <c r="Y95">
        <f t="shared" ref="Y95:Y105" si="247">(Y94+5000)*1.00566-(0.00125*(Y94+5000))</f>
        <v>2405949.8699836596</v>
      </c>
      <c r="Z95">
        <f t="shared" ref="Z95:Z105" si="248">(Z94+5000)*1.00566-(0.00125*(Z94+5000))</f>
        <v>2598154.823511932</v>
      </c>
      <c r="AA95">
        <f t="shared" ref="AA95:AA105" si="249">(AA94+5000)*1.00566-(0.00125*(AA94+5000))</f>
        <v>2800781.6354458337</v>
      </c>
      <c r="AB95">
        <f t="shared" ref="AB95:AB105" si="250">(AB94+5000)*1.00566-(0.00125*(AB94+5000))</f>
        <v>3014395.4063752936</v>
      </c>
      <c r="AC95">
        <f t="shared" ref="AC95:AC105" si="251">(AC94+5000)*1.00566-(0.00125*(AC94+5000))</f>
        <v>3239591.8781314068</v>
      </c>
      <c r="AD95">
        <f t="shared" ref="AD95:AD105" si="252">(AD94+5000)*1.00566-(0.00125*(AD94+5000))</f>
        <v>3476999.0952351596</v>
      </c>
      <c r="AE95">
        <f t="shared" ref="AE95:AE105" si="253">(AE94+5000)*1.00566-(0.00125*(AE94+5000))</f>
        <v>3727279.156434292</v>
      </c>
      <c r="AI95">
        <f t="shared" si="227"/>
        <v>10085.060178</v>
      </c>
      <c r="AJ95">
        <f t="shared" ref="AJ95:AJ105" si="254">(AJ94+5000)*1.00566-0</f>
        <v>73045.634065227045</v>
      </c>
      <c r="AK95">
        <f t="shared" ref="AK95:AK105" si="255">(AK94+5000)*1.00566-0</f>
        <v>140418.15461436321</v>
      </c>
      <c r="AL95">
        <f t="shared" ref="AL95:AL105" si="256">(AL94+5000)*1.00566-0</f>
        <v>212511.78789785248</v>
      </c>
      <c r="AM95">
        <f t="shared" ref="AM95:AM105" si="257">(AM94+5000)*1.00566-0</f>
        <v>289657.3647242916</v>
      </c>
      <c r="AN95">
        <f t="shared" ref="AN95:AN105" si="258">(AN94+5000)*1.00566-0</f>
        <v>372208.89878946397</v>
      </c>
      <c r="AO95">
        <f t="shared" ref="AO95:AO105" si="259">(AO94+5000)*1.00566-0</f>
        <v>460545.21121143288</v>
      </c>
      <c r="AP95">
        <f t="shared" ref="AP95:AP105" si="260">(AP94+5000)*1.00566-0</f>
        <v>555071.66890452884</v>
      </c>
      <c r="AQ95">
        <f t="shared" ref="AQ95:AQ105" si="261">(AQ94+5000)*1.00566-0</f>
        <v>656222.04476946592</v>
      </c>
      <c r="AR95">
        <f t="shared" ref="AR95:AR105" si="262">(AR94+5000)*1.00566-0</f>
        <v>764460.5082358201</v>
      </c>
      <c r="AS95">
        <f t="shared" ref="AS95:AS105" si="263">(AS94+5000)*1.00566-0</f>
        <v>880283.75529128057</v>
      </c>
      <c r="AT95">
        <f t="shared" ref="AT95:AT105" si="264">(AT94+5000)*1.00566-0</f>
        <v>1004223.2877721746</v>
      </c>
      <c r="AU95">
        <f t="shared" ref="AU95:AU105" si="265">(AU94+5000)*1.00566-0</f>
        <v>1136847.8523747115</v>
      </c>
      <c r="AV95">
        <f t="shared" ref="AV95:AV105" si="266">(AV94+5000)*1.00566-0</f>
        <v>1278766.0505793409</v>
      </c>
      <c r="AW95">
        <f t="shared" ref="AW95:AW105" si="267">(AW94+5000)*1.00566-0</f>
        <v>1430629.1314649084</v>
      </c>
      <c r="AX95">
        <f t="shared" ref="AX95:AX105" si="268">(AX94+5000)*1.00566-0</f>
        <v>1593133.9802285838</v>
      </c>
      <c r="AY95">
        <f t="shared" ref="AY95:AY105" si="269">(AY94+5000)*1.00566-0</f>
        <v>1767026.3161255748</v>
      </c>
      <c r="AZ95">
        <f t="shared" ref="AZ95:AZ105" si="270">(AZ94+5000)*1.00566-0</f>
        <v>1953104.1145036812</v>
      </c>
      <c r="BA95">
        <f t="shared" ref="BA95:BA105" si="271">(BA94+5000)*1.00566-0</f>
        <v>2152221.2686360758</v>
      </c>
      <c r="BB95">
        <f t="shared" ref="BB95:BB105" si="272">(BB94+5000)*1.00566-0</f>
        <v>2365291.5081561096</v>
      </c>
      <c r="BC95">
        <f t="shared" ref="BC95:BC105" si="273">(BC94+5000)*1.00566-0</f>
        <v>2593292.5920754718</v>
      </c>
      <c r="BD95">
        <f t="shared" ref="BD95:BD105" si="274">(BD94+5000)*1.00566-0</f>
        <v>2837270.7956270571</v>
      </c>
      <c r="BE95">
        <f t="shared" ref="BE95:BE105" si="275">(BE94+5000)*1.00566-0</f>
        <v>3098345.7115222435</v>
      </c>
      <c r="BF95">
        <f t="shared" ref="BF95:BF105" si="276">(BF94+5000)*1.00566-0</f>
        <v>3377715.3876550854</v>
      </c>
      <c r="BG95">
        <f t="shared" ref="BG95:BG105" si="277">(BG94+5000)*1.00566-0</f>
        <v>3676661.8248298559</v>
      </c>
      <c r="BH95">
        <f t="shared" ref="BH95:BH105" si="278">(BH94+5000)*1.00566-0</f>
        <v>3996556.8597404948</v>
      </c>
      <c r="BI95">
        <f t="shared" ref="BI95:BI105" si="279">(BI94+5000)*1.00566-0</f>
        <v>4338868.4601983791</v>
      </c>
      <c r="BJ95">
        <f t="shared" ref="BJ95:BJ105" si="280">(BJ94+5000)*1.00566-0</f>
        <v>4705167.46149664</v>
      </c>
    </row>
    <row r="96" spans="1:62" x14ac:dyDescent="0.3">
      <c r="A96">
        <f>0.0175/12</f>
        <v>1.4583333333333334E-3</v>
      </c>
      <c r="B96">
        <v>1.75</v>
      </c>
      <c r="D96">
        <f t="shared" si="225"/>
        <v>15126.353170440001</v>
      </c>
      <c r="E96">
        <f t="shared" si="229"/>
        <v>77570.073049388302</v>
      </c>
      <c r="F96">
        <f t="shared" si="229"/>
        <v>143234.68336242999</v>
      </c>
      <c r="G96">
        <f t="shared" si="229"/>
        <v>212286.31987483572</v>
      </c>
      <c r="H96">
        <f t="shared" si="230"/>
        <v>285241.49627568776</v>
      </c>
      <c r="I96">
        <f t="shared" si="231"/>
        <v>362456.06071828725</v>
      </c>
      <c r="J96">
        <f t="shared" si="232"/>
        <v>443857.40205035184</v>
      </c>
      <c r="K96">
        <f t="shared" si="233"/>
        <v>530215.93117700831</v>
      </c>
      <c r="L96">
        <f t="shared" si="234"/>
        <v>622202.33488056739</v>
      </c>
      <c r="M96">
        <f t="shared" si="235"/>
        <v>719420.06534137542</v>
      </c>
      <c r="N96">
        <f t="shared" si="236"/>
        <v>822166.63152314152</v>
      </c>
      <c r="O96">
        <f t="shared" si="237"/>
        <v>930756.46191832644</v>
      </c>
      <c r="P96">
        <f t="shared" si="238"/>
        <v>1046589.0451385546</v>
      </c>
      <c r="Q96">
        <f t="shared" si="239"/>
        <v>1170763.5425272086</v>
      </c>
      <c r="R96">
        <f t="shared" si="240"/>
        <v>1302324.7845565667</v>
      </c>
      <c r="S96">
        <f t="shared" si="241"/>
        <v>1441712.1850961</v>
      </c>
      <c r="T96">
        <f t="shared" si="242"/>
        <v>1589391.2973443149</v>
      </c>
      <c r="U96">
        <f t="shared" si="243"/>
        <v>1743688.9581771726</v>
      </c>
      <c r="V96">
        <f t="shared" si="244"/>
        <v>1899984.3821968189</v>
      </c>
      <c r="W96">
        <f t="shared" si="245"/>
        <v>2064754.5554291087</v>
      </c>
      <c r="X96">
        <f t="shared" si="246"/>
        <v>2238459.0010793312</v>
      </c>
      <c r="Y96">
        <f t="shared" si="247"/>
        <v>2421582.1589102875</v>
      </c>
      <c r="Z96">
        <f t="shared" si="248"/>
        <v>2614634.7362836199</v>
      </c>
      <c r="AA96">
        <f t="shared" si="249"/>
        <v>2818155.1324581499</v>
      </c>
      <c r="AB96">
        <f t="shared" si="250"/>
        <v>3032710.9401174085</v>
      </c>
      <c r="AC96">
        <f t="shared" si="251"/>
        <v>3258900.5283139665</v>
      </c>
      <c r="AD96">
        <f t="shared" si="252"/>
        <v>3497354.711245147</v>
      </c>
      <c r="AE96">
        <f t="shared" si="253"/>
        <v>3748738.5075141676</v>
      </c>
      <c r="AI96">
        <f t="shared" si="227"/>
        <v>15170.44161860748</v>
      </c>
      <c r="AJ96">
        <f t="shared" si="254"/>
        <v>78487.372354036226</v>
      </c>
      <c r="AK96">
        <f t="shared" si="255"/>
        <v>146241.22136948051</v>
      </c>
      <c r="AL96">
        <f t="shared" si="256"/>
        <v>218742.90461735433</v>
      </c>
      <c r="AM96">
        <f t="shared" si="257"/>
        <v>296325.12540863111</v>
      </c>
      <c r="AN96">
        <f t="shared" si="258"/>
        <v>379343.90115661232</v>
      </c>
      <c r="AO96">
        <f t="shared" si="259"/>
        <v>468180.19710688957</v>
      </c>
      <c r="AP96">
        <f t="shared" si="260"/>
        <v>563241.67455052852</v>
      </c>
      <c r="AQ96">
        <f t="shared" si="261"/>
        <v>664964.56154286105</v>
      </c>
      <c r="AR96">
        <f t="shared" si="262"/>
        <v>773815.65471243486</v>
      </c>
      <c r="AS96">
        <f t="shared" si="263"/>
        <v>890294.46134622919</v>
      </c>
      <c r="AT96">
        <f t="shared" si="264"/>
        <v>1014935.4915809651</v>
      </c>
      <c r="AU96">
        <f t="shared" si="265"/>
        <v>1148310.7112191524</v>
      </c>
      <c r="AV96">
        <f t="shared" si="266"/>
        <v>1291032.16642562</v>
      </c>
      <c r="AW96">
        <f t="shared" si="267"/>
        <v>1443754.7923489998</v>
      </c>
      <c r="AX96">
        <f t="shared" si="268"/>
        <v>1607179.4185566776</v>
      </c>
      <c r="AY96">
        <f t="shared" si="269"/>
        <v>1782055.9850748456</v>
      </c>
      <c r="AZ96">
        <f t="shared" si="270"/>
        <v>1969186.983791772</v>
      </c>
      <c r="BA96">
        <f t="shared" si="271"/>
        <v>2169431.141016556</v>
      </c>
      <c r="BB96">
        <f t="shared" si="272"/>
        <v>2383707.3580922731</v>
      </c>
      <c r="BC96">
        <f t="shared" si="273"/>
        <v>2612998.9281466189</v>
      </c>
      <c r="BD96">
        <f t="shared" si="274"/>
        <v>2858358.0483303061</v>
      </c>
      <c r="BE96">
        <f t="shared" si="275"/>
        <v>3120910.6482494595</v>
      </c>
      <c r="BF96">
        <f t="shared" si="276"/>
        <v>3401861.556749213</v>
      </c>
      <c r="BG96">
        <f t="shared" si="277"/>
        <v>3702500.030758393</v>
      </c>
      <c r="BH96">
        <f t="shared" si="278"/>
        <v>4024205.6715666261</v>
      </c>
      <c r="BI96">
        <f t="shared" si="279"/>
        <v>4368454.7556831017</v>
      </c>
      <c r="BJ96">
        <f t="shared" si="280"/>
        <v>4736827.0093287108</v>
      </c>
    </row>
    <row r="97" spans="1:62" x14ac:dyDescent="0.3">
      <c r="A97">
        <f>0.015/12</f>
        <v>1.25E-3</v>
      </c>
      <c r="B97">
        <v>1.5</v>
      </c>
      <c r="D97">
        <f t="shared" si="225"/>
        <v>20210.883853755851</v>
      </c>
      <c r="E97">
        <f t="shared" si="229"/>
        <v>82916.867356195726</v>
      </c>
      <c r="F97">
        <f t="shared" si="229"/>
        <v>148857.2690325522</v>
      </c>
      <c r="G97">
        <f t="shared" si="229"/>
        <v>218198.92241831002</v>
      </c>
      <c r="H97">
        <f t="shared" si="230"/>
        <v>291521.46127426357</v>
      </c>
      <c r="I97">
        <f t="shared" si="231"/>
        <v>369076.5419460549</v>
      </c>
      <c r="J97">
        <f t="shared" si="232"/>
        <v>450836.86319339386</v>
      </c>
      <c r="K97">
        <f t="shared" si="233"/>
        <v>537688.62877904612</v>
      </c>
      <c r="L97">
        <f t="shared" si="234"/>
        <v>630100.00966771552</v>
      </c>
      <c r="M97">
        <f t="shared" si="235"/>
        <v>727766.88604325266</v>
      </c>
      <c r="N97">
        <f t="shared" si="236"/>
        <v>830988.14136077836</v>
      </c>
      <c r="O97">
        <f t="shared" si="237"/>
        <v>940079.65677238908</v>
      </c>
      <c r="P97">
        <f t="shared" si="238"/>
        <v>1056665.0654594384</v>
      </c>
      <c r="Q97">
        <f t="shared" si="239"/>
        <v>1181438.9531469874</v>
      </c>
      <c r="R97">
        <f t="shared" si="240"/>
        <v>1313635.2412916212</v>
      </c>
      <c r="S97">
        <f t="shared" si="241"/>
        <v>1453695.4648135589</v>
      </c>
      <c r="T97">
        <f t="shared" si="242"/>
        <v>1602087.4241365958</v>
      </c>
      <c r="U97">
        <f t="shared" si="243"/>
        <v>1756400.676482734</v>
      </c>
      <c r="V97">
        <f t="shared" si="244"/>
        <v>1913385.3633223069</v>
      </c>
      <c r="W97">
        <f t="shared" si="245"/>
        <v>2078882.173018551</v>
      </c>
      <c r="X97">
        <f t="shared" si="246"/>
        <v>2253352.6552740913</v>
      </c>
      <c r="Y97">
        <f t="shared" si="247"/>
        <v>2437283.386231082</v>
      </c>
      <c r="Z97">
        <f t="shared" si="248"/>
        <v>2631187.325470631</v>
      </c>
      <c r="AA97">
        <f t="shared" si="249"/>
        <v>2835605.2465922907</v>
      </c>
      <c r="AB97">
        <f t="shared" si="250"/>
        <v>3051107.2453633263</v>
      </c>
      <c r="AC97">
        <f t="shared" si="251"/>
        <v>3278294.3296438311</v>
      </c>
      <c r="AD97">
        <f t="shared" si="252"/>
        <v>3517800.0955217383</v>
      </c>
      <c r="AE97">
        <f t="shared" si="253"/>
        <v>3770292.4943323052</v>
      </c>
      <c r="AI97">
        <f t="shared" si="227"/>
        <v>20284.6063181688</v>
      </c>
      <c r="AJ97">
        <f t="shared" si="254"/>
        <v>83959.910881560078</v>
      </c>
      <c r="AK97">
        <f t="shared" si="255"/>
        <v>152097.24668243178</v>
      </c>
      <c r="AL97">
        <f t="shared" si="256"/>
        <v>225009.28945748854</v>
      </c>
      <c r="AM97">
        <f t="shared" si="257"/>
        <v>303030.62561844394</v>
      </c>
      <c r="AN97">
        <f t="shared" si="258"/>
        <v>386519.28763715876</v>
      </c>
      <c r="AO97">
        <f t="shared" si="259"/>
        <v>475858.39702251455</v>
      </c>
      <c r="AP97">
        <f t="shared" si="260"/>
        <v>571457.92242848454</v>
      </c>
      <c r="AQ97">
        <f t="shared" si="261"/>
        <v>673756.56096119364</v>
      </c>
      <c r="AR97">
        <f t="shared" si="262"/>
        <v>783223.75131810724</v>
      </c>
      <c r="AS97">
        <f t="shared" si="263"/>
        <v>900361.82799744885</v>
      </c>
      <c r="AT97">
        <f t="shared" si="264"/>
        <v>1025708.3264633134</v>
      </c>
      <c r="AU97">
        <f t="shared" si="265"/>
        <v>1159838.4498446528</v>
      </c>
      <c r="AV97">
        <f t="shared" si="266"/>
        <v>1303367.7084875889</v>
      </c>
      <c r="AW97">
        <f t="shared" si="267"/>
        <v>1456954.7444736951</v>
      </c>
      <c r="AX97">
        <f t="shared" si="268"/>
        <v>1621304.3540657084</v>
      </c>
      <c r="AY97">
        <f t="shared" si="269"/>
        <v>1797170.7219503692</v>
      </c>
      <c r="AZ97">
        <f t="shared" si="270"/>
        <v>1985360.8821200335</v>
      </c>
      <c r="BA97">
        <f t="shared" si="271"/>
        <v>2186738.4212747095</v>
      </c>
      <c r="BB97">
        <f t="shared" si="272"/>
        <v>2402227.4417390754</v>
      </c>
      <c r="BC97">
        <f t="shared" si="273"/>
        <v>2632816.8020799286</v>
      </c>
      <c r="BD97">
        <f t="shared" si="274"/>
        <v>2879564.6548838555</v>
      </c>
      <c r="BE97">
        <f t="shared" si="275"/>
        <v>3143603.3025185512</v>
      </c>
      <c r="BF97">
        <f t="shared" si="276"/>
        <v>3426144.3931604135</v>
      </c>
      <c r="BG97">
        <f t="shared" si="277"/>
        <v>3728484.4809324853</v>
      </c>
      <c r="BH97">
        <f t="shared" si="278"/>
        <v>4052010.9756676932</v>
      </c>
      <c r="BI97">
        <f t="shared" si="279"/>
        <v>4398208.5096002677</v>
      </c>
      <c r="BJ97">
        <f t="shared" si="280"/>
        <v>4768665.7502015112</v>
      </c>
    </row>
    <row r="98" spans="1:62" x14ac:dyDescent="0.3">
      <c r="A98">
        <f>0.0125/12</f>
        <v>1.0416666666666667E-3</v>
      </c>
      <c r="B98">
        <v>1.25</v>
      </c>
      <c r="D98">
        <f t="shared" si="225"/>
        <v>25316.769565941624</v>
      </c>
      <c r="E98">
        <f t="shared" si="229"/>
        <v>88286.118199091739</v>
      </c>
      <c r="F98">
        <f t="shared" si="229"/>
        <v>154503.46956248893</v>
      </c>
      <c r="G98">
        <f t="shared" si="229"/>
        <v>224136.35789246694</v>
      </c>
      <c r="H98">
        <f t="shared" si="230"/>
        <v>297829.12091848307</v>
      </c>
      <c r="I98">
        <f t="shared" si="231"/>
        <v>375726.21949603705</v>
      </c>
      <c r="J98">
        <f t="shared" si="232"/>
        <v>457847.10376007674</v>
      </c>
      <c r="K98">
        <f t="shared" si="233"/>
        <v>545195.85024400521</v>
      </c>
      <c r="L98">
        <f t="shared" si="234"/>
        <v>638034.17171238037</v>
      </c>
      <c r="M98">
        <f t="shared" si="235"/>
        <v>736152.26905677246</v>
      </c>
      <c r="N98">
        <f t="shared" si="236"/>
        <v>839850.4065738651</v>
      </c>
      <c r="O98">
        <f t="shared" si="237"/>
        <v>949445.92478667747</v>
      </c>
      <c r="P98">
        <f t="shared" si="238"/>
        <v>1066789.7227304112</v>
      </c>
      <c r="Q98">
        <f t="shared" si="239"/>
        <v>1192165.8939738278</v>
      </c>
      <c r="R98">
        <f t="shared" si="240"/>
        <v>1325000.2936013357</v>
      </c>
      <c r="S98">
        <f t="shared" si="241"/>
        <v>1465736.5878222138</v>
      </c>
      <c r="T98">
        <f t="shared" si="242"/>
        <v>1614844.8351329032</v>
      </c>
      <c r="U98">
        <f t="shared" si="243"/>
        <v>1769168.4534660229</v>
      </c>
      <c r="V98">
        <f t="shared" si="244"/>
        <v>1926845.4427745582</v>
      </c>
      <c r="W98">
        <f t="shared" si="245"/>
        <v>2093072.0934015629</v>
      </c>
      <c r="X98">
        <f t="shared" si="246"/>
        <v>2268311.9904838502</v>
      </c>
      <c r="Y98">
        <f t="shared" si="247"/>
        <v>2453053.8559643608</v>
      </c>
      <c r="Z98">
        <f t="shared" si="248"/>
        <v>2647812.9115759567</v>
      </c>
      <c r="AA98">
        <f t="shared" si="249"/>
        <v>2853132.3157297629</v>
      </c>
      <c r="AB98">
        <f t="shared" si="250"/>
        <v>3069584.6783153787</v>
      </c>
      <c r="AC98">
        <f t="shared" si="251"/>
        <v>3297773.6576375603</v>
      </c>
      <c r="AD98">
        <f t="shared" si="252"/>
        <v>3538335.6439429894</v>
      </c>
      <c r="AE98">
        <f t="shared" si="253"/>
        <v>3791941.5342323105</v>
      </c>
      <c r="AI98">
        <f t="shared" si="227"/>
        <v>25427.717189929637</v>
      </c>
      <c r="AJ98">
        <f t="shared" si="254"/>
        <v>89463.423977149709</v>
      </c>
      <c r="AK98">
        <f t="shared" si="255"/>
        <v>157986.41709865435</v>
      </c>
      <c r="AL98">
        <f t="shared" si="256"/>
        <v>231311.14203581793</v>
      </c>
      <c r="AM98">
        <f t="shared" si="257"/>
        <v>309774.0789594443</v>
      </c>
      <c r="AN98">
        <f t="shared" si="258"/>
        <v>393735.28680518508</v>
      </c>
      <c r="AO98">
        <f t="shared" si="259"/>
        <v>483580.05554966198</v>
      </c>
      <c r="AP98">
        <f t="shared" si="260"/>
        <v>579720.67426942976</v>
      </c>
      <c r="AQ98">
        <f t="shared" si="261"/>
        <v>682598.323096234</v>
      </c>
      <c r="AR98">
        <f t="shared" si="262"/>
        <v>792685.09775056771</v>
      </c>
      <c r="AS98">
        <f t="shared" si="263"/>
        <v>910486.17594391445</v>
      </c>
      <c r="AT98">
        <f t="shared" si="264"/>
        <v>1036542.1355910958</v>
      </c>
      <c r="AU98">
        <f t="shared" si="265"/>
        <v>1171431.4354707736</v>
      </c>
      <c r="AV98">
        <f t="shared" si="266"/>
        <v>1315773.0697176286</v>
      </c>
      <c r="AW98">
        <f t="shared" si="267"/>
        <v>1470229.4083274163</v>
      </c>
      <c r="AX98">
        <f t="shared" si="268"/>
        <v>1635509.2367097202</v>
      </c>
      <c r="AY98">
        <f t="shared" si="269"/>
        <v>1812371.0082366082</v>
      </c>
      <c r="AZ98">
        <f t="shared" si="270"/>
        <v>2001626.3247128329</v>
      </c>
      <c r="BA98">
        <f t="shared" si="271"/>
        <v>2204143.6607391243</v>
      </c>
      <c r="BB98">
        <f t="shared" si="272"/>
        <v>2420852.3490593187</v>
      </c>
      <c r="BC98">
        <f t="shared" si="273"/>
        <v>2652746.8451797008</v>
      </c>
      <c r="BD98">
        <f t="shared" si="274"/>
        <v>2900891.2908304981</v>
      </c>
      <c r="BE98">
        <f t="shared" si="275"/>
        <v>3166424.3972108061</v>
      </c>
      <c r="BF98">
        <f t="shared" si="276"/>
        <v>3450564.6704257014</v>
      </c>
      <c r="BG98">
        <f t="shared" si="277"/>
        <v>3754616.0030945633</v>
      </c>
      <c r="BH98">
        <f t="shared" si="278"/>
        <v>4079973.6577899721</v>
      </c>
      <c r="BI98">
        <f t="shared" si="279"/>
        <v>4428130.6697646054</v>
      </c>
      <c r="BJ98">
        <f t="shared" si="280"/>
        <v>4800684.6983476514</v>
      </c>
    </row>
    <row r="99" spans="1:62" x14ac:dyDescent="0.3">
      <c r="A99">
        <f>0.01/12</f>
        <v>8.3333333333333339E-4</v>
      </c>
      <c r="B99">
        <v>1</v>
      </c>
      <c r="D99">
        <f t="shared" si="225"/>
        <v>30444.099998118578</v>
      </c>
      <c r="E99">
        <f t="shared" si="229"/>
        <v>93677.919895527928</v>
      </c>
      <c r="F99">
        <f t="shared" si="229"/>
        <v>160173.38413465137</v>
      </c>
      <c r="G99">
        <f t="shared" si="229"/>
        <v>230098.73059561531</v>
      </c>
      <c r="H99">
        <f t="shared" si="230"/>
        <v>304164.59734173358</v>
      </c>
      <c r="I99">
        <f t="shared" si="231"/>
        <v>382405.22212401457</v>
      </c>
      <c r="J99">
        <f t="shared" si="232"/>
        <v>464888.25948765868</v>
      </c>
      <c r="K99">
        <f t="shared" si="233"/>
        <v>552737.75507213257</v>
      </c>
      <c r="L99">
        <f t="shared" si="234"/>
        <v>646004.9895856916</v>
      </c>
      <c r="M99">
        <f t="shared" si="235"/>
        <v>744576.39253981481</v>
      </c>
      <c r="N99">
        <f t="shared" si="236"/>
        <v>848753.61545223638</v>
      </c>
      <c r="O99">
        <f t="shared" si="237"/>
        <v>958855.46495919197</v>
      </c>
      <c r="P99">
        <f t="shared" si="238"/>
        <v>1076963.251722031</v>
      </c>
      <c r="Q99">
        <f t="shared" si="239"/>
        <v>1202944.6137440396</v>
      </c>
      <c r="R99">
        <f t="shared" si="240"/>
        <v>1336420.2050185495</v>
      </c>
      <c r="S99">
        <f t="shared" si="241"/>
        <v>1477835.8333316315</v>
      </c>
      <c r="T99">
        <f t="shared" si="242"/>
        <v>1627663.8261520898</v>
      </c>
      <c r="U99">
        <f t="shared" si="243"/>
        <v>1781992.5363458081</v>
      </c>
      <c r="V99">
        <f t="shared" si="244"/>
        <v>1940364.881177194</v>
      </c>
      <c r="W99">
        <f t="shared" si="245"/>
        <v>2107324.5913334638</v>
      </c>
      <c r="X99">
        <f t="shared" si="246"/>
        <v>2283337.2963618841</v>
      </c>
      <c r="Y99">
        <f t="shared" si="247"/>
        <v>2468893.8734691632</v>
      </c>
      <c r="Z99">
        <f t="shared" si="248"/>
        <v>2664511.8165160068</v>
      </c>
      <c r="AA99">
        <f t="shared" si="249"/>
        <v>2870736.6792421308</v>
      </c>
      <c r="AB99">
        <f t="shared" si="250"/>
        <v>3088143.5967467497</v>
      </c>
      <c r="AC99">
        <f t="shared" si="251"/>
        <v>3317338.8894677418</v>
      </c>
      <c r="AD99">
        <f t="shared" si="252"/>
        <v>3558961.7541327779</v>
      </c>
      <c r="AE99">
        <f t="shared" si="253"/>
        <v>3813686.0463982751</v>
      </c>
      <c r="AI99">
        <f t="shared" si="227"/>
        <v>30599.938069224638</v>
      </c>
      <c r="AJ99">
        <f t="shared" si="254"/>
        <v>94998.086956860381</v>
      </c>
      <c r="AK99">
        <f t="shared" si="255"/>
        <v>163908.92021943274</v>
      </c>
      <c r="AL99">
        <f t="shared" si="256"/>
        <v>237648.66309974066</v>
      </c>
      <c r="AM99">
        <f t="shared" si="257"/>
        <v>316555.70024635474</v>
      </c>
      <c r="AN99">
        <f t="shared" si="258"/>
        <v>400992.12852850242</v>
      </c>
      <c r="AO99">
        <f t="shared" si="259"/>
        <v>491345.41866407305</v>
      </c>
      <c r="AP99">
        <f t="shared" si="260"/>
        <v>588030.1932857947</v>
      </c>
      <c r="AQ99">
        <f t="shared" si="261"/>
        <v>691490.1296049587</v>
      </c>
      <c r="AR99">
        <f t="shared" si="262"/>
        <v>802199.9954038359</v>
      </c>
      <c r="AS99">
        <f t="shared" si="263"/>
        <v>920667.82769975695</v>
      </c>
      <c r="AT99">
        <f t="shared" si="264"/>
        <v>1047437.2640785414</v>
      </c>
      <c r="AU99">
        <f t="shared" si="265"/>
        <v>1183090.0373955383</v>
      </c>
      <c r="AV99">
        <f t="shared" si="266"/>
        <v>1328248.6452922304</v>
      </c>
      <c r="AW99">
        <f t="shared" si="267"/>
        <v>1483579.2067785494</v>
      </c>
      <c r="AX99">
        <f t="shared" si="268"/>
        <v>1649794.5189894973</v>
      </c>
      <c r="AY99">
        <f t="shared" si="269"/>
        <v>1827657.3281432274</v>
      </c>
      <c r="AZ99">
        <f t="shared" si="270"/>
        <v>2017983.8297107075</v>
      </c>
      <c r="BA99">
        <f t="shared" si="271"/>
        <v>2221647.4138589078</v>
      </c>
      <c r="BB99">
        <f t="shared" si="272"/>
        <v>2439582.6733549945</v>
      </c>
      <c r="BC99">
        <f t="shared" si="273"/>
        <v>2672789.6923234179</v>
      </c>
      <c r="BD99">
        <f t="shared" si="274"/>
        <v>2922338.6355365985</v>
      </c>
      <c r="BE99">
        <f t="shared" si="275"/>
        <v>3189374.6592990193</v>
      </c>
      <c r="BF99">
        <f t="shared" si="276"/>
        <v>3475123.166460311</v>
      </c>
      <c r="BG99">
        <f t="shared" si="277"/>
        <v>3780895.4296720787</v>
      </c>
      <c r="BH99">
        <f t="shared" si="278"/>
        <v>4108094.6086930633</v>
      </c>
      <c r="BI99">
        <f t="shared" si="279"/>
        <v>4458222.189355473</v>
      </c>
      <c r="BJ99">
        <f t="shared" si="280"/>
        <v>4832884.8737402987</v>
      </c>
    </row>
    <row r="100" spans="1:62" x14ac:dyDescent="0.3">
      <c r="D100">
        <f t="shared" si="225"/>
        <v>35592.965218110672</v>
      </c>
      <c r="E100">
        <f t="shared" si="229"/>
        <v>99092.367159089146</v>
      </c>
      <c r="F100">
        <f t="shared" si="229"/>
        <v>165867.1123480169</v>
      </c>
      <c r="G100">
        <f t="shared" si="229"/>
        <v>236086.1452641169</v>
      </c>
      <c r="H100">
        <f t="shared" si="230"/>
        <v>310528.01321601059</v>
      </c>
      <c r="I100">
        <f t="shared" si="231"/>
        <v>389113.6791535815</v>
      </c>
      <c r="J100">
        <f t="shared" si="232"/>
        <v>471960.46671199927</v>
      </c>
      <c r="K100">
        <f t="shared" si="233"/>
        <v>560314.50350056577</v>
      </c>
      <c r="L100">
        <f t="shared" si="234"/>
        <v>654012.63263757748</v>
      </c>
      <c r="M100">
        <f t="shared" si="235"/>
        <v>753039.43547334883</v>
      </c>
      <c r="N100">
        <f t="shared" si="236"/>
        <v>857697.95715562569</v>
      </c>
      <c r="O100">
        <f t="shared" si="237"/>
        <v>968308.4772073034</v>
      </c>
      <c r="P100">
        <f t="shared" si="238"/>
        <v>1087185.8883380934</v>
      </c>
      <c r="Q100">
        <f t="shared" si="239"/>
        <v>1213775.362394582</v>
      </c>
      <c r="R100">
        <f t="shared" si="240"/>
        <v>1347895.240348174</v>
      </c>
      <c r="S100">
        <f t="shared" si="241"/>
        <v>1489993.4818991234</v>
      </c>
      <c r="T100">
        <f t="shared" si="242"/>
        <v>1640544.694440926</v>
      </c>
      <c r="U100">
        <f t="shared" si="243"/>
        <v>1794873.1734310931</v>
      </c>
      <c r="V100">
        <f t="shared" si="244"/>
        <v>1953943.9403031853</v>
      </c>
      <c r="W100">
        <f t="shared" si="245"/>
        <v>2121639.9427812444</v>
      </c>
      <c r="X100">
        <f t="shared" si="246"/>
        <v>2298428.8638388403</v>
      </c>
      <c r="Y100">
        <f t="shared" si="247"/>
        <v>2484803.7454511621</v>
      </c>
      <c r="Z100">
        <f t="shared" si="248"/>
        <v>2681284.3636268424</v>
      </c>
      <c r="AA100">
        <f t="shared" si="249"/>
        <v>2888418.6779975886</v>
      </c>
      <c r="AB100">
        <f t="shared" si="250"/>
        <v>3106784.3600084027</v>
      </c>
      <c r="AC100">
        <f t="shared" si="251"/>
        <v>3336990.4039702946</v>
      </c>
      <c r="AD100">
        <f t="shared" si="252"/>
        <v>3579678.8254685034</v>
      </c>
      <c r="AE100">
        <f t="shared" si="253"/>
        <v>3835526.4518628912</v>
      </c>
      <c r="AI100">
        <f t="shared" si="227"/>
        <v>35801.433718696448</v>
      </c>
      <c r="AJ100">
        <f t="shared" si="254"/>
        <v>100564.07612903621</v>
      </c>
      <c r="AK100">
        <f t="shared" si="255"/>
        <v>169864.94470787473</v>
      </c>
      <c r="AL100">
        <f t="shared" si="256"/>
        <v>244022.0545328852</v>
      </c>
      <c r="AM100">
        <f t="shared" si="257"/>
        <v>323375.70550974912</v>
      </c>
      <c r="AN100">
        <f t="shared" si="258"/>
        <v>408290.04397597373</v>
      </c>
      <c r="AO100">
        <f t="shared" si="259"/>
        <v>499154.73373371171</v>
      </c>
      <c r="AP100">
        <f t="shared" si="260"/>
        <v>596386.74417979224</v>
      </c>
      <c r="AQ100">
        <f t="shared" si="261"/>
        <v>700432.26373852277</v>
      </c>
      <c r="AR100">
        <f t="shared" si="262"/>
        <v>811768.74737782159</v>
      </c>
      <c r="AS100">
        <f t="shared" si="263"/>
        <v>930907.10760453762</v>
      </c>
      <c r="AT100">
        <f t="shared" si="264"/>
        <v>1058394.0589932259</v>
      </c>
      <c r="AU100">
        <f t="shared" si="265"/>
        <v>1194814.6270071971</v>
      </c>
      <c r="AV100">
        <f t="shared" si="266"/>
        <v>1340794.8326245844</v>
      </c>
      <c r="AW100">
        <f t="shared" si="267"/>
        <v>1497004.5650889159</v>
      </c>
      <c r="AX100">
        <f t="shared" si="268"/>
        <v>1664160.6559669778</v>
      </c>
      <c r="AY100">
        <f t="shared" si="269"/>
        <v>1843030.1686205179</v>
      </c>
      <c r="AZ100">
        <f t="shared" si="270"/>
        <v>2034433.9181868702</v>
      </c>
      <c r="BA100">
        <f t="shared" si="271"/>
        <v>2239250.2382213492</v>
      </c>
      <c r="BB100">
        <f t="shared" si="272"/>
        <v>2458419.0112861837</v>
      </c>
      <c r="BC100">
        <f t="shared" si="273"/>
        <v>2692945.9819819685</v>
      </c>
      <c r="BD100">
        <f t="shared" si="274"/>
        <v>2943907.3722137357</v>
      </c>
      <c r="BE100">
        <f t="shared" si="275"/>
        <v>3212454.8198706517</v>
      </c>
      <c r="BF100">
        <f t="shared" si="276"/>
        <v>3499820.6635824763</v>
      </c>
      <c r="BG100">
        <f t="shared" si="277"/>
        <v>3807323.5978040225</v>
      </c>
      <c r="BH100">
        <f t="shared" si="278"/>
        <v>4136374.7241782658</v>
      </c>
      <c r="BI100">
        <f t="shared" si="279"/>
        <v>4488484.0269472254</v>
      </c>
      <c r="BJ100">
        <f t="shared" si="280"/>
        <v>4865267.3021256691</v>
      </c>
    </row>
    <row r="101" spans="1:62" x14ac:dyDescent="0.3">
      <c r="D101">
        <f t="shared" si="225"/>
        <v>40763.455672026736</v>
      </c>
      <c r="E101">
        <f t="shared" si="229"/>
        <v>104529.55510115733</v>
      </c>
      <c r="F101">
        <f t="shared" si="229"/>
        <v>171584.75421987858</v>
      </c>
      <c r="G101">
        <f t="shared" si="229"/>
        <v>242098.7070742262</v>
      </c>
      <c r="H101">
        <f t="shared" si="230"/>
        <v>316919.49175429321</v>
      </c>
      <c r="I101">
        <f t="shared" si="231"/>
        <v>395851.72047864879</v>
      </c>
      <c r="J101">
        <f t="shared" si="232"/>
        <v>479063.86237019917</v>
      </c>
      <c r="K101">
        <f t="shared" si="233"/>
        <v>567926.25650673837</v>
      </c>
      <c r="L101">
        <f t="shared" si="234"/>
        <v>662057.27100036305</v>
      </c>
      <c r="M101">
        <f t="shared" si="235"/>
        <v>761541.57766523561</v>
      </c>
      <c r="N101">
        <f t="shared" si="236"/>
        <v>866683.62171768467</v>
      </c>
      <c r="O101">
        <f t="shared" si="237"/>
        <v>977805.1623720011</v>
      </c>
      <c r="P101">
        <f t="shared" si="238"/>
        <v>1097457.8696211015</v>
      </c>
      <c r="Q101">
        <f t="shared" si="239"/>
        <v>1224658.3910688607</v>
      </c>
      <c r="R101">
        <f t="shared" si="240"/>
        <v>1359425.6656733348</v>
      </c>
      <c r="S101">
        <f t="shared" si="241"/>
        <v>1502209.8154362505</v>
      </c>
      <c r="T101">
        <f t="shared" si="242"/>
        <v>1653487.7386809923</v>
      </c>
      <c r="U101">
        <f t="shared" si="243"/>
        <v>1807810.6141259242</v>
      </c>
      <c r="V101">
        <f t="shared" si="244"/>
        <v>1967582.8830799223</v>
      </c>
      <c r="W101">
        <f t="shared" si="245"/>
        <v>2136018.4249289096</v>
      </c>
      <c r="X101">
        <f t="shared" si="246"/>
        <v>2313586.9851283696</v>
      </c>
      <c r="Y101">
        <f t="shared" si="247"/>
        <v>2500783.7799686017</v>
      </c>
      <c r="Z101">
        <f t="shared" si="248"/>
        <v>2698130.8776704371</v>
      </c>
      <c r="AA101">
        <f t="shared" si="249"/>
        <v>2906178.6543675582</v>
      </c>
      <c r="AB101">
        <f t="shared" si="250"/>
        <v>3125507.3290360398</v>
      </c>
      <c r="AC101">
        <f t="shared" si="251"/>
        <v>3356728.5816518036</v>
      </c>
      <c r="AD101">
        <f t="shared" si="252"/>
        <v>3600487.2590888194</v>
      </c>
      <c r="AE101">
        <f t="shared" si="253"/>
        <v>3857463.1735156067</v>
      </c>
      <c r="AI101">
        <f t="shared" si="227"/>
        <v>41032.369833544268</v>
      </c>
      <c r="AJ101">
        <f t="shared" si="254"/>
        <v>106161.56879992656</v>
      </c>
      <c r="AK101">
        <f t="shared" si="255"/>
        <v>175854.6802949213</v>
      </c>
      <c r="AL101">
        <f t="shared" si="256"/>
        <v>250431.51936154134</v>
      </c>
      <c r="AM101">
        <f t="shared" si="257"/>
        <v>330234.31200293428</v>
      </c>
      <c r="AN101">
        <f t="shared" si="258"/>
        <v>415629.26562487776</v>
      </c>
      <c r="AO101">
        <f t="shared" si="259"/>
        <v>507008.24952664453</v>
      </c>
      <c r="AP101">
        <f t="shared" si="260"/>
        <v>604790.59315184981</v>
      </c>
      <c r="AQ101">
        <f t="shared" si="261"/>
        <v>709425.01035128278</v>
      </c>
      <c r="AR101">
        <f t="shared" si="262"/>
        <v>821391.65848798002</v>
      </c>
      <c r="AS101">
        <f t="shared" si="263"/>
        <v>941204.34183357935</v>
      </c>
      <c r="AT101">
        <f t="shared" si="264"/>
        <v>1069412.8693671275</v>
      </c>
      <c r="AU101">
        <f t="shared" si="265"/>
        <v>1206605.5777960578</v>
      </c>
      <c r="AV101">
        <f t="shared" si="266"/>
        <v>1353412.0313772396</v>
      </c>
      <c r="AW101">
        <f t="shared" si="267"/>
        <v>1510505.9109273192</v>
      </c>
      <c r="AX101">
        <f t="shared" si="268"/>
        <v>1678608.1052797509</v>
      </c>
      <c r="AY101">
        <f t="shared" si="269"/>
        <v>1858490.01937491</v>
      </c>
      <c r="AZ101">
        <f t="shared" si="270"/>
        <v>2050977.1141638078</v>
      </c>
      <c r="BA101">
        <f t="shared" si="271"/>
        <v>2256952.6945696822</v>
      </c>
      <c r="BB101">
        <f t="shared" si="272"/>
        <v>2477361.9628900634</v>
      </c>
      <c r="BC101">
        <f t="shared" si="273"/>
        <v>2713216.3562399866</v>
      </c>
      <c r="BD101">
        <f t="shared" si="274"/>
        <v>2965598.1879404653</v>
      </c>
      <c r="BE101">
        <f t="shared" si="275"/>
        <v>3235665.6141511197</v>
      </c>
      <c r="BF101">
        <f t="shared" si="276"/>
        <v>3524657.9485383532</v>
      </c>
      <c r="BG101">
        <f t="shared" si="277"/>
        <v>3833901.3493675934</v>
      </c>
      <c r="BH101">
        <f t="shared" si="278"/>
        <v>4164814.9051171145</v>
      </c>
      <c r="BI101">
        <f t="shared" si="279"/>
        <v>4518917.1465397468</v>
      </c>
      <c r="BJ101">
        <f t="shared" si="280"/>
        <v>4897833.0150557002</v>
      </c>
    </row>
    <row r="102" spans="1:62" x14ac:dyDescent="0.3">
      <c r="D102">
        <f t="shared" si="225"/>
        <v>45955.662185849251</v>
      </c>
      <c r="E102">
        <f t="shared" si="229"/>
        <v>109989.5792325822</v>
      </c>
      <c r="F102">
        <f t="shared" si="229"/>
        <v>177326.41018760207</v>
      </c>
      <c r="G102">
        <f t="shared" si="229"/>
        <v>248136.52164393794</v>
      </c>
      <c r="H102">
        <f t="shared" si="230"/>
        <v>323339.15671292966</v>
      </c>
      <c r="I102">
        <f t="shared" si="231"/>
        <v>402619.47656595963</v>
      </c>
      <c r="J102">
        <f t="shared" si="232"/>
        <v>486198.58400325174</v>
      </c>
      <c r="K102">
        <f t="shared" si="233"/>
        <v>575573.17581179948</v>
      </c>
      <c r="L102">
        <f t="shared" si="234"/>
        <v>670139.07559238467</v>
      </c>
      <c r="M102">
        <f t="shared" si="235"/>
        <v>770082.999754049</v>
      </c>
      <c r="N102">
        <f t="shared" si="236"/>
        <v>875710.80005002045</v>
      </c>
      <c r="O102">
        <f t="shared" si="237"/>
        <v>987345.72222215973</v>
      </c>
      <c r="P102">
        <f t="shared" si="238"/>
        <v>1107779.4337577627</v>
      </c>
      <c r="Q102">
        <f t="shared" si="239"/>
        <v>1235593.95212255</v>
      </c>
      <c r="R102">
        <f t="shared" si="240"/>
        <v>1371011.74836154</v>
      </c>
      <c r="S102">
        <f t="shared" si="241"/>
        <v>1514485.1172153612</v>
      </c>
      <c r="T102">
        <f t="shared" si="242"/>
        <v>1666493.2589956054</v>
      </c>
      <c r="U102">
        <f t="shared" si="243"/>
        <v>1820805.1089342195</v>
      </c>
      <c r="V102">
        <f t="shared" si="244"/>
        <v>1981281.9735943049</v>
      </c>
      <c r="W102">
        <f t="shared" si="245"/>
        <v>2150460.3161828462</v>
      </c>
      <c r="X102">
        <f t="shared" si="246"/>
        <v>2328811.9537327858</v>
      </c>
      <c r="Y102">
        <f t="shared" si="247"/>
        <v>2516834.286438263</v>
      </c>
      <c r="Z102">
        <f t="shared" si="248"/>
        <v>2715051.6848409642</v>
      </c>
      <c r="AA102">
        <f t="shared" si="249"/>
        <v>2924016.9522333192</v>
      </c>
      <c r="AB102">
        <f t="shared" si="250"/>
        <v>3144312.866357089</v>
      </c>
      <c r="AC102">
        <f t="shared" si="251"/>
        <v>3376553.8046968882</v>
      </c>
      <c r="AD102">
        <f t="shared" si="252"/>
        <v>3621387.457901401</v>
      </c>
      <c r="AE102">
        <f t="shared" si="253"/>
        <v>3879496.6361108106</v>
      </c>
      <c r="AI102">
        <f t="shared" si="227"/>
        <v>46292.913046802125</v>
      </c>
      <c r="AJ102">
        <f t="shared" si="254"/>
        <v>111790.74327933414</v>
      </c>
      <c r="AK102">
        <f t="shared" si="255"/>
        <v>181878.31778539057</v>
      </c>
      <c r="AL102">
        <f t="shared" si="256"/>
        <v>256877.26176112768</v>
      </c>
      <c r="AM102">
        <f t="shared" si="257"/>
        <v>337131.73820887087</v>
      </c>
      <c r="AN102">
        <f t="shared" si="258"/>
        <v>423010.02726831456</v>
      </c>
      <c r="AO102">
        <f t="shared" si="259"/>
        <v>514906.21621896536</v>
      </c>
      <c r="AP102">
        <f t="shared" si="260"/>
        <v>613242.00790908933</v>
      </c>
      <c r="AQ102">
        <f t="shared" si="261"/>
        <v>718468.65590987098</v>
      </c>
      <c r="AR102">
        <f t="shared" si="262"/>
        <v>831069.03527502203</v>
      </c>
      <c r="AS102">
        <f t="shared" si="263"/>
        <v>951559.85840835737</v>
      </c>
      <c r="AT102">
        <f t="shared" si="264"/>
        <v>1080494.0462077456</v>
      </c>
      <c r="AU102">
        <f t="shared" si="265"/>
        <v>1218463.2653663836</v>
      </c>
      <c r="AV102">
        <f t="shared" si="266"/>
        <v>1366100.6434748347</v>
      </c>
      <c r="AW102">
        <f t="shared" si="267"/>
        <v>1524083.6743831679</v>
      </c>
      <c r="AX102">
        <f t="shared" si="268"/>
        <v>1693137.3271556343</v>
      </c>
      <c r="AY102">
        <f t="shared" si="269"/>
        <v>1874037.372884572</v>
      </c>
      <c r="AZ102">
        <f t="shared" si="270"/>
        <v>2067613.9446299749</v>
      </c>
      <c r="BA102">
        <f t="shared" si="271"/>
        <v>2274755.3468209468</v>
      </c>
      <c r="BB102">
        <f t="shared" si="272"/>
        <v>2496412.1316000214</v>
      </c>
      <c r="BC102">
        <f t="shared" si="273"/>
        <v>2733601.4608163051</v>
      </c>
      <c r="BD102">
        <f t="shared" si="274"/>
        <v>2987411.7736842083</v>
      </c>
      <c r="BE102">
        <f t="shared" si="275"/>
        <v>3259007.7815272151</v>
      </c>
      <c r="BF102">
        <f t="shared" si="276"/>
        <v>3549635.8125270801</v>
      </c>
      <c r="BG102">
        <f t="shared" si="277"/>
        <v>3860629.5310050142</v>
      </c>
      <c r="BH102">
        <f t="shared" si="278"/>
        <v>4193416.0574800773</v>
      </c>
      <c r="BI102">
        <f t="shared" si="279"/>
        <v>4549522.5175891621</v>
      </c>
      <c r="BJ102">
        <f t="shared" si="280"/>
        <v>4930583.0499209156</v>
      </c>
    </row>
    <row r="103" spans="1:62" x14ac:dyDescent="0.3">
      <c r="D103">
        <f t="shared" si="225"/>
        <v>51169.67596702982</v>
      </c>
      <c r="E103">
        <f t="shared" ref="E103:F105" si="281">(E102+5000)*1.00566-(0.00146*(E102+5000))</f>
        <v>115472.53546535903</v>
      </c>
      <c r="F103">
        <f t="shared" si="281"/>
        <v>183092.18111039</v>
      </c>
      <c r="G103">
        <f>(G102+5000)*1.00566-(0.00125*(G102+5000))</f>
        <v>254252.8537043877</v>
      </c>
      <c r="H103">
        <f t="shared" si="230"/>
        <v>329787.13239403372</v>
      </c>
      <c r="I103">
        <f t="shared" si="231"/>
        <v>409417.07845761551</v>
      </c>
      <c r="J103">
        <f t="shared" si="232"/>
        <v>493364.7697587061</v>
      </c>
      <c r="K103">
        <f t="shared" si="233"/>
        <v>583255.42388404999</v>
      </c>
      <c r="L103">
        <f t="shared" si="234"/>
        <v>678258.21812162141</v>
      </c>
      <c r="M103">
        <f t="shared" si="235"/>
        <v>778663.88321291271</v>
      </c>
      <c r="N103">
        <f t="shared" si="236"/>
        <v>884779.68394625152</v>
      </c>
      <c r="O103">
        <f t="shared" si="237"/>
        <v>996930.35945882613</v>
      </c>
      <c r="P103">
        <f t="shared" si="238"/>
        <v>1118150.8200845115</v>
      </c>
      <c r="Q103">
        <f t="shared" si="239"/>
        <v>1246582.2991294456</v>
      </c>
      <c r="R103">
        <f t="shared" si="240"/>
        <v>1382653.7570708811</v>
      </c>
      <c r="S103">
        <f t="shared" si="241"/>
        <v>1526819.6718761597</v>
      </c>
      <c r="T103">
        <f t="shared" si="242"/>
        <v>1679561.5569567771</v>
      </c>
      <c r="U103">
        <f t="shared" si="243"/>
        <v>1833856.9094646194</v>
      </c>
      <c r="V103">
        <f t="shared" si="244"/>
        <v>1995041.4770978559</v>
      </c>
      <c r="W103">
        <f t="shared" si="245"/>
        <v>2164965.8961772127</v>
      </c>
      <c r="X103">
        <f t="shared" si="246"/>
        <v>2344104.0644487473</v>
      </c>
      <c r="Y103">
        <f t="shared" si="247"/>
        <v>2532955.5756414556</v>
      </c>
      <c r="Z103">
        <f t="shared" si="248"/>
        <v>2732047.1127711125</v>
      </c>
      <c r="AA103">
        <f t="shared" si="249"/>
        <v>2941933.9169926681</v>
      </c>
      <c r="AB103">
        <f t="shared" si="250"/>
        <v>3163201.3360977238</v>
      </c>
      <c r="AC103">
        <f t="shared" si="251"/>
        <v>3396466.4569756016</v>
      </c>
      <c r="AD103">
        <f t="shared" si="252"/>
        <v>3642379.8265907462</v>
      </c>
      <c r="AE103">
        <f t="shared" si="253"/>
        <v>3901627.2662760592</v>
      </c>
      <c r="AI103">
        <f t="shared" si="227"/>
        <v>51583.230934647028</v>
      </c>
      <c r="AJ103">
        <f t="shared" si="254"/>
        <v>117451.77888629517</v>
      </c>
      <c r="AK103">
        <f t="shared" si="255"/>
        <v>187936.04906405587</v>
      </c>
      <c r="AL103">
        <f t="shared" si="256"/>
        <v>263359.48706269567</v>
      </c>
      <c r="AM103">
        <f t="shared" si="257"/>
        <v>344068.20384713309</v>
      </c>
      <c r="AN103">
        <f t="shared" si="258"/>
        <v>430432.56402265321</v>
      </c>
      <c r="AO103">
        <f t="shared" si="259"/>
        <v>522848.88540276472</v>
      </c>
      <c r="AP103">
        <f t="shared" si="260"/>
        <v>621741.25767385482</v>
      </c>
      <c r="AQ103">
        <f t="shared" si="261"/>
        <v>727563.48850232083</v>
      </c>
      <c r="AR103">
        <f t="shared" si="262"/>
        <v>840801.18601467868</v>
      </c>
      <c r="AS103">
        <f t="shared" si="263"/>
        <v>961973.98720694869</v>
      </c>
      <c r="AT103">
        <f t="shared" si="264"/>
        <v>1091637.9425092814</v>
      </c>
      <c r="AU103">
        <f t="shared" si="265"/>
        <v>1230388.0674483574</v>
      </c>
      <c r="AV103">
        <f t="shared" si="266"/>
        <v>1378861.0731169023</v>
      </c>
      <c r="AW103">
        <f t="shared" si="267"/>
        <v>1537738.2879801765</v>
      </c>
      <c r="AX103">
        <f t="shared" si="268"/>
        <v>1707748.7844273353</v>
      </c>
      <c r="AY103">
        <f t="shared" si="269"/>
        <v>1889672.7244150988</v>
      </c>
      <c r="AZ103">
        <f t="shared" si="270"/>
        <v>2084344.9395565805</v>
      </c>
      <c r="BA103">
        <f t="shared" si="271"/>
        <v>2292658.7620839532</v>
      </c>
      <c r="BB103">
        <f t="shared" si="272"/>
        <v>2515570.1242648773</v>
      </c>
      <c r="BC103">
        <f t="shared" si="273"/>
        <v>2754101.9450845253</v>
      </c>
      <c r="BD103">
        <f t="shared" si="274"/>
        <v>3009348.8243232607</v>
      </c>
      <c r="BE103">
        <f t="shared" si="275"/>
        <v>3282482.065570659</v>
      </c>
      <c r="BF103">
        <f t="shared" si="276"/>
        <v>3574755.0512259835</v>
      </c>
      <c r="BG103">
        <f t="shared" si="277"/>
        <v>3887508.9941505026</v>
      </c>
      <c r="BH103">
        <f t="shared" si="278"/>
        <v>4222179.0923654148</v>
      </c>
      <c r="BI103">
        <f t="shared" si="279"/>
        <v>4580301.1150387172</v>
      </c>
      <c r="BJ103">
        <f t="shared" si="280"/>
        <v>4963518.4499834683</v>
      </c>
    </row>
    <row r="104" spans="1:62" x14ac:dyDescent="0.3">
      <c r="D104">
        <f t="shared" si="225"/>
        <v>56405.588606091347</v>
      </c>
      <c r="E104">
        <f t="shared" si="281"/>
        <v>120978.52011431355</v>
      </c>
      <c r="F104">
        <f t="shared" si="281"/>
        <v>188882.16827105364</v>
      </c>
      <c r="G104">
        <f>(G103+5000)*1.00566-(0.00125*(G103+5000))</f>
        <v>260396.15878922405</v>
      </c>
      <c r="H104">
        <f>(H103+5000)*1.00566-(0.00125*(H103+5000))</f>
        <v>336263.54364789138</v>
      </c>
      <c r="I104">
        <f>(I103+5000)*1.00566-(0.00125*(I103+5000))</f>
        <v>416244.65777361358</v>
      </c>
      <c r="J104">
        <f t="shared" ref="J104:N105" si="282">(J103+5000)*1.00566-(0.00104*(J103+5000))</f>
        <v>500667.21499499131</v>
      </c>
      <c r="K104">
        <f t="shared" si="282"/>
        <v>590973.16394239431</v>
      </c>
      <c r="L104">
        <f t="shared" si="282"/>
        <v>686414.87108934321</v>
      </c>
      <c r="M104">
        <f t="shared" si="282"/>
        <v>787284.41035335639</v>
      </c>
      <c r="N104">
        <f t="shared" si="282"/>
        <v>893890.46608608321</v>
      </c>
      <c r="O104">
        <f>(O103+5000)*1.00566-(0.000833*(O103+5000))</f>
        <v>1006766.6773039339</v>
      </c>
      <c r="P104">
        <f t="shared" si="238"/>
        <v>1128572.2690930595</v>
      </c>
      <c r="Q104">
        <f t="shared" si="239"/>
        <v>1257623.6868873434</v>
      </c>
      <c r="R104">
        <f t="shared" si="240"/>
        <v>1394351.9617562622</v>
      </c>
      <c r="S104">
        <f t="shared" si="241"/>
        <v>1539213.7654323059</v>
      </c>
      <c r="T104">
        <f t="shared" si="242"/>
        <v>1692692.9355922076</v>
      </c>
      <c r="U104">
        <f t="shared" si="243"/>
        <v>1846966.2684353583</v>
      </c>
      <c r="V104">
        <f t="shared" si="244"/>
        <v>2008861.6600118573</v>
      </c>
      <c r="W104">
        <f t="shared" si="245"/>
        <v>2179535.4457793543</v>
      </c>
      <c r="X104">
        <f t="shared" si="246"/>
        <v>2359463.6133729662</v>
      </c>
      <c r="Y104">
        <f t="shared" si="247"/>
        <v>2549147.9597300342</v>
      </c>
      <c r="Z104">
        <f t="shared" si="248"/>
        <v>2749117.4905384332</v>
      </c>
      <c r="AA104">
        <f t="shared" si="249"/>
        <v>2959929.8955666055</v>
      </c>
      <c r="AB104">
        <f t="shared" si="250"/>
        <v>3182173.103989915</v>
      </c>
      <c r="AC104">
        <f t="shared" si="251"/>
        <v>3416466.9240508638</v>
      </c>
      <c r="AD104">
        <f t="shared" si="252"/>
        <v>3663464.7716260115</v>
      </c>
      <c r="AE104">
        <f t="shared" si="253"/>
        <v>3923855.492520337</v>
      </c>
      <c r="AI104">
        <f t="shared" si="227"/>
        <v>56903.492021737133</v>
      </c>
      <c r="AJ104">
        <f t="shared" si="254"/>
        <v>123144.85595479161</v>
      </c>
      <c r="AK104">
        <f t="shared" si="255"/>
        <v>194028.06710175844</v>
      </c>
      <c r="AL104">
        <f t="shared" si="256"/>
        <v>269878.40175947052</v>
      </c>
      <c r="AM104">
        <f t="shared" si="257"/>
        <v>351043.92988090788</v>
      </c>
      <c r="AN104">
        <f t="shared" si="258"/>
        <v>437897.11233502143</v>
      </c>
      <c r="AO104">
        <f t="shared" si="259"/>
        <v>530836.51009414427</v>
      </c>
      <c r="AP104">
        <f t="shared" si="260"/>
        <v>630288.61319228879</v>
      </c>
      <c r="AQ104">
        <f t="shared" si="261"/>
        <v>736709.79784724396</v>
      </c>
      <c r="AR104">
        <f t="shared" si="262"/>
        <v>850588.42072752176</v>
      </c>
      <c r="AS104">
        <f t="shared" si="263"/>
        <v>972447.05997454002</v>
      </c>
      <c r="AT104">
        <f t="shared" si="264"/>
        <v>1102844.9132638839</v>
      </c>
      <c r="AU104">
        <f t="shared" si="265"/>
        <v>1242380.3639101151</v>
      </c>
      <c r="AV104">
        <f t="shared" si="266"/>
        <v>1391693.7267907439</v>
      </c>
      <c r="AW104">
        <f t="shared" si="267"/>
        <v>1551470.1866901442</v>
      </c>
      <c r="AX104">
        <f t="shared" si="268"/>
        <v>1722442.942547194</v>
      </c>
      <c r="AY104">
        <f t="shared" si="269"/>
        <v>1905396.5720352882</v>
      </c>
      <c r="AZ104">
        <f t="shared" si="270"/>
        <v>2101170.6319144708</v>
      </c>
      <c r="BA104">
        <f t="shared" si="271"/>
        <v>2310663.5106773484</v>
      </c>
      <c r="BB104">
        <f t="shared" si="272"/>
        <v>2534836.5511682164</v>
      </c>
      <c r="BC104">
        <f t="shared" si="273"/>
        <v>2774718.4620937034</v>
      </c>
      <c r="BD104">
        <f t="shared" si="274"/>
        <v>3031410.0386689305</v>
      </c>
      <c r="BE104">
        <f t="shared" si="275"/>
        <v>3306089.2140617887</v>
      </c>
      <c r="BF104">
        <f t="shared" si="276"/>
        <v>3600016.4648159225</v>
      </c>
      <c r="BG104">
        <f t="shared" si="277"/>
        <v>3914540.5950573944</v>
      </c>
      <c r="BH104">
        <f t="shared" si="278"/>
        <v>4251104.9260282032</v>
      </c>
      <c r="BI104">
        <f t="shared" si="279"/>
        <v>4611253.9193498362</v>
      </c>
      <c r="BJ104">
        <f t="shared" si="280"/>
        <v>4996640.2644103747</v>
      </c>
    </row>
    <row r="105" spans="1:62" x14ac:dyDescent="0.3">
      <c r="D105">
        <f t="shared" si="225"/>
        <v>61663.49207823693</v>
      </c>
      <c r="E105">
        <f t="shared" si="281"/>
        <v>126507.62989879366</v>
      </c>
      <c r="F105">
        <f t="shared" si="281"/>
        <v>194696.47337779208</v>
      </c>
      <c r="G105">
        <f>(G104+5000)*1.00566-(0.00125*(G104+5000))</f>
        <v>266566.55584948452</v>
      </c>
      <c r="H105">
        <f>(H104+5000)*1.00566-(0.00125*(H104+5000))</f>
        <v>342768.51587537857</v>
      </c>
      <c r="I105">
        <f>(I104+5000)*1.00566-(0.00125*(I104+5000))</f>
        <v>423102.34671439521</v>
      </c>
      <c r="J105">
        <f t="shared" si="282"/>
        <v>508003.39752826816</v>
      </c>
      <c r="K105">
        <f t="shared" si="282"/>
        <v>598726.55995980813</v>
      </c>
      <c r="L105">
        <f t="shared" si="282"/>
        <v>694609.20779377606</v>
      </c>
      <c r="M105">
        <f t="shared" si="282"/>
        <v>795944.76432918897</v>
      </c>
      <c r="N105">
        <f t="shared" si="282"/>
        <v>903043.34003940085</v>
      </c>
      <c r="O105">
        <f>(O104+5000)*1.00566-(0.000833*(O104+5000))</f>
        <v>1016650.47505528</v>
      </c>
      <c r="P105">
        <f t="shared" si="238"/>
        <v>1139044.0224359718</v>
      </c>
      <c r="Q105">
        <f t="shared" si="239"/>
        <v>1268718.3714239486</v>
      </c>
      <c r="R105">
        <f t="shared" si="240"/>
        <v>1406106.6336756598</v>
      </c>
      <c r="S105">
        <f t="shared" si="241"/>
        <v>1551667.6852780478</v>
      </c>
      <c r="T105">
        <f t="shared" si="242"/>
        <v>1705887.699392311</v>
      </c>
      <c r="U105">
        <f t="shared" si="243"/>
        <v>1860133.4396791584</v>
      </c>
      <c r="V105">
        <f t="shared" si="244"/>
        <v>2022742.7899325097</v>
      </c>
      <c r="W105" s="3">
        <f t="shared" si="245"/>
        <v>2194169.2470952417</v>
      </c>
      <c r="X105">
        <f t="shared" si="246"/>
        <v>2374890.8979079407</v>
      </c>
      <c r="Y105">
        <f t="shared" si="247"/>
        <v>2565411.7522324435</v>
      </c>
      <c r="Z105">
        <f t="shared" si="248"/>
        <v>2766263.1486717076</v>
      </c>
      <c r="AA105">
        <f t="shared" si="249"/>
        <v>2978005.2364060539</v>
      </c>
      <c r="AB105" s="3">
        <f t="shared" si="250"/>
        <v>3201228.5373785105</v>
      </c>
      <c r="AC105">
        <f t="shared" si="251"/>
        <v>3436555.5931859282</v>
      </c>
      <c r="AD105">
        <f t="shared" si="252"/>
        <v>3684642.701268882</v>
      </c>
      <c r="AE105">
        <f t="shared" si="253"/>
        <v>3946181.7452423517</v>
      </c>
      <c r="AI105">
        <f t="shared" si="227"/>
        <v>62253.865786580165</v>
      </c>
      <c r="AJ105">
        <f t="shared" si="254"/>
        <v>128870.15583949572</v>
      </c>
      <c r="AK105">
        <f t="shared" si="255"/>
        <v>200154.56596155438</v>
      </c>
      <c r="AL105">
        <f t="shared" si="256"/>
        <v>276434.2135134291</v>
      </c>
      <c r="AM105">
        <f t="shared" si="257"/>
        <v>358059.13852403383</v>
      </c>
      <c r="AN105">
        <f t="shared" si="258"/>
        <v>445403.90999083768</v>
      </c>
      <c r="AO105">
        <f t="shared" si="259"/>
        <v>538869.34474127716</v>
      </c>
      <c r="AP105">
        <f t="shared" si="260"/>
        <v>638884.34674295713</v>
      </c>
      <c r="AQ105">
        <f t="shared" si="261"/>
        <v>745907.87530305935</v>
      </c>
      <c r="AR105">
        <f t="shared" si="262"/>
        <v>860431.05118883948</v>
      </c>
      <c r="AS105">
        <f t="shared" si="263"/>
        <v>982979.41033399594</v>
      </c>
      <c r="AT105">
        <f t="shared" si="264"/>
        <v>1114115.3154729574</v>
      </c>
      <c r="AU105">
        <f t="shared" si="265"/>
        <v>1254440.5367698465</v>
      </c>
      <c r="AV105">
        <f t="shared" si="266"/>
        <v>1404599.0132843794</v>
      </c>
      <c r="AW105">
        <f t="shared" si="267"/>
        <v>1565279.8079468105</v>
      </c>
      <c r="AX105">
        <f t="shared" si="268"/>
        <v>1737220.2696020112</v>
      </c>
      <c r="AY105">
        <f t="shared" si="269"/>
        <v>1921209.416633008</v>
      </c>
      <c r="AZ105">
        <f t="shared" si="270"/>
        <v>2118091.5576911066</v>
      </c>
      <c r="BA105">
        <f t="shared" si="271"/>
        <v>2328770.166147782</v>
      </c>
      <c r="BB105" s="3">
        <f t="shared" si="272"/>
        <v>2554212.0260478286</v>
      </c>
      <c r="BC105">
        <f t="shared" si="273"/>
        <v>2795451.6685891538</v>
      </c>
      <c r="BD105">
        <f t="shared" si="274"/>
        <v>3053596.1194877964</v>
      </c>
      <c r="BE105">
        <f t="shared" si="275"/>
        <v>3329829.9790133783</v>
      </c>
      <c r="BF105">
        <f t="shared" si="276"/>
        <v>3625420.8580067805</v>
      </c>
      <c r="BG105" s="3">
        <f t="shared" si="277"/>
        <v>3941725.1948254192</v>
      </c>
      <c r="BH105">
        <f t="shared" si="278"/>
        <v>4280194.4799095225</v>
      </c>
      <c r="BI105">
        <f t="shared" si="279"/>
        <v>4642381.9165333565</v>
      </c>
      <c r="BJ105">
        <f t="shared" si="280"/>
        <v>5029949.5483069373</v>
      </c>
    </row>
    <row r="108" spans="1:62" x14ac:dyDescent="0.3">
      <c r="D108" t="s">
        <v>60</v>
      </c>
      <c r="AI108" t="s">
        <v>60</v>
      </c>
      <c r="AJ108" t="s">
        <v>66</v>
      </c>
    </row>
    <row r="109" spans="1:62" x14ac:dyDescent="0.3">
      <c r="D109" t="s">
        <v>61</v>
      </c>
      <c r="AI109" t="s">
        <v>61</v>
      </c>
    </row>
    <row r="110" spans="1:62" x14ac:dyDescent="0.3">
      <c r="D110" t="s">
        <v>80</v>
      </c>
      <c r="AI110" t="s">
        <v>80</v>
      </c>
    </row>
    <row r="111" spans="1:62" x14ac:dyDescent="0.3">
      <c r="D111" t="s">
        <v>15</v>
      </c>
      <c r="E111" t="s">
        <v>16</v>
      </c>
      <c r="F111" t="s">
        <v>17</v>
      </c>
      <c r="G111" t="s">
        <v>18</v>
      </c>
      <c r="H111" t="s">
        <v>19</v>
      </c>
      <c r="I111" t="s">
        <v>20</v>
      </c>
      <c r="J111" t="s">
        <v>21</v>
      </c>
      <c r="K111" t="s">
        <v>22</v>
      </c>
      <c r="L111" t="s">
        <v>23</v>
      </c>
      <c r="M111" t="s">
        <v>24</v>
      </c>
      <c r="N111" t="s">
        <v>25</v>
      </c>
      <c r="O111" t="s">
        <v>26</v>
      </c>
      <c r="P111" t="s">
        <v>27</v>
      </c>
      <c r="Q111" t="s">
        <v>28</v>
      </c>
      <c r="R111" t="s">
        <v>29</v>
      </c>
      <c r="S111" t="s">
        <v>30</v>
      </c>
      <c r="T111" t="s">
        <v>31</v>
      </c>
      <c r="U111" t="s">
        <v>32</v>
      </c>
      <c r="V111" t="s">
        <v>33</v>
      </c>
      <c r="W111" t="s">
        <v>34</v>
      </c>
      <c r="X111" t="s">
        <v>35</v>
      </c>
      <c r="Y111" t="s">
        <v>36</v>
      </c>
      <c r="Z111" t="s">
        <v>37</v>
      </c>
      <c r="AA111" t="s">
        <v>38</v>
      </c>
      <c r="AB111" t="s">
        <v>39</v>
      </c>
      <c r="AC111" t="s">
        <v>67</v>
      </c>
      <c r="AD111" t="s">
        <v>68</v>
      </c>
      <c r="AE111" t="s">
        <v>69</v>
      </c>
      <c r="AI111" t="s">
        <v>15</v>
      </c>
      <c r="AJ111" t="s">
        <v>16</v>
      </c>
      <c r="AK111" t="s">
        <v>17</v>
      </c>
      <c r="AL111" t="s">
        <v>18</v>
      </c>
      <c r="AM111" t="s">
        <v>19</v>
      </c>
      <c r="AN111" t="s">
        <v>20</v>
      </c>
      <c r="AO111" t="s">
        <v>21</v>
      </c>
      <c r="AP111" t="s">
        <v>22</v>
      </c>
      <c r="AQ111" t="s">
        <v>23</v>
      </c>
      <c r="AR111" t="s">
        <v>24</v>
      </c>
      <c r="AS111" t="s">
        <v>25</v>
      </c>
      <c r="AT111" t="s">
        <v>26</v>
      </c>
      <c r="AU111" t="s">
        <v>27</v>
      </c>
      <c r="AV111" t="s">
        <v>28</v>
      </c>
      <c r="AW111" t="s">
        <v>29</v>
      </c>
      <c r="AX111" t="s">
        <v>30</v>
      </c>
      <c r="AY111" t="s">
        <v>31</v>
      </c>
      <c r="AZ111" t="s">
        <v>32</v>
      </c>
      <c r="BA111" t="s">
        <v>33</v>
      </c>
      <c r="BB111" t="s">
        <v>34</v>
      </c>
      <c r="BC111" t="s">
        <v>35</v>
      </c>
      <c r="BD111" t="s">
        <v>36</v>
      </c>
      <c r="BE111" t="s">
        <v>37</v>
      </c>
      <c r="BF111" t="s">
        <v>38</v>
      </c>
      <c r="BG111" t="s">
        <v>39</v>
      </c>
      <c r="BH111" t="s">
        <v>67</v>
      </c>
      <c r="BI111" t="s">
        <v>68</v>
      </c>
      <c r="BJ111" t="s">
        <v>69</v>
      </c>
    </row>
    <row r="112" spans="1:62" x14ac:dyDescent="0.3">
      <c r="D112">
        <v>0</v>
      </c>
      <c r="AI112">
        <v>0</v>
      </c>
    </row>
    <row r="113" spans="1:62" x14ac:dyDescent="0.3">
      <c r="D113">
        <f t="shared" ref="D113:D124" si="283">(D112+5000)*1.00644-(0.00146*(D112+5000))</f>
        <v>5024.8999999999996</v>
      </c>
      <c r="E113">
        <f>(D124+5000)*1.00644-(0.00146*(D124+5000))</f>
        <v>67311.661078492776</v>
      </c>
      <c r="F113">
        <f>(E124+5000)*1.00644-(0.00146*(E124+5000))</f>
        <v>133424.34314282238</v>
      </c>
      <c r="G113">
        <f>(F124+5000)*1.00644-(0.00146*(F124+5000))</f>
        <v>203597.95072904791</v>
      </c>
      <c r="H113">
        <f>(G124+5000)*1.00644-(0.00125*(G124+5000))</f>
        <v>278362.0249026948</v>
      </c>
      <c r="I113">
        <f>(H124+5000)*1.00644-(0.00125*(H124+5000))</f>
        <v>358265.06409216282</v>
      </c>
      <c r="J113">
        <f>(I124+5000)*1.00644-(0.00125*(I124+5000))</f>
        <v>443289.00120098039</v>
      </c>
      <c r="K113">
        <f>(J124+5000)*1.00644-(0.00104*(J124+5000))</f>
        <v>534309.25711271237</v>
      </c>
      <c r="L113">
        <f>(K124+5000)*1.00644-(0.00104*(K124+5000))</f>
        <v>632127.81087344722</v>
      </c>
      <c r="M113">
        <f>(L124+5000)*1.00644-(0.00104*(L124+5000))</f>
        <v>736476.6947617993</v>
      </c>
      <c r="N113">
        <f>(M124+5000)*1.00644-(0.00104*(M124+5000))</f>
        <v>847791.87117892993</v>
      </c>
      <c r="O113">
        <f>(N124+5000)*1.00644-(0.00104*(N124+5000))</f>
        <v>966538.40721313155</v>
      </c>
      <c r="P113">
        <f>(O124+5000)*1.00644-(0.000833*(O124+5000))</f>
        <v>1095202.0251832439</v>
      </c>
      <c r="Q113">
        <f>(P124+5000)*1.00644-(0.000833*(P124+5000))</f>
        <v>1233439.4109556496</v>
      </c>
      <c r="R113">
        <f>(Q124+5000)*1.00644-(0.000833*(Q124+5000))</f>
        <v>1381270.2241159733</v>
      </c>
      <c r="S113">
        <f>(R124+5000)*1.00644-(0.000833*(R124+5000))</f>
        <v>1539360.2313707618</v>
      </c>
      <c r="T113">
        <f>(S124+5000)*1.00644-(0.000833*(S124+5000))</f>
        <v>1708421.4024455249</v>
      </c>
      <c r="U113">
        <f t="shared" ref="U113:AE113" si="284">(T124+5000)*1.00644-(0.00125*(T124+5000))</f>
        <v>1888431.7063686233</v>
      </c>
      <c r="V113">
        <f t="shared" si="284"/>
        <v>2071522.3409920509</v>
      </c>
      <c r="W113">
        <f t="shared" si="284"/>
        <v>2266347.0530599197</v>
      </c>
      <c r="X113">
        <f t="shared" si="284"/>
        <v>2473657.8666927186</v>
      </c>
      <c r="Y113">
        <f t="shared" si="284"/>
        <v>2694255.0024098814</v>
      </c>
      <c r="Z113">
        <f t="shared" si="284"/>
        <v>2928989.9659840022</v>
      </c>
      <c r="AA113">
        <f t="shared" si="284"/>
        <v>3178768.8352563153</v>
      </c>
      <c r="AB113">
        <f t="shared" si="284"/>
        <v>3444555.757600565</v>
      </c>
      <c r="AC113">
        <f t="shared" si="284"/>
        <v>3727376.6715354943</v>
      </c>
      <c r="AD113">
        <f t="shared" si="284"/>
        <v>4028323.266851373</v>
      </c>
      <c r="AE113">
        <f t="shared" si="284"/>
        <v>4348557.1985366968</v>
      </c>
      <c r="AI113">
        <f t="shared" ref="AI113:AI124" si="285">(AI112+5000)*1.00644-0</f>
        <v>5032.2</v>
      </c>
      <c r="AJ113">
        <f t="shared" ref="AJ113:BJ113" si="286">(AI124+5000)*1.00644-0</f>
        <v>68007.036122720456</v>
      </c>
      <c r="AK113">
        <f t="shared" si="286"/>
        <v>136024.70049363488</v>
      </c>
      <c r="AL113">
        <f t="shared" si="286"/>
        <v>209489.00705346122</v>
      </c>
      <c r="AM113">
        <f t="shared" si="286"/>
        <v>288836.10590244789</v>
      </c>
      <c r="AN113">
        <f t="shared" si="286"/>
        <v>374537.07267906464</v>
      </c>
      <c r="AO113">
        <f t="shared" si="286"/>
        <v>467100.7052880539</v>
      </c>
      <c r="AP113">
        <f t="shared" si="286"/>
        <v>567076.54458173295</v>
      </c>
      <c r="AQ113">
        <f t="shared" si="286"/>
        <v>675058.13692802156</v>
      </c>
      <c r="AR113">
        <f t="shared" si="286"/>
        <v>791686.55803473259</v>
      </c>
      <c r="AS113">
        <f t="shared" si="286"/>
        <v>917654.21895070747</v>
      </c>
      <c r="AT113">
        <f t="shared" si="286"/>
        <v>1053708.9768396402</v>
      </c>
      <c r="AU113">
        <f t="shared" si="286"/>
        <v>1200658.5749318325</v>
      </c>
      <c r="AV113">
        <f t="shared" si="286"/>
        <v>1359375.4380134244</v>
      </c>
      <c r="AW113">
        <f t="shared" si="286"/>
        <v>1530801.8519234275</v>
      </c>
      <c r="AX113">
        <f t="shared" si="286"/>
        <v>1715955.5578087096</v>
      </c>
      <c r="AY113">
        <f t="shared" si="286"/>
        <v>1915935.7943494525</v>
      </c>
      <c r="AZ113">
        <f t="shared" si="286"/>
        <v>2131929.8238271545</v>
      </c>
      <c r="BA113">
        <f t="shared" si="286"/>
        <v>2365219.9807797861</v>
      </c>
      <c r="BB113">
        <f t="shared" si="286"/>
        <v>2617191.2850912423</v>
      </c>
      <c r="BC113">
        <f t="shared" si="286"/>
        <v>2889339.6647132221</v>
      </c>
      <c r="BD113">
        <f t="shared" si="286"/>
        <v>3183280.8368370123</v>
      </c>
      <c r="BE113">
        <f t="shared" si="286"/>
        <v>3500759.9002417671</v>
      </c>
      <c r="BF113">
        <f t="shared" si="286"/>
        <v>3843661.6957680909</v>
      </c>
      <c r="BG113">
        <f t="shared" si="286"/>
        <v>4214021.9964260012</v>
      </c>
      <c r="BH113">
        <f t="shared" si="286"/>
        <v>4614039.5935717952</v>
      </c>
      <c r="BI113">
        <f t="shared" si="286"/>
        <v>5046089.3509082152</v>
      </c>
      <c r="BJ113">
        <f t="shared" si="286"/>
        <v>5512736.3038082039</v>
      </c>
    </row>
    <row r="114" spans="1:62" x14ac:dyDescent="0.3">
      <c r="D114">
        <f t="shared" si="283"/>
        <v>10074.824001999999</v>
      </c>
      <c r="E114">
        <f t="shared" ref="E114:G120" si="287">(E113+5000)*1.00644-(0.00146*(E113+5000))</f>
        <v>72671.773150663663</v>
      </c>
      <c r="F114">
        <f t="shared" si="287"/>
        <v>139113.69637167366</v>
      </c>
      <c r="G114">
        <f t="shared" si="287"/>
        <v>209636.76852367856</v>
      </c>
      <c r="H114">
        <f t="shared" ref="H114:J120" si="288">(H113+5000)*1.00644-(0.00125*(H113+5000))</f>
        <v>284832.67381193978</v>
      </c>
      <c r="I114">
        <f t="shared" si="288"/>
        <v>365150.40977480117</v>
      </c>
      <c r="J114">
        <f t="shared" si="288"/>
        <v>450615.62111721345</v>
      </c>
      <c r="K114">
        <f t="shared" ref="K114:O116" si="289">(K113+5000)*1.00644-(0.00104*(K113+5000))</f>
        <v>542221.52710112103</v>
      </c>
      <c r="L114">
        <f t="shared" si="289"/>
        <v>640568.30105216382</v>
      </c>
      <c r="M114">
        <f t="shared" si="289"/>
        <v>745480.66891351307</v>
      </c>
      <c r="N114">
        <f t="shared" si="289"/>
        <v>857396.94728329615</v>
      </c>
      <c r="O114">
        <f t="shared" si="289"/>
        <v>976784.71461208246</v>
      </c>
      <c r="P114">
        <f t="shared" ref="P114:P124" si="290">(P113+5000)*1.00644-(0.000833*(P113+5000))</f>
        <v>1106370.8579384463</v>
      </c>
      <c r="Q114">
        <f t="shared" ref="Q114:Q124" si="291">(Q113+5000)*1.00644-(0.000833*(Q113+5000))</f>
        <v>1245383.3407328778</v>
      </c>
      <c r="R114">
        <f t="shared" ref="R114:R124" si="292">(R113+5000)*1.00644-(0.000833*(R113+5000))</f>
        <v>1394043.0412625917</v>
      </c>
      <c r="S114">
        <f t="shared" ref="S114:S124" si="293">(S113+5000)*1.00644-(0.000833*(S113+5000))</f>
        <v>1553019.4591880576</v>
      </c>
      <c r="T114">
        <f t="shared" ref="T114:T124" si="294">(T113+5000)*1.00644-(0.000833*(T113+5000))</f>
        <v>1723028.5562490372</v>
      </c>
      <c r="U114">
        <f t="shared" ref="U114:U124" si="295">(U113+5000)*1.00644-(0.00125*(U113+5000))</f>
        <v>1903258.6169246766</v>
      </c>
      <c r="V114">
        <f t="shared" ref="V114:V124" si="296">(V113+5000)*1.00644-(0.00125*(V113+5000))</f>
        <v>2087299.4919417996</v>
      </c>
      <c r="W114">
        <f t="shared" ref="W114:W124" si="297">(W113+5000)*1.00644-(0.00125*(W113+5000))</f>
        <v>2283135.3442653008</v>
      </c>
      <c r="X114">
        <f t="shared" ref="X114:X124" si="298">(X113+5000)*1.00644-(0.00125*(X113+5000))</f>
        <v>2491522.101020854</v>
      </c>
      <c r="Y114">
        <f t="shared" ref="Y114:Y124" si="299">(Y113+5000)*1.00644-(0.00125*(Y113+5000))</f>
        <v>2713264.1358723887</v>
      </c>
      <c r="Z114">
        <f t="shared" ref="Z114:Z124" si="300">(Z113+5000)*1.00644-(0.00125*(Z113+5000))</f>
        <v>2949217.3739074594</v>
      </c>
      <c r="AA114">
        <f t="shared" ref="AA114:AA124" si="301">(AA113+5000)*1.00644-(0.00125*(AA113+5000))</f>
        <v>3200292.5955112958</v>
      </c>
      <c r="AB114">
        <f t="shared" ref="AB114:AB124" si="302">(AB113+5000)*1.00644-(0.00125*(AB113+5000))</f>
        <v>3467458.9519825121</v>
      </c>
      <c r="AC114">
        <f t="shared" ref="AC114:AC124" si="303">(AC113+5000)*1.00644-(0.00125*(AC113+5000))</f>
        <v>3751747.7064607632</v>
      </c>
      <c r="AD114">
        <f t="shared" ref="AD114:AD124" si="304">(AD113+5000)*1.00644-(0.00125*(AD113+5000))</f>
        <v>4054256.2146063317</v>
      </c>
      <c r="AE114">
        <f t="shared" ref="AE114:AE124" si="305">(AE113+5000)*1.00644-(0.00125*(AE113+5000))</f>
        <v>4376152.1603971031</v>
      </c>
      <c r="AI114">
        <f t="shared" si="285"/>
        <v>10096.807368000002</v>
      </c>
      <c r="AJ114">
        <f t="shared" ref="AJ114:AJ124" si="306">(AJ113+5000)*1.00644-0</f>
        <v>73477.201435350769</v>
      </c>
      <c r="AK114">
        <f t="shared" ref="AK114:AK124" si="307">(AK113+5000)*1.00644-0</f>
        <v>141932.89956481388</v>
      </c>
      <c r="AL114">
        <f t="shared" ref="AL114:AL124" si="308">(AL113+5000)*1.00644-0</f>
        <v>215870.31625888552</v>
      </c>
      <c r="AM114">
        <f t="shared" ref="AM114:AM124" si="309">(AM113+5000)*1.00644-0</f>
        <v>295728.41042445967</v>
      </c>
      <c r="AN114">
        <f t="shared" ref="AN114:AN124" si="310">(AN113+5000)*1.00644-0</f>
        <v>381981.29142711783</v>
      </c>
      <c r="AO114">
        <f t="shared" ref="AO114:AO124" si="311">(AO113+5000)*1.00644-0</f>
        <v>475141.03383010899</v>
      </c>
      <c r="AP114">
        <f t="shared" ref="AP114:AP124" si="312">(AP113+5000)*1.00644-0</f>
        <v>575760.71752883936</v>
      </c>
      <c r="AQ114">
        <f t="shared" ref="AQ114:AQ124" si="313">(AQ113+5000)*1.00644-0</f>
        <v>684437.71132983803</v>
      </c>
      <c r="AR114">
        <f t="shared" ref="AR114:AR124" si="314">(AR113+5000)*1.00644-0</f>
        <v>801817.21946847625</v>
      </c>
      <c r="AS114">
        <f t="shared" ref="AS114:AS124" si="315">(AS113+5000)*1.00644-0</f>
        <v>928596.11212075001</v>
      </c>
      <c r="AT114">
        <f t="shared" ref="AT114:AT124" si="316">(AT113+5000)*1.00644-0</f>
        <v>1065527.0626504875</v>
      </c>
      <c r="AU114">
        <f t="shared" ref="AU114:AU124" si="317">(AU113+5000)*1.00644-0</f>
        <v>1213423.0161543936</v>
      </c>
      <c r="AV114">
        <f t="shared" ref="AV114:AV124" si="318">(AV113+5000)*1.00644-0</f>
        <v>1373162.0158342309</v>
      </c>
      <c r="AW114">
        <f t="shared" ref="AW114:AW124" si="319">(AW113+5000)*1.00644-0</f>
        <v>1545692.4158498144</v>
      </c>
      <c r="AX114">
        <f t="shared" ref="AX114:AX124" si="320">(AX113+5000)*1.00644-0</f>
        <v>1732038.5116009978</v>
      </c>
      <c r="AY114">
        <f t="shared" ref="AY114:AY124" si="321">(AY113+5000)*1.00644-0</f>
        <v>1933306.620865063</v>
      </c>
      <c r="AZ114">
        <f t="shared" ref="AZ114:AZ124" si="322">(AZ113+5000)*1.00644-0</f>
        <v>2150691.6518926015</v>
      </c>
      <c r="BA114">
        <f t="shared" ref="BA114:BA124" si="323">(BA113+5000)*1.00644-0</f>
        <v>2385484.1974560078</v>
      </c>
      <c r="BB114">
        <f t="shared" ref="BB114:BB124" si="324">(BB113+5000)*1.00644-0</f>
        <v>2639078.1969672297</v>
      </c>
      <c r="BC114">
        <f t="shared" ref="BC114:BC124" si="325">(BC113+5000)*1.00644-0</f>
        <v>2912979.2121539754</v>
      </c>
      <c r="BD114">
        <f t="shared" ref="BD114:BD124" si="326">(BD113+5000)*1.00644-0</f>
        <v>3208813.3654262428</v>
      </c>
      <c r="BE114">
        <f t="shared" ref="BE114:BE124" si="327">(BE113+5000)*1.00644-0</f>
        <v>3528336.9939993243</v>
      </c>
      <c r="BF114">
        <f t="shared" ref="BF114:BF124" si="328">(BF113+5000)*1.00644-0</f>
        <v>3873447.0770888375</v>
      </c>
      <c r="BG114">
        <f t="shared" ref="BG114:BG124" si="329">(BG113+5000)*1.00644-0</f>
        <v>4246192.4980829842</v>
      </c>
      <c r="BH114">
        <f t="shared" ref="BH114:BH124" si="330">(BH113+5000)*1.00644-0</f>
        <v>4648786.2085543973</v>
      </c>
      <c r="BI114">
        <f t="shared" ref="BI114:BI124" si="331">(BI113+5000)*1.00644-0</f>
        <v>5083618.3663280644</v>
      </c>
      <c r="BJ114">
        <f t="shared" ref="BJ114:BJ124" si="332">(BJ113+5000)*1.00644-0</f>
        <v>5553270.5256047286</v>
      </c>
    </row>
    <row r="115" spans="1:62" x14ac:dyDescent="0.3">
      <c r="A115">
        <f>0.0175/12</f>
        <v>1.4583333333333334E-3</v>
      </c>
      <c r="B115">
        <v>1.75</v>
      </c>
      <c r="D115">
        <f t="shared" si="283"/>
        <v>15149.89662552996</v>
      </c>
      <c r="E115">
        <f t="shared" si="287"/>
        <v>78058.578580953967</v>
      </c>
      <c r="F115">
        <f t="shared" si="287"/>
        <v>144831.3825796046</v>
      </c>
      <c r="G115">
        <f t="shared" si="287"/>
        <v>215705.65963092647</v>
      </c>
      <c r="H115">
        <f t="shared" si="288"/>
        <v>291336.90538902371</v>
      </c>
      <c r="I115">
        <f t="shared" si="288"/>
        <v>372071.49040153238</v>
      </c>
      <c r="J115">
        <f t="shared" si="288"/>
        <v>457980.26619081176</v>
      </c>
      <c r="K115">
        <f t="shared" si="289"/>
        <v>550176.52334746707</v>
      </c>
      <c r="L115">
        <f t="shared" si="289"/>
        <v>649054.36987784551</v>
      </c>
      <c r="M115">
        <f t="shared" si="289"/>
        <v>754533.26452564599</v>
      </c>
      <c r="N115">
        <f t="shared" si="289"/>
        <v>867053.890798626</v>
      </c>
      <c r="O115">
        <f t="shared" si="289"/>
        <v>987086.35207098769</v>
      </c>
      <c r="P115">
        <f t="shared" si="290"/>
        <v>1117602.3143389074</v>
      </c>
      <c r="Q115">
        <f t="shared" si="291"/>
        <v>1257394.2401243669</v>
      </c>
      <c r="R115">
        <f t="shared" si="292"/>
        <v>1406887.4755949511</v>
      </c>
      <c r="S115">
        <f t="shared" si="293"/>
        <v>1566755.2742957249</v>
      </c>
      <c r="T115">
        <f t="shared" si="294"/>
        <v>1737717.6123639257</v>
      </c>
      <c r="U115">
        <f t="shared" si="295"/>
        <v>1918162.4791465157</v>
      </c>
      <c r="V115">
        <f t="shared" si="296"/>
        <v>2103158.5263049775</v>
      </c>
      <c r="W115">
        <f t="shared" si="297"/>
        <v>2300010.7667020378</v>
      </c>
      <c r="X115">
        <f t="shared" si="298"/>
        <v>2509479.0507251523</v>
      </c>
      <c r="Y115">
        <f t="shared" si="299"/>
        <v>2732371.926737566</v>
      </c>
      <c r="Z115">
        <f t="shared" si="300"/>
        <v>2969549.7620780389</v>
      </c>
      <c r="AA115">
        <f t="shared" si="301"/>
        <v>3221928.0640819995</v>
      </c>
      <c r="AB115">
        <f t="shared" si="302"/>
        <v>3490481.0139433015</v>
      </c>
      <c r="AC115">
        <f t="shared" si="303"/>
        <v>3776245.2270572949</v>
      </c>
      <c r="AD115">
        <f t="shared" si="304"/>
        <v>4080323.7543601384</v>
      </c>
      <c r="AE115">
        <f t="shared" si="305"/>
        <v>4403890.3401095644</v>
      </c>
      <c r="AI115">
        <f t="shared" si="285"/>
        <v>15194.030807449921</v>
      </c>
      <c r="AJ115">
        <f t="shared" si="306"/>
        <v>78982.594612594432</v>
      </c>
      <c r="AK115">
        <f t="shared" si="307"/>
        <v>147879.14743801128</v>
      </c>
      <c r="AL115">
        <f t="shared" si="308"/>
        <v>222292.72109559274</v>
      </c>
      <c r="AM115">
        <f t="shared" si="309"/>
        <v>302665.1013875932</v>
      </c>
      <c r="AN115">
        <f t="shared" si="310"/>
        <v>389473.45094390848</v>
      </c>
      <c r="AO115">
        <f t="shared" si="311"/>
        <v>483233.14208797488</v>
      </c>
      <c r="AP115">
        <f t="shared" si="312"/>
        <v>584500.81654972513</v>
      </c>
      <c r="AQ115">
        <f t="shared" si="313"/>
        <v>693877.69019080221</v>
      </c>
      <c r="AR115">
        <f t="shared" si="314"/>
        <v>812013.12236185325</v>
      </c>
      <c r="AS115">
        <f t="shared" si="315"/>
        <v>939608.47108280763</v>
      </c>
      <c r="AT115">
        <f t="shared" si="316"/>
        <v>1077421.2569339566</v>
      </c>
      <c r="AU115">
        <f t="shared" si="317"/>
        <v>1226269.6603784279</v>
      </c>
      <c r="AV115">
        <f t="shared" si="318"/>
        <v>1387037.3792162035</v>
      </c>
      <c r="AW115">
        <f t="shared" si="319"/>
        <v>1560678.8750078871</v>
      </c>
      <c r="AX115">
        <f t="shared" si="320"/>
        <v>1748225.0396157082</v>
      </c>
      <c r="AY115">
        <f t="shared" si="321"/>
        <v>1950789.315503434</v>
      </c>
      <c r="AZ115">
        <f t="shared" si="322"/>
        <v>2169574.3061307897</v>
      </c>
      <c r="BA115">
        <f t="shared" si="323"/>
        <v>2405878.9156876244</v>
      </c>
      <c r="BB115">
        <f t="shared" si="324"/>
        <v>2661106.0605556988</v>
      </c>
      <c r="BC115">
        <f t="shared" si="325"/>
        <v>2936770.9982802472</v>
      </c>
      <c r="BD115">
        <f t="shared" si="326"/>
        <v>3234510.3234995878</v>
      </c>
      <c r="BE115">
        <f t="shared" si="327"/>
        <v>3556091.6842406797</v>
      </c>
      <c r="BF115">
        <f t="shared" si="328"/>
        <v>3903424.2762652896</v>
      </c>
      <c r="BG115">
        <f t="shared" si="329"/>
        <v>4278570.1777706388</v>
      </c>
      <c r="BH115">
        <f t="shared" si="330"/>
        <v>4683756.5917374874</v>
      </c>
      <c r="BI115">
        <f t="shared" si="331"/>
        <v>5121389.0686072167</v>
      </c>
      <c r="BJ115">
        <f t="shared" si="332"/>
        <v>5594065.7877896233</v>
      </c>
    </row>
    <row r="116" spans="1:62" x14ac:dyDescent="0.3">
      <c r="A116">
        <f>0.015/12</f>
        <v>1.25E-3</v>
      </c>
      <c r="B116">
        <v>1.5</v>
      </c>
      <c r="D116">
        <f t="shared" si="283"/>
        <v>20250.2431107251</v>
      </c>
      <c r="E116">
        <f t="shared" si="287"/>
        <v>83472.210302287116</v>
      </c>
      <c r="F116">
        <f t="shared" si="287"/>
        <v>150577.54286485104</v>
      </c>
      <c r="G116">
        <f t="shared" si="287"/>
        <v>221804.77381588847</v>
      </c>
      <c r="H116">
        <f t="shared" si="288"/>
        <v>297874.89392799273</v>
      </c>
      <c r="I116">
        <f t="shared" si="288"/>
        <v>379028.49143671634</v>
      </c>
      <c r="J116">
        <f t="shared" si="288"/>
        <v>465383.13377234206</v>
      </c>
      <c r="K116">
        <f t="shared" si="289"/>
        <v>558174.47657354339</v>
      </c>
      <c r="L116">
        <f t="shared" si="289"/>
        <v>657586.26347518584</v>
      </c>
      <c r="M116">
        <f t="shared" si="289"/>
        <v>763634.74415408459</v>
      </c>
      <c r="N116">
        <f t="shared" si="289"/>
        <v>876762.98180893855</v>
      </c>
      <c r="O116">
        <f t="shared" si="289"/>
        <v>997443.61837217107</v>
      </c>
      <c r="P116">
        <f t="shared" si="290"/>
        <v>1128896.7455154057</v>
      </c>
      <c r="Q116">
        <f t="shared" si="291"/>
        <v>1269472.4846287442</v>
      </c>
      <c r="R116">
        <f t="shared" si="292"/>
        <v>1419803.9286706119</v>
      </c>
      <c r="S116">
        <f t="shared" si="293"/>
        <v>1580568.1061187012</v>
      </c>
      <c r="T116">
        <f t="shared" si="294"/>
        <v>1752489.0300164502</v>
      </c>
      <c r="U116">
        <f t="shared" si="295"/>
        <v>1933143.6924132861</v>
      </c>
      <c r="V116">
        <f t="shared" si="296"/>
        <v>2119099.8690565</v>
      </c>
      <c r="W116">
        <f t="shared" si="297"/>
        <v>2316973.7725812211</v>
      </c>
      <c r="X116">
        <f t="shared" si="298"/>
        <v>2527529.1969984155</v>
      </c>
      <c r="Y116">
        <f t="shared" si="299"/>
        <v>2751578.887037334</v>
      </c>
      <c r="Z116">
        <f t="shared" si="300"/>
        <v>2989987.6753432238</v>
      </c>
      <c r="AA116">
        <f t="shared" si="301"/>
        <v>3243675.8207345852</v>
      </c>
      <c r="AB116">
        <f t="shared" si="302"/>
        <v>3513622.5604056674</v>
      </c>
      <c r="AC116">
        <f t="shared" si="303"/>
        <v>3800869.8897857224</v>
      </c>
      <c r="AD116">
        <f t="shared" si="304"/>
        <v>4106526.5846452676</v>
      </c>
      <c r="AE116">
        <f t="shared" si="305"/>
        <v>4431772.4809747329</v>
      </c>
      <c r="AI116">
        <f t="shared" si="285"/>
        <v>20324.080365849895</v>
      </c>
      <c r="AJ116">
        <f t="shared" si="306"/>
        <v>84523.442521899546</v>
      </c>
      <c r="AK116">
        <f t="shared" si="307"/>
        <v>153863.68914751208</v>
      </c>
      <c r="AL116">
        <f t="shared" si="308"/>
        <v>228756.48621944836</v>
      </c>
      <c r="AM116">
        <f t="shared" si="309"/>
        <v>309646.4646405293</v>
      </c>
      <c r="AN116">
        <f t="shared" si="310"/>
        <v>397013.85996798723</v>
      </c>
      <c r="AO116">
        <f t="shared" si="311"/>
        <v>491377.36352302146</v>
      </c>
      <c r="AP116">
        <f t="shared" si="312"/>
        <v>593297.20180830534</v>
      </c>
      <c r="AQ116">
        <f t="shared" si="313"/>
        <v>703378.46251563099</v>
      </c>
      <c r="AR116">
        <f t="shared" si="314"/>
        <v>822274.68686986354</v>
      </c>
      <c r="AS116">
        <f t="shared" si="315"/>
        <v>950691.74963658093</v>
      </c>
      <c r="AT116">
        <f t="shared" si="316"/>
        <v>1089392.0498286113</v>
      </c>
      <c r="AU116">
        <f t="shared" si="317"/>
        <v>1239199.0369912651</v>
      </c>
      <c r="AV116">
        <f t="shared" si="318"/>
        <v>1401002.0999383559</v>
      </c>
      <c r="AW116">
        <f t="shared" si="319"/>
        <v>1575761.8469629379</v>
      </c>
      <c r="AX116">
        <f t="shared" si="320"/>
        <v>1764515.8088708334</v>
      </c>
      <c r="AY116">
        <f t="shared" si="321"/>
        <v>1968384.5986952761</v>
      </c>
      <c r="AZ116">
        <f t="shared" si="322"/>
        <v>2188578.5646622721</v>
      </c>
      <c r="BA116">
        <f t="shared" si="323"/>
        <v>2426404.9759046528</v>
      </c>
      <c r="BB116">
        <f t="shared" si="324"/>
        <v>2683275.7835856774</v>
      </c>
      <c r="BC116">
        <f t="shared" si="325"/>
        <v>2960716.0035091718</v>
      </c>
      <c r="BD116">
        <f t="shared" si="326"/>
        <v>3260372.7699829252</v>
      </c>
      <c r="BE116">
        <f t="shared" si="327"/>
        <v>3584025.1146871899</v>
      </c>
      <c r="BF116">
        <f t="shared" si="328"/>
        <v>3933594.5286044381</v>
      </c>
      <c r="BG116">
        <f t="shared" si="329"/>
        <v>4311156.369715482</v>
      </c>
      <c r="BH116">
        <f t="shared" si="330"/>
        <v>4718952.1841882765</v>
      </c>
      <c r="BI116">
        <f t="shared" si="331"/>
        <v>5159403.014209047</v>
      </c>
      <c r="BJ116">
        <f t="shared" si="332"/>
        <v>5635123.7714629881</v>
      </c>
    </row>
    <row r="117" spans="1:62" x14ac:dyDescent="0.3">
      <c r="A117">
        <f>0.0125/12</f>
        <v>1.0416666666666667E-3</v>
      </c>
      <c r="B117">
        <v>1.25</v>
      </c>
      <c r="D117">
        <f t="shared" si="283"/>
        <v>25375.989321416509</v>
      </c>
      <c r="E117">
        <f t="shared" si="287"/>
        <v>88912.801909592497</v>
      </c>
      <c r="F117">
        <f t="shared" si="287"/>
        <v>156352.31902831799</v>
      </c>
      <c r="G117">
        <f t="shared" si="287"/>
        <v>227934.26158949159</v>
      </c>
      <c r="H117">
        <f t="shared" si="288"/>
        <v>304446.81462747901</v>
      </c>
      <c r="I117">
        <f t="shared" si="288"/>
        <v>386021.59930727287</v>
      </c>
      <c r="J117">
        <f t="shared" si="288"/>
        <v>472824.42223662051</v>
      </c>
      <c r="K117">
        <f t="shared" ref="K117:N124" si="333">(K116+5000)*1.00644-(0.00104*(K116+5000))</f>
        <v>566215.61874704051</v>
      </c>
      <c r="L117">
        <f t="shared" si="333"/>
        <v>666164.2292979518</v>
      </c>
      <c r="M117">
        <f t="shared" si="333"/>
        <v>772785.37177251664</v>
      </c>
      <c r="N117">
        <f t="shared" si="333"/>
        <v>886524.50191070687</v>
      </c>
      <c r="O117">
        <f t="shared" ref="O117:O124" si="334">(O116+5000)*1.00644-(0.000833*(O116+5000))</f>
        <v>1008064.3197403839</v>
      </c>
      <c r="P117">
        <f t="shared" si="290"/>
        <v>1140254.5045675104</v>
      </c>
      <c r="Q117">
        <f t="shared" si="291"/>
        <v>1281618.4518500576</v>
      </c>
      <c r="R117">
        <f t="shared" si="292"/>
        <v>1432792.8042986682</v>
      </c>
      <c r="S117">
        <f t="shared" si="293"/>
        <v>1594458.3864897087</v>
      </c>
      <c r="T117">
        <f t="shared" si="294"/>
        <v>1767343.2710077523</v>
      </c>
      <c r="U117">
        <f t="shared" si="295"/>
        <v>1948202.6581769111</v>
      </c>
      <c r="V117">
        <f t="shared" si="296"/>
        <v>2135123.9473769031</v>
      </c>
      <c r="W117">
        <f t="shared" si="297"/>
        <v>2334024.8164609177</v>
      </c>
      <c r="X117">
        <f t="shared" si="298"/>
        <v>2545673.0235308371</v>
      </c>
      <c r="Y117">
        <f t="shared" si="299"/>
        <v>2770885.5314610582</v>
      </c>
      <c r="Z117">
        <f t="shared" si="300"/>
        <v>3010531.6613782556</v>
      </c>
      <c r="AA117">
        <f t="shared" si="301"/>
        <v>3265536.4482441973</v>
      </c>
      <c r="AB117">
        <f t="shared" si="302"/>
        <v>3536884.2114941729</v>
      </c>
      <c r="AC117">
        <f t="shared" si="303"/>
        <v>3825622.3545137104</v>
      </c>
      <c r="AD117">
        <f t="shared" si="304"/>
        <v>4132865.4076195764</v>
      </c>
      <c r="AE117">
        <f t="shared" si="305"/>
        <v>4459799.3301509917</v>
      </c>
      <c r="AI117">
        <f t="shared" si="285"/>
        <v>25487.167443405968</v>
      </c>
      <c r="AJ117">
        <f t="shared" si="306"/>
        <v>90099.973491740573</v>
      </c>
      <c r="AK117">
        <f t="shared" si="307"/>
        <v>159886.77130562207</v>
      </c>
      <c r="AL117">
        <f t="shared" si="308"/>
        <v>235261.87799070161</v>
      </c>
      <c r="AM117">
        <f t="shared" si="309"/>
        <v>316672.78787281434</v>
      </c>
      <c r="AN117">
        <f t="shared" si="310"/>
        <v>404602.82922618109</v>
      </c>
      <c r="AO117">
        <f t="shared" si="311"/>
        <v>499574.03374410974</v>
      </c>
      <c r="AP117">
        <f t="shared" si="312"/>
        <v>602150.23578795081</v>
      </c>
      <c r="AQ117">
        <f t="shared" si="313"/>
        <v>712940.41981423169</v>
      </c>
      <c r="AR117">
        <f t="shared" si="314"/>
        <v>832602.33585330541</v>
      </c>
      <c r="AS117">
        <f t="shared" si="315"/>
        <v>961846.40450424049</v>
      </c>
      <c r="AT117">
        <f t="shared" si="316"/>
        <v>1101439.9346295076</v>
      </c>
      <c r="AU117">
        <f t="shared" si="317"/>
        <v>1252211.678789489</v>
      </c>
      <c r="AV117">
        <f t="shared" si="318"/>
        <v>1415056.7534619588</v>
      </c>
      <c r="AW117">
        <f t="shared" si="319"/>
        <v>1590941.9532573791</v>
      </c>
      <c r="AX117">
        <f t="shared" si="320"/>
        <v>1780911.4906799616</v>
      </c>
      <c r="AY117">
        <f t="shared" si="321"/>
        <v>1986093.1955108736</v>
      </c>
      <c r="AZ117">
        <f t="shared" si="322"/>
        <v>2207705.2106186971</v>
      </c>
      <c r="BA117">
        <f t="shared" si="323"/>
        <v>2447063.2239494789</v>
      </c>
      <c r="BB117">
        <f t="shared" si="324"/>
        <v>2705588.2796319691</v>
      </c>
      <c r="BC117">
        <f t="shared" si="325"/>
        <v>2984815.2145717707</v>
      </c>
      <c r="BD117">
        <f t="shared" si="326"/>
        <v>3286401.770621615</v>
      </c>
      <c r="BE117">
        <f t="shared" si="327"/>
        <v>3612138.4364257753</v>
      </c>
      <c r="BF117">
        <f t="shared" si="328"/>
        <v>3963959.0773686506</v>
      </c>
      <c r="BG117">
        <f t="shared" si="329"/>
        <v>4343952.41673645</v>
      </c>
      <c r="BH117">
        <f t="shared" si="330"/>
        <v>4754374.4362544492</v>
      </c>
      <c r="BI117">
        <f t="shared" si="331"/>
        <v>5197661.7696205536</v>
      </c>
      <c r="BJ117">
        <f t="shared" si="332"/>
        <v>5676446.1685512094</v>
      </c>
    </row>
    <row r="118" spans="1:62" x14ac:dyDescent="0.3">
      <c r="A118">
        <f>0.01/12</f>
        <v>8.3333333333333339E-4</v>
      </c>
      <c r="B118">
        <v>1</v>
      </c>
      <c r="D118">
        <f t="shared" si="283"/>
        <v>30527.261748237164</v>
      </c>
      <c r="E118">
        <f t="shared" si="287"/>
        <v>94380.487663102263</v>
      </c>
      <c r="F118">
        <f t="shared" si="287"/>
        <v>162155.85357707902</v>
      </c>
      <c r="G118">
        <f t="shared" si="287"/>
        <v>234094.27421220727</v>
      </c>
      <c r="H118">
        <f t="shared" si="288"/>
        <v>311052.84359539562</v>
      </c>
      <c r="I118">
        <f t="shared" si="288"/>
        <v>393051.0014076776</v>
      </c>
      <c r="J118">
        <f t="shared" si="288"/>
        <v>480304.33098802855</v>
      </c>
      <c r="K118">
        <f t="shared" si="333"/>
        <v>574300.18308827444</v>
      </c>
      <c r="L118">
        <f t="shared" si="333"/>
        <v>674788.5161361607</v>
      </c>
      <c r="M118">
        <f t="shared" si="333"/>
        <v>781985.41278008826</v>
      </c>
      <c r="N118">
        <f t="shared" si="333"/>
        <v>896338.73422102479</v>
      </c>
      <c r="O118">
        <f t="shared" si="334"/>
        <v>1018744.5713811682</v>
      </c>
      <c r="P118">
        <f t="shared" si="290"/>
        <v>1151675.9465746204</v>
      </c>
      <c r="Q118">
        <f t="shared" si="291"/>
        <v>1293832.5215095808</v>
      </c>
      <c r="R118">
        <f t="shared" si="292"/>
        <v>1445854.5085523708</v>
      </c>
      <c r="S118">
        <f t="shared" si="293"/>
        <v>1608426.5496627565</v>
      </c>
      <c r="T118">
        <f t="shared" si="294"/>
        <v>1782280.7997282927</v>
      </c>
      <c r="U118">
        <f t="shared" si="295"/>
        <v>1963339.7799728492</v>
      </c>
      <c r="V118">
        <f t="shared" si="296"/>
        <v>2151231.1906637894</v>
      </c>
      <c r="W118">
        <f t="shared" si="297"/>
        <v>2351164.3552583498</v>
      </c>
      <c r="X118">
        <f t="shared" si="298"/>
        <v>2563911.0165229621</v>
      </c>
      <c r="Y118">
        <f t="shared" si="299"/>
        <v>2790292.377369341</v>
      </c>
      <c r="Z118">
        <f t="shared" si="300"/>
        <v>3031182.2707008086</v>
      </c>
      <c r="AA118">
        <f t="shared" si="301"/>
        <v>3287510.5324105844</v>
      </c>
      <c r="AB118">
        <f t="shared" si="302"/>
        <v>3560266.590551828</v>
      </c>
      <c r="AC118">
        <f t="shared" si="303"/>
        <v>3850503.2845336366</v>
      </c>
      <c r="AD118">
        <f t="shared" si="304"/>
        <v>4159340.929085122</v>
      </c>
      <c r="AE118">
        <f t="shared" si="305"/>
        <v>4487971.6386744753</v>
      </c>
      <c r="AI118">
        <f t="shared" si="285"/>
        <v>30683.504801741503</v>
      </c>
      <c r="AJ118">
        <f t="shared" si="306"/>
        <v>95712.417321027388</v>
      </c>
      <c r="AK118">
        <f t="shared" si="307"/>
        <v>165948.64211283028</v>
      </c>
      <c r="AL118">
        <f t="shared" si="308"/>
        <v>241809.16448496174</v>
      </c>
      <c r="AM118">
        <f t="shared" si="309"/>
        <v>323744.36062671529</v>
      </c>
      <c r="AN118">
        <f t="shared" si="310"/>
        <v>412240.67144639767</v>
      </c>
      <c r="AO118">
        <f t="shared" si="311"/>
        <v>507823.49052142183</v>
      </c>
      <c r="AP118">
        <f t="shared" si="312"/>
        <v>611060.2833064252</v>
      </c>
      <c r="AQ118">
        <f t="shared" si="313"/>
        <v>722563.95611783536</v>
      </c>
      <c r="AR118">
        <f t="shared" si="314"/>
        <v>842996.49489620072</v>
      </c>
      <c r="AS118">
        <f t="shared" si="315"/>
        <v>973072.89534924785</v>
      </c>
      <c r="AT118">
        <f t="shared" si="316"/>
        <v>1113565.4078085215</v>
      </c>
      <c r="AU118">
        <f t="shared" si="317"/>
        <v>1265308.1220008933</v>
      </c>
      <c r="AV118">
        <f t="shared" si="318"/>
        <v>1429201.9189542539</v>
      </c>
      <c r="AW118">
        <f t="shared" si="319"/>
        <v>1606219.8194363567</v>
      </c>
      <c r="AX118">
        <f t="shared" si="320"/>
        <v>1797412.7606799407</v>
      </c>
      <c r="AY118">
        <f t="shared" si="321"/>
        <v>2003915.8356899635</v>
      </c>
      <c r="AZ118">
        <f t="shared" si="322"/>
        <v>2226955.0321750813</v>
      </c>
      <c r="BA118">
        <f t="shared" si="323"/>
        <v>2467854.5111117135</v>
      </c>
      <c r="BB118">
        <f t="shared" si="324"/>
        <v>2728044.4681527987</v>
      </c>
      <c r="BC118">
        <f t="shared" si="325"/>
        <v>3009069.6245536129</v>
      </c>
      <c r="BD118">
        <f t="shared" si="326"/>
        <v>3312598.3980244184</v>
      </c>
      <c r="BE118">
        <f t="shared" si="327"/>
        <v>3640432.8079563575</v>
      </c>
      <c r="BF118">
        <f t="shared" si="328"/>
        <v>3994519.1738269045</v>
      </c>
      <c r="BG118">
        <f t="shared" si="329"/>
        <v>4376959.6703002332</v>
      </c>
      <c r="BH118">
        <f t="shared" si="330"/>
        <v>4790024.8076239275</v>
      </c>
      <c r="BI118">
        <f t="shared" si="331"/>
        <v>5236166.9114169097</v>
      </c>
      <c r="BJ118">
        <f t="shared" si="332"/>
        <v>5718034.681876679</v>
      </c>
    </row>
    <row r="119" spans="1:62" x14ac:dyDescent="0.3">
      <c r="D119">
        <f t="shared" si="283"/>
        <v>35704.187511743388</v>
      </c>
      <c r="E119">
        <f t="shared" si="287"/>
        <v>99875.402491664514</v>
      </c>
      <c r="F119">
        <f t="shared" si="287"/>
        <v>167988.28972789287</v>
      </c>
      <c r="G119">
        <f t="shared" si="287"/>
        <v>240284.96369778406</v>
      </c>
      <c r="H119">
        <f t="shared" si="288"/>
        <v>317693.15785365575</v>
      </c>
      <c r="I119">
        <f t="shared" si="288"/>
        <v>400116.88610498345</v>
      </c>
      <c r="J119">
        <f t="shared" si="288"/>
        <v>487823.0604658564</v>
      </c>
      <c r="K119">
        <f t="shared" si="333"/>
        <v>582428.40407695121</v>
      </c>
      <c r="L119">
        <f t="shared" si="333"/>
        <v>683459.374123296</v>
      </c>
      <c r="M119">
        <f t="shared" si="333"/>
        <v>791235.13400910073</v>
      </c>
      <c r="N119">
        <f t="shared" si="333"/>
        <v>906205.96338581841</v>
      </c>
      <c r="O119">
        <f t="shared" si="334"/>
        <v>1029484.7071929025</v>
      </c>
      <c r="P119">
        <f t="shared" si="290"/>
        <v>1163161.4286070643</v>
      </c>
      <c r="Q119">
        <f t="shared" si="291"/>
        <v>1306115.0754576852</v>
      </c>
      <c r="R119">
        <f t="shared" si="292"/>
        <v>1458989.4497818241</v>
      </c>
      <c r="S119">
        <f t="shared" si="293"/>
        <v>1622473.0323267155</v>
      </c>
      <c r="T119">
        <f t="shared" si="294"/>
        <v>1797302.0831723693</v>
      </c>
      <c r="U119">
        <f t="shared" si="295"/>
        <v>1978555.4634309083</v>
      </c>
      <c r="V119">
        <f t="shared" si="296"/>
        <v>2167422.0305433343</v>
      </c>
      <c r="W119">
        <f t="shared" si="297"/>
        <v>2368392.8482621405</v>
      </c>
      <c r="X119">
        <f t="shared" si="298"/>
        <v>2582243.6646987163</v>
      </c>
      <c r="Y119">
        <f t="shared" si="299"/>
        <v>2809799.9448078875</v>
      </c>
      <c r="Z119">
        <f t="shared" si="300"/>
        <v>3051940.0566857457</v>
      </c>
      <c r="AA119">
        <f t="shared" si="301"/>
        <v>3309598.6620737957</v>
      </c>
      <c r="AB119">
        <f t="shared" si="302"/>
        <v>3583770.3241567924</v>
      </c>
      <c r="AC119">
        <f t="shared" si="303"/>
        <v>3875513.3465803661</v>
      </c>
      <c r="AD119">
        <f t="shared" si="304"/>
        <v>4185953.858507074</v>
      </c>
      <c r="AE119">
        <f t="shared" si="305"/>
        <v>4516290.1614791956</v>
      </c>
      <c r="AI119">
        <f t="shared" si="285"/>
        <v>35913.306572664718</v>
      </c>
      <c r="AJ119">
        <f t="shared" si="306"/>
        <v>101361.0052885748</v>
      </c>
      <c r="AK119">
        <f t="shared" si="307"/>
        <v>172049.55136803689</v>
      </c>
      <c r="AL119">
        <f t="shared" si="308"/>
        <v>248398.6155042449</v>
      </c>
      <c r="AM119">
        <f t="shared" si="309"/>
        <v>330861.47430915135</v>
      </c>
      <c r="AN119">
        <f t="shared" si="310"/>
        <v>419927.70137051248</v>
      </c>
      <c r="AO119">
        <f t="shared" si="311"/>
        <v>516126.07380037976</v>
      </c>
      <c r="AP119">
        <f t="shared" si="312"/>
        <v>620027.7115309186</v>
      </c>
      <c r="AQ119">
        <f t="shared" si="313"/>
        <v>732249.46799523418</v>
      </c>
      <c r="AR119">
        <f t="shared" si="314"/>
        <v>853457.59232333221</v>
      </c>
      <c r="AS119">
        <f t="shared" si="315"/>
        <v>984371.68479529698</v>
      </c>
      <c r="AT119">
        <f t="shared" si="316"/>
        <v>1125768.9690348085</v>
      </c>
      <c r="AU119">
        <f t="shared" si="317"/>
        <v>1278488.906306579</v>
      </c>
      <c r="AV119">
        <f t="shared" si="318"/>
        <v>1443438.1793123193</v>
      </c>
      <c r="AW119">
        <f t="shared" si="319"/>
        <v>1621596.0750735267</v>
      </c>
      <c r="AX119">
        <f t="shared" si="320"/>
        <v>1814020.2988587194</v>
      </c>
      <c r="AY119">
        <f t="shared" si="321"/>
        <v>2021853.253671807</v>
      </c>
      <c r="AZ119">
        <f t="shared" si="322"/>
        <v>2246328.8225822886</v>
      </c>
      <c r="BA119">
        <f t="shared" si="323"/>
        <v>2488779.6941632731</v>
      </c>
      <c r="BB119">
        <f t="shared" si="324"/>
        <v>2750645.2745277029</v>
      </c>
      <c r="BC119">
        <f t="shared" si="325"/>
        <v>3033480.2329357383</v>
      </c>
      <c r="BD119">
        <f t="shared" si="326"/>
        <v>3338963.7317076959</v>
      </c>
      <c r="BE119">
        <f t="shared" si="327"/>
        <v>3668909.3952395963</v>
      </c>
      <c r="BF119">
        <f t="shared" si="328"/>
        <v>4025276.0773063498</v>
      </c>
      <c r="BG119">
        <f t="shared" si="329"/>
        <v>4410179.4905769667</v>
      </c>
      <c r="BH119">
        <f t="shared" si="330"/>
        <v>4825904.7673850255</v>
      </c>
      <c r="BI119">
        <f t="shared" si="331"/>
        <v>5274920.0263264347</v>
      </c>
      <c r="BJ119">
        <f t="shared" si="332"/>
        <v>5759891.0252279649</v>
      </c>
    </row>
    <row r="120" spans="1:62" x14ac:dyDescent="0.3">
      <c r="D120">
        <f t="shared" si="283"/>
        <v>40906.894365551874</v>
      </c>
      <c r="E120">
        <f t="shared" si="287"/>
        <v>105397.68199607299</v>
      </c>
      <c r="F120">
        <f t="shared" si="287"/>
        <v>173849.77141073777</v>
      </c>
      <c r="G120">
        <f t="shared" si="287"/>
        <v>246506.48281699902</v>
      </c>
      <c r="H120">
        <f t="shared" si="288"/>
        <v>324367.93534291623</v>
      </c>
      <c r="I120">
        <f t="shared" si="288"/>
        <v>407219.44274386833</v>
      </c>
      <c r="J120">
        <f t="shared" si="288"/>
        <v>495380.81214967422</v>
      </c>
      <c r="K120">
        <f t="shared" si="333"/>
        <v>590600.5174589667</v>
      </c>
      <c r="L120">
        <f t="shared" si="333"/>
        <v>692177.05474356178</v>
      </c>
      <c r="M120">
        <f t="shared" si="333"/>
        <v>800534.80373274989</v>
      </c>
      <c r="N120">
        <f t="shared" si="333"/>
        <v>916126.47558810178</v>
      </c>
      <c r="O120">
        <f t="shared" si="334"/>
        <v>1040285.0629461331</v>
      </c>
      <c r="P120">
        <f t="shared" si="290"/>
        <v>1174711.3097372642</v>
      </c>
      <c r="Q120">
        <f t="shared" si="291"/>
        <v>1318466.4976857766</v>
      </c>
      <c r="R120">
        <f t="shared" si="292"/>
        <v>1472198.0386267509</v>
      </c>
      <c r="S120">
        <f t="shared" si="293"/>
        <v>1636598.2736189715</v>
      </c>
      <c r="T120">
        <f t="shared" si="294"/>
        <v>1812407.5909527168</v>
      </c>
      <c r="U120">
        <f t="shared" si="295"/>
        <v>1993850.1162861148</v>
      </c>
      <c r="V120">
        <f t="shared" si="296"/>
        <v>2183696.9008818544</v>
      </c>
      <c r="W120">
        <f t="shared" si="297"/>
        <v>2385710.7571446211</v>
      </c>
      <c r="X120">
        <f t="shared" si="298"/>
        <v>2600671.4593185028</v>
      </c>
      <c r="Y120">
        <f t="shared" si="299"/>
        <v>2829408.7565214406</v>
      </c>
      <c r="Z120">
        <f t="shared" si="300"/>
        <v>3072805.5755799445</v>
      </c>
      <c r="AA120">
        <f t="shared" si="301"/>
        <v>3331801.4291299586</v>
      </c>
      <c r="AB120">
        <f t="shared" si="302"/>
        <v>3607396.042139166</v>
      </c>
      <c r="AC120">
        <f t="shared" si="303"/>
        <v>3900653.210849118</v>
      </c>
      <c r="AD120">
        <f t="shared" si="304"/>
        <v>4212704.9090327248</v>
      </c>
      <c r="AE120">
        <f t="shared" si="305"/>
        <v>4544755.6574172722</v>
      </c>
      <c r="AI120">
        <f t="shared" si="285"/>
        <v>41176.788266992677</v>
      </c>
      <c r="AJ120">
        <f t="shared" si="306"/>
        <v>107045.97016263322</v>
      </c>
      <c r="AK120">
        <f t="shared" si="307"/>
        <v>178189.75047884704</v>
      </c>
      <c r="AL120">
        <f t="shared" si="308"/>
        <v>255030.50258809223</v>
      </c>
      <c r="AM120">
        <f t="shared" si="309"/>
        <v>338024.42220370227</v>
      </c>
      <c r="AN120">
        <f t="shared" si="310"/>
        <v>427664.2357673386</v>
      </c>
      <c r="AO120">
        <f t="shared" si="311"/>
        <v>524482.12571565423</v>
      </c>
      <c r="AP120">
        <f t="shared" si="312"/>
        <v>629052.88999317773</v>
      </c>
      <c r="AQ120">
        <f t="shared" si="313"/>
        <v>741997.35456912348</v>
      </c>
      <c r="AR120">
        <f t="shared" si="314"/>
        <v>863986.05921789445</v>
      </c>
      <c r="AS120">
        <f t="shared" si="315"/>
        <v>995743.23844537872</v>
      </c>
      <c r="AT120">
        <f t="shared" si="316"/>
        <v>1138051.1211953927</v>
      </c>
      <c r="AU120">
        <f t="shared" si="317"/>
        <v>1291754.5748631933</v>
      </c>
      <c r="AV120">
        <f t="shared" si="318"/>
        <v>1457766.1211870906</v>
      </c>
      <c r="AW120">
        <f t="shared" si="319"/>
        <v>1637071.3537970001</v>
      </c>
      <c r="AX120">
        <f t="shared" si="320"/>
        <v>1830734.7895833696</v>
      </c>
      <c r="AY120">
        <f t="shared" si="321"/>
        <v>2039906.1886254535</v>
      </c>
      <c r="AZ120">
        <f t="shared" si="322"/>
        <v>2265827.3801997188</v>
      </c>
      <c r="BA120">
        <f t="shared" si="323"/>
        <v>2509839.6353936847</v>
      </c>
      <c r="BB120">
        <f t="shared" si="324"/>
        <v>2773391.6300956612</v>
      </c>
      <c r="BC120">
        <f t="shared" si="325"/>
        <v>3058048.0456358446</v>
      </c>
      <c r="BD120">
        <f t="shared" si="326"/>
        <v>3365498.8581398935</v>
      </c>
      <c r="BE120">
        <f t="shared" si="327"/>
        <v>3697569.3717449391</v>
      </c>
      <c r="BF120">
        <f t="shared" si="328"/>
        <v>4056231.0552442027</v>
      </c>
      <c r="BG120">
        <f t="shared" si="329"/>
        <v>4443613.2464962825</v>
      </c>
      <c r="BH120">
        <f t="shared" si="330"/>
        <v>4862015.7940869853</v>
      </c>
      <c r="BI120">
        <f t="shared" si="331"/>
        <v>5313922.7112959772</v>
      </c>
      <c r="BJ120">
        <f t="shared" si="332"/>
        <v>5802016.9234304326</v>
      </c>
    </row>
    <row r="121" spans="1:62" x14ac:dyDescent="0.3">
      <c r="D121">
        <f t="shared" si="283"/>
        <v>46135.510699492319</v>
      </c>
      <c r="E121">
        <f t="shared" ref="E121:F124" si="335">(E120+5000)*1.00644-(0.00146*(E120+5000))</f>
        <v>110947.46245241343</v>
      </c>
      <c r="F121">
        <f t="shared" si="335"/>
        <v>179740.44327236325</v>
      </c>
      <c r="G121">
        <f t="shared" ref="G121:I124" si="336">(G120+5000)*1.00644-(0.00125*(G120+5000))</f>
        <v>252811.80146281925</v>
      </c>
      <c r="H121">
        <f t="shared" si="336"/>
        <v>331077.35492734599</v>
      </c>
      <c r="I121">
        <f t="shared" si="336"/>
        <v>414358.86165170901</v>
      </c>
      <c r="J121">
        <f>(J120+5000)*1.00644-(0.00104*(J120+5000))</f>
        <v>503082.86853528244</v>
      </c>
      <c r="K121">
        <f t="shared" si="333"/>
        <v>598816.76025324513</v>
      </c>
      <c r="L121">
        <f t="shared" si="333"/>
        <v>700941.81083917699</v>
      </c>
      <c r="M121">
        <f t="shared" si="333"/>
        <v>809884.69167290675</v>
      </c>
      <c r="N121">
        <f t="shared" si="333"/>
        <v>926100.55855627754</v>
      </c>
      <c r="O121">
        <f t="shared" si="334"/>
        <v>1051145.9762940721</v>
      </c>
      <c r="P121">
        <f t="shared" si="290"/>
        <v>1186325.9510509609</v>
      </c>
      <c r="Q121">
        <f t="shared" si="291"/>
        <v>1330887.1743383007</v>
      </c>
      <c r="R121">
        <f t="shared" si="292"/>
        <v>1485480.6880293312</v>
      </c>
      <c r="S121">
        <f t="shared" si="293"/>
        <v>1650802.7151391529</v>
      </c>
      <c r="T121">
        <f t="shared" si="294"/>
        <v>1827597.7953151886</v>
      </c>
      <c r="U121">
        <f t="shared" si="295"/>
        <v>2009224.1483896398</v>
      </c>
      <c r="V121">
        <f t="shared" si="296"/>
        <v>2200056.2377974312</v>
      </c>
      <c r="W121">
        <f t="shared" si="297"/>
        <v>2403118.545974202</v>
      </c>
      <c r="X121">
        <f t="shared" si="298"/>
        <v>2619194.8941923659</v>
      </c>
      <c r="Y121">
        <f t="shared" si="299"/>
        <v>2849119.3379677869</v>
      </c>
      <c r="Z121">
        <f t="shared" si="300"/>
        <v>3093779.3865172048</v>
      </c>
      <c r="AA121">
        <f t="shared" si="301"/>
        <v>3354119.428547143</v>
      </c>
      <c r="AB121">
        <f t="shared" si="302"/>
        <v>3631144.3775978684</v>
      </c>
      <c r="AC121">
        <f t="shared" si="303"/>
        <v>3925923.551013425</v>
      </c>
      <c r="AD121">
        <f t="shared" si="304"/>
        <v>4239594.7975106044</v>
      </c>
      <c r="AE121">
        <f t="shared" si="305"/>
        <v>4573368.8892792678</v>
      </c>
      <c r="AI121">
        <f t="shared" si="285"/>
        <v>46474.166783432112</v>
      </c>
      <c r="AJ121">
        <f t="shared" si="306"/>
        <v>112767.54621048058</v>
      </c>
      <c r="AK121">
        <f t="shared" si="307"/>
        <v>184369.4924719308</v>
      </c>
      <c r="AL121">
        <f t="shared" si="308"/>
        <v>261705.09902475955</v>
      </c>
      <c r="AM121">
        <f t="shared" si="309"/>
        <v>345233.49948269414</v>
      </c>
      <c r="AN121">
        <f t="shared" si="310"/>
        <v>435450.59344568028</v>
      </c>
      <c r="AO121">
        <f t="shared" si="311"/>
        <v>532891.99060526304</v>
      </c>
      <c r="AP121">
        <f t="shared" si="312"/>
        <v>638136.19060473377</v>
      </c>
      <c r="AQ121">
        <f t="shared" si="313"/>
        <v>751808.01753254863</v>
      </c>
      <c r="AR121">
        <f t="shared" si="314"/>
        <v>874582.32943925774</v>
      </c>
      <c r="AS121">
        <f t="shared" si="315"/>
        <v>1007188.0249009669</v>
      </c>
      <c r="AT121">
        <f t="shared" si="316"/>
        <v>1150412.3704158911</v>
      </c>
      <c r="AU121">
        <f t="shared" si="317"/>
        <v>1305105.6743253123</v>
      </c>
      <c r="AV121">
        <f t="shared" si="318"/>
        <v>1472186.3350075355</v>
      </c>
      <c r="AW121">
        <f t="shared" si="319"/>
        <v>1652646.2933154528</v>
      </c>
      <c r="AX121">
        <f t="shared" si="320"/>
        <v>1847556.9216282866</v>
      </c>
      <c r="AY121">
        <f t="shared" si="321"/>
        <v>2058075.3844802014</v>
      </c>
      <c r="AZ121">
        <f t="shared" si="322"/>
        <v>2285451.5085282051</v>
      </c>
      <c r="BA121">
        <f t="shared" si="323"/>
        <v>2531035.2026456199</v>
      </c>
      <c r="BB121">
        <f t="shared" si="324"/>
        <v>2796284.4721934772</v>
      </c>
      <c r="BC121">
        <f t="shared" si="325"/>
        <v>3082774.0750497393</v>
      </c>
      <c r="BD121">
        <f t="shared" si="326"/>
        <v>3392204.8707863144</v>
      </c>
      <c r="BE121">
        <f t="shared" si="327"/>
        <v>3726413.9184989766</v>
      </c>
      <c r="BF121">
        <f t="shared" si="328"/>
        <v>4087385.3832399752</v>
      </c>
      <c r="BG121">
        <f t="shared" si="329"/>
        <v>4477262.3158037188</v>
      </c>
      <c r="BH121">
        <f t="shared" si="330"/>
        <v>4898359.3758009057</v>
      </c>
      <c r="BI121">
        <f t="shared" si="331"/>
        <v>5353176.5735567231</v>
      </c>
      <c r="BJ121">
        <f t="shared" si="332"/>
        <v>5844414.1124173244</v>
      </c>
    </row>
    <row r="122" spans="1:62" x14ac:dyDescent="0.3">
      <c r="D122">
        <f t="shared" si="283"/>
        <v>51390.165542775787</v>
      </c>
      <c r="E122">
        <f t="shared" si="335"/>
        <v>116524.88081542646</v>
      </c>
      <c r="F122">
        <f t="shared" si="335"/>
        <v>185660.45067985961</v>
      </c>
      <c r="G122">
        <f t="shared" si="336"/>
        <v>259149.84471241126</v>
      </c>
      <c r="H122">
        <f t="shared" si="336"/>
        <v>337821.59639941889</v>
      </c>
      <c r="I122">
        <f t="shared" si="336"/>
        <v>421535.33414368139</v>
      </c>
      <c r="J122">
        <f>(J121+5000)*1.00644-(0.00104*(J121+5000))</f>
        <v>510826.51602537296</v>
      </c>
      <c r="K122">
        <f t="shared" si="333"/>
        <v>607077.37075861264</v>
      </c>
      <c r="L122">
        <f t="shared" si="333"/>
        <v>709753.89661770861</v>
      </c>
      <c r="M122">
        <f t="shared" si="333"/>
        <v>819285.06900794047</v>
      </c>
      <c r="N122">
        <f t="shared" si="333"/>
        <v>936128.50157248147</v>
      </c>
      <c r="O122">
        <f t="shared" si="334"/>
        <v>1062067.786783153</v>
      </c>
      <c r="P122">
        <f t="shared" si="290"/>
        <v>1198005.7156585036</v>
      </c>
      <c r="Q122">
        <f t="shared" si="291"/>
        <v>1343377.4937248155</v>
      </c>
      <c r="R122">
        <f t="shared" si="292"/>
        <v>1498837.8132471116</v>
      </c>
      <c r="S122">
        <f t="shared" si="293"/>
        <v>1665086.800962938</v>
      </c>
      <c r="T122">
        <f t="shared" si="294"/>
        <v>1842873.1711535209</v>
      </c>
      <c r="U122">
        <f t="shared" si="295"/>
        <v>2024677.9717197819</v>
      </c>
      <c r="V122">
        <f t="shared" si="296"/>
        <v>2216500.4796715998</v>
      </c>
      <c r="W122">
        <f t="shared" si="297"/>
        <v>2420616.6812278084</v>
      </c>
      <c r="X122">
        <f t="shared" si="298"/>
        <v>2637814.4656932242</v>
      </c>
      <c r="Y122">
        <f t="shared" si="299"/>
        <v>2868932.2173318397</v>
      </c>
      <c r="Z122">
        <f t="shared" si="300"/>
        <v>3114862.0515332292</v>
      </c>
      <c r="AA122">
        <f t="shared" si="301"/>
        <v>3376553.2583813029</v>
      </c>
      <c r="AB122">
        <f t="shared" si="302"/>
        <v>3655015.9669176014</v>
      </c>
      <c r="AC122">
        <f t="shared" si="303"/>
        <v>3951325.0442431848</v>
      </c>
      <c r="AD122">
        <f t="shared" si="304"/>
        <v>4266624.2445096839</v>
      </c>
      <c r="AE122">
        <f t="shared" si="305"/>
        <v>4602130.6238146275</v>
      </c>
      <c r="AI122">
        <f t="shared" si="285"/>
        <v>51805.660417517414</v>
      </c>
      <c r="AJ122">
        <f t="shared" si="306"/>
        <v>118525.96920807607</v>
      </c>
      <c r="AK122">
        <f t="shared" si="307"/>
        <v>190589.03200345003</v>
      </c>
      <c r="AL122">
        <f t="shared" si="308"/>
        <v>268422.67986247898</v>
      </c>
      <c r="AM122">
        <f t="shared" si="309"/>
        <v>352489.0032193627</v>
      </c>
      <c r="AN122">
        <f t="shared" si="310"/>
        <v>443287.09526747046</v>
      </c>
      <c r="AO122">
        <f t="shared" si="311"/>
        <v>541356.01502476097</v>
      </c>
      <c r="AP122">
        <f t="shared" si="312"/>
        <v>647277.98767222825</v>
      </c>
      <c r="AQ122">
        <f t="shared" si="313"/>
        <v>761681.86116545822</v>
      </c>
      <c r="AR122">
        <f t="shared" si="314"/>
        <v>885246.83964084659</v>
      </c>
      <c r="AS122">
        <f t="shared" si="315"/>
        <v>1018706.5157813291</v>
      </c>
      <c r="AT122">
        <f t="shared" si="316"/>
        <v>1162853.2260813694</v>
      </c>
      <c r="AU122">
        <f t="shared" si="317"/>
        <v>1318542.7548679672</v>
      </c>
      <c r="AV122">
        <f t="shared" si="318"/>
        <v>1486699.415004984</v>
      </c>
      <c r="AW122">
        <f t="shared" si="319"/>
        <v>1668321.5354444042</v>
      </c>
      <c r="AX122">
        <f t="shared" si="320"/>
        <v>1864487.3882035727</v>
      </c>
      <c r="AY122">
        <f t="shared" si="321"/>
        <v>2076361.589956254</v>
      </c>
      <c r="AZ122">
        <f t="shared" si="322"/>
        <v>2305202.0162431267</v>
      </c>
      <c r="BA122">
        <f t="shared" si="323"/>
        <v>2552367.2693506577</v>
      </c>
      <c r="BB122">
        <f t="shared" si="324"/>
        <v>2819324.7441944033</v>
      </c>
      <c r="BC122">
        <f t="shared" si="325"/>
        <v>3107659.3400930595</v>
      </c>
      <c r="BD122">
        <f t="shared" si="326"/>
        <v>3419082.8701541782</v>
      </c>
      <c r="BE122">
        <f t="shared" si="327"/>
        <v>3755444.2241341099</v>
      </c>
      <c r="BF122">
        <f t="shared" si="328"/>
        <v>4118740.3451080406</v>
      </c>
      <c r="BG122">
        <f t="shared" si="329"/>
        <v>4511128.0851174947</v>
      </c>
      <c r="BH122">
        <f t="shared" si="330"/>
        <v>4934937.0101810638</v>
      </c>
      <c r="BI122">
        <f t="shared" si="331"/>
        <v>5392683.2306904281</v>
      </c>
      <c r="BJ122">
        <f t="shared" si="332"/>
        <v>5887084.3393012919</v>
      </c>
    </row>
    <row r="123" spans="1:62" x14ac:dyDescent="0.3">
      <c r="D123">
        <f t="shared" si="283"/>
        <v>56670.988567178814</v>
      </c>
      <c r="E123">
        <f t="shared" si="335"/>
        <v>122130.07472188727</v>
      </c>
      <c r="F123">
        <f t="shared" si="335"/>
        <v>191609.93972424531</v>
      </c>
      <c r="G123">
        <f t="shared" si="336"/>
        <v>265520.7824064687</v>
      </c>
      <c r="H123">
        <f t="shared" si="336"/>
        <v>344600.84048473189</v>
      </c>
      <c r="I123">
        <f t="shared" si="336"/>
        <v>428749.05252788711</v>
      </c>
      <c r="J123">
        <f>(J122+5000)*1.00644-(0.00104*(J122+5000))</f>
        <v>518611.97921190993</v>
      </c>
      <c r="K123">
        <f t="shared" si="333"/>
        <v>615382.58856070915</v>
      </c>
      <c r="L123">
        <f t="shared" si="333"/>
        <v>718613.56765944429</v>
      </c>
      <c r="M123">
        <f t="shared" si="333"/>
        <v>828736.20838058332</v>
      </c>
      <c r="N123">
        <f t="shared" si="333"/>
        <v>946210.59548097278</v>
      </c>
      <c r="O123">
        <f t="shared" si="334"/>
        <v>1073050.8358636461</v>
      </c>
      <c r="P123">
        <f t="shared" si="290"/>
        <v>1209750.9687062008</v>
      </c>
      <c r="Q123">
        <f t="shared" si="291"/>
        <v>1355937.8463321307</v>
      </c>
      <c r="R123">
        <f t="shared" si="292"/>
        <v>1512269.8318659882</v>
      </c>
      <c r="S123">
        <f t="shared" si="293"/>
        <v>1679450.9776559372</v>
      </c>
      <c r="T123">
        <f t="shared" si="294"/>
        <v>1858234.1960241788</v>
      </c>
      <c r="U123">
        <f t="shared" si="295"/>
        <v>2040212.0003930076</v>
      </c>
      <c r="V123">
        <f t="shared" si="296"/>
        <v>2233030.0671610953</v>
      </c>
      <c r="W123">
        <f t="shared" si="297"/>
        <v>2438205.6318033808</v>
      </c>
      <c r="X123">
        <f t="shared" si="298"/>
        <v>2656530.6727701719</v>
      </c>
      <c r="Y123">
        <f t="shared" si="299"/>
        <v>2888847.9255397916</v>
      </c>
      <c r="Z123">
        <f t="shared" si="300"/>
        <v>3136054.1355806869</v>
      </c>
      <c r="AA123">
        <f t="shared" si="301"/>
        <v>3399103.5197923016</v>
      </c>
      <c r="AB123">
        <f t="shared" si="302"/>
        <v>3679011.449785904</v>
      </c>
      <c r="AC123">
        <f t="shared" si="303"/>
        <v>3976858.3712228071</v>
      </c>
      <c r="AD123">
        <f t="shared" si="304"/>
        <v>4293793.9743386889</v>
      </c>
      <c r="AE123">
        <f t="shared" si="305"/>
        <v>4631041.6317522256</v>
      </c>
      <c r="AI123">
        <f t="shared" si="285"/>
        <v>57171.488870606227</v>
      </c>
      <c r="AJ123">
        <f t="shared" si="306"/>
        <v>124321.47644977608</v>
      </c>
      <c r="AK123">
        <f t="shared" si="307"/>
        <v>196848.62536955226</v>
      </c>
      <c r="AL123">
        <f t="shared" si="308"/>
        <v>275183.52192079334</v>
      </c>
      <c r="AM123">
        <f t="shared" si="309"/>
        <v>359791.23240009538</v>
      </c>
      <c r="AN123">
        <f t="shared" si="310"/>
        <v>451174.06416099297</v>
      </c>
      <c r="AO123">
        <f t="shared" si="311"/>
        <v>549874.54776152049</v>
      </c>
      <c r="AP123">
        <f t="shared" si="312"/>
        <v>656478.65791283746</v>
      </c>
      <c r="AQ123">
        <f t="shared" si="313"/>
        <v>771619.29235136381</v>
      </c>
      <c r="AR123">
        <f t="shared" si="314"/>
        <v>895980.02928813361</v>
      </c>
      <c r="AS123">
        <f t="shared" si="315"/>
        <v>1030299.1857429609</v>
      </c>
      <c r="AT123">
        <f t="shared" si="316"/>
        <v>1175374.2008573334</v>
      </c>
      <c r="AU123">
        <f t="shared" si="317"/>
        <v>1332066.370209317</v>
      </c>
      <c r="AV123">
        <f t="shared" si="318"/>
        <v>1501305.959237616</v>
      </c>
      <c r="AW123">
        <f t="shared" si="319"/>
        <v>1684097.7261326662</v>
      </c>
      <c r="AX123">
        <f t="shared" si="320"/>
        <v>1881526.8869836037</v>
      </c>
      <c r="AY123">
        <f t="shared" si="321"/>
        <v>2094765.5585955724</v>
      </c>
      <c r="AZ123">
        <f t="shared" si="322"/>
        <v>2325079.7172277323</v>
      </c>
      <c r="BA123">
        <f t="shared" si="323"/>
        <v>2573836.7145652762</v>
      </c>
      <c r="BB123">
        <f t="shared" si="324"/>
        <v>2842513.3955470151</v>
      </c>
      <c r="BC123">
        <f t="shared" si="325"/>
        <v>3132704.8662432586</v>
      </c>
      <c r="BD123">
        <f t="shared" si="326"/>
        <v>3446133.963837971</v>
      </c>
      <c r="BE123">
        <f t="shared" si="327"/>
        <v>3784661.4849375337</v>
      </c>
      <c r="BF123">
        <f t="shared" si="328"/>
        <v>4150297.2329305364</v>
      </c>
      <c r="BG123">
        <f t="shared" si="329"/>
        <v>4545211.9499856513</v>
      </c>
      <c r="BH123">
        <f t="shared" si="330"/>
        <v>4971750.2045266302</v>
      </c>
      <c r="BI123">
        <f t="shared" si="331"/>
        <v>5432444.3106960747</v>
      </c>
      <c r="BJ123">
        <f t="shared" si="332"/>
        <v>5930029.362446392</v>
      </c>
    </row>
    <row r="124" spans="1:62" x14ac:dyDescent="0.3">
      <c r="D124">
        <f t="shared" si="283"/>
        <v>61978.110090243361</v>
      </c>
      <c r="E124">
        <f t="shared" si="335"/>
        <v>127763.18249400228</v>
      </c>
      <c r="F124">
        <f t="shared" si="335"/>
        <v>197589.05722407205</v>
      </c>
      <c r="G124">
        <f t="shared" si="336"/>
        <v>271924.78526715824</v>
      </c>
      <c r="H124">
        <f t="shared" si="336"/>
        <v>351415.26884684764</v>
      </c>
      <c r="I124">
        <f t="shared" si="336"/>
        <v>436000.21011050686</v>
      </c>
      <c r="J124">
        <f>(J123+5000)*1.00644-(0.00104*(J123+5000))</f>
        <v>526439.48389965424</v>
      </c>
      <c r="K124">
        <f t="shared" si="333"/>
        <v>623732.65453893703</v>
      </c>
      <c r="L124">
        <f t="shared" si="333"/>
        <v>727521.08092480525</v>
      </c>
      <c r="M124">
        <f t="shared" si="333"/>
        <v>838238.38390583848</v>
      </c>
      <c r="N124">
        <f t="shared" si="333"/>
        <v>956347.13269657001</v>
      </c>
      <c r="O124">
        <f t="shared" si="334"/>
        <v>1084095.4669003335</v>
      </c>
      <c r="P124">
        <f t="shared" si="290"/>
        <v>1221562.0773877366</v>
      </c>
      <c r="Q124">
        <f t="shared" si="291"/>
        <v>1368568.6248365152</v>
      </c>
      <c r="R124">
        <f t="shared" si="292"/>
        <v>1525777.1638132608</v>
      </c>
      <c r="S124">
        <f t="shared" si="293"/>
        <v>1693895.694287654</v>
      </c>
      <c r="T124">
        <f t="shared" si="294"/>
        <v>1873681.3501612863</v>
      </c>
      <c r="U124">
        <f t="shared" si="295"/>
        <v>2055826.6506750474</v>
      </c>
      <c r="V124">
        <f t="shared" si="296"/>
        <v>2249645.4432096616</v>
      </c>
      <c r="W124" s="3">
        <f t="shared" si="297"/>
        <v>2455885.8690324402</v>
      </c>
      <c r="X124">
        <f t="shared" si="298"/>
        <v>2675344.0169618493</v>
      </c>
      <c r="Y124">
        <f t="shared" si="299"/>
        <v>2908866.9962733435</v>
      </c>
      <c r="Z124">
        <f t="shared" si="300"/>
        <v>3157356.2065443504</v>
      </c>
      <c r="AA124">
        <f t="shared" si="301"/>
        <v>3421770.8170600235</v>
      </c>
      <c r="AB124" s="3">
        <f t="shared" si="302"/>
        <v>3703131.4692102927</v>
      </c>
      <c r="AC124">
        <f t="shared" si="303"/>
        <v>4002524.2161694537</v>
      </c>
      <c r="AD124">
        <f t="shared" si="304"/>
        <v>4321104.7150655072</v>
      </c>
      <c r="AE124">
        <f t="shared" si="305"/>
        <v>4660102.6878210194</v>
      </c>
      <c r="AI124">
        <f t="shared" si="285"/>
        <v>62571.87325893293</v>
      </c>
      <c r="AJ124">
        <f t="shared" si="306"/>
        <v>130154.30675811264</v>
      </c>
      <c r="AK124">
        <f t="shared" si="307"/>
        <v>203148.53051693217</v>
      </c>
      <c r="AL124">
        <f t="shared" si="308"/>
        <v>281987.90380196326</v>
      </c>
      <c r="AM124">
        <f t="shared" si="309"/>
        <v>367140.48793675198</v>
      </c>
      <c r="AN124">
        <f t="shared" si="310"/>
        <v>459111.82513418974</v>
      </c>
      <c r="AO124">
        <f t="shared" si="311"/>
        <v>558447.93984910473</v>
      </c>
      <c r="AP124">
        <f t="shared" si="312"/>
        <v>665738.58046979608</v>
      </c>
      <c r="AQ124">
        <f t="shared" si="313"/>
        <v>781620.72059410659</v>
      </c>
      <c r="AR124">
        <f t="shared" si="314"/>
        <v>906782.34067674924</v>
      </c>
      <c r="AS124">
        <f t="shared" si="315"/>
        <v>1041966.5124991456</v>
      </c>
      <c r="AT124">
        <f t="shared" si="316"/>
        <v>1187975.8107108546</v>
      </c>
      <c r="AU124">
        <f t="shared" si="317"/>
        <v>1345677.0776334649</v>
      </c>
      <c r="AV124">
        <f t="shared" si="318"/>
        <v>1516006.5696151063</v>
      </c>
      <c r="AW124">
        <f t="shared" si="319"/>
        <v>1699975.5154889605</v>
      </c>
      <c r="AX124">
        <f t="shared" si="320"/>
        <v>1898676.1201357781</v>
      </c>
      <c r="AY124">
        <f t="shared" si="321"/>
        <v>2113288.048792928</v>
      </c>
      <c r="AZ124">
        <f t="shared" si="322"/>
        <v>2345085.4306066791</v>
      </c>
      <c r="BA124">
        <f t="shared" si="323"/>
        <v>2595444.4230070766</v>
      </c>
      <c r="BB124" s="3">
        <f t="shared" si="324"/>
        <v>2865851.3818143378</v>
      </c>
      <c r="BC124">
        <f t="shared" si="325"/>
        <v>3157911.6855818653</v>
      </c>
      <c r="BD124">
        <f t="shared" si="326"/>
        <v>3473359.2665650877</v>
      </c>
      <c r="BE124">
        <f t="shared" si="327"/>
        <v>3814066.9049005313</v>
      </c>
      <c r="BF124">
        <f t="shared" si="328"/>
        <v>4182057.3471106091</v>
      </c>
      <c r="BG124" s="3">
        <f t="shared" si="329"/>
        <v>4579515.3149435585</v>
      </c>
      <c r="BH124">
        <f t="shared" si="330"/>
        <v>5008800.4758437816</v>
      </c>
      <c r="BI124">
        <f t="shared" si="331"/>
        <v>5472461.4520569574</v>
      </c>
      <c r="BJ124">
        <f t="shared" si="332"/>
        <v>5973250.9515405465</v>
      </c>
    </row>
    <row r="127" spans="1:62" x14ac:dyDescent="0.3">
      <c r="D127" t="s">
        <v>62</v>
      </c>
      <c r="AI127" t="s">
        <v>62</v>
      </c>
      <c r="AJ127" t="s">
        <v>66</v>
      </c>
    </row>
    <row r="128" spans="1:62" x14ac:dyDescent="0.3">
      <c r="D128" t="s">
        <v>63</v>
      </c>
      <c r="AI128" t="s">
        <v>63</v>
      </c>
    </row>
    <row r="129" spans="1:62" x14ac:dyDescent="0.3">
      <c r="D129" t="s">
        <v>80</v>
      </c>
      <c r="AI129" t="s">
        <v>80</v>
      </c>
    </row>
    <row r="130" spans="1:62" x14ac:dyDescent="0.3">
      <c r="D130" t="s">
        <v>15</v>
      </c>
      <c r="E130" t="s">
        <v>16</v>
      </c>
      <c r="F130" t="s">
        <v>17</v>
      </c>
      <c r="G130" t="s">
        <v>18</v>
      </c>
      <c r="H130" t="s">
        <v>19</v>
      </c>
      <c r="I130" t="s">
        <v>20</v>
      </c>
      <c r="J130" t="s">
        <v>21</v>
      </c>
      <c r="K130" t="s">
        <v>22</v>
      </c>
      <c r="L130" t="s">
        <v>23</v>
      </c>
      <c r="M130" t="s">
        <v>24</v>
      </c>
      <c r="N130" t="s">
        <v>25</v>
      </c>
      <c r="O130" t="s">
        <v>26</v>
      </c>
      <c r="P130" t="s">
        <v>27</v>
      </c>
      <c r="Q130" t="s">
        <v>28</v>
      </c>
      <c r="R130" t="s">
        <v>29</v>
      </c>
      <c r="S130" t="s">
        <v>30</v>
      </c>
      <c r="T130" t="s">
        <v>31</v>
      </c>
      <c r="U130" t="s">
        <v>32</v>
      </c>
      <c r="V130" t="s">
        <v>33</v>
      </c>
      <c r="W130" t="s">
        <v>34</v>
      </c>
      <c r="X130" t="s">
        <v>35</v>
      </c>
      <c r="Y130" t="s">
        <v>36</v>
      </c>
      <c r="Z130" t="s">
        <v>37</v>
      </c>
      <c r="AA130" t="s">
        <v>38</v>
      </c>
      <c r="AB130" t="s">
        <v>39</v>
      </c>
      <c r="AC130" t="s">
        <v>67</v>
      </c>
      <c r="AD130" t="s">
        <v>68</v>
      </c>
      <c r="AE130" t="s">
        <v>69</v>
      </c>
      <c r="AI130" t="s">
        <v>15</v>
      </c>
      <c r="AJ130" t="s">
        <v>16</v>
      </c>
      <c r="AK130" t="s">
        <v>17</v>
      </c>
      <c r="AL130" t="s">
        <v>18</v>
      </c>
      <c r="AM130" t="s">
        <v>19</v>
      </c>
      <c r="AN130" t="s">
        <v>20</v>
      </c>
      <c r="AO130" t="s">
        <v>21</v>
      </c>
      <c r="AP130" t="s">
        <v>22</v>
      </c>
      <c r="AQ130" t="s">
        <v>23</v>
      </c>
      <c r="AR130" t="s">
        <v>24</v>
      </c>
      <c r="AS130" t="s">
        <v>25</v>
      </c>
      <c r="AT130" t="s">
        <v>26</v>
      </c>
      <c r="AU130" t="s">
        <v>27</v>
      </c>
      <c r="AV130" t="s">
        <v>28</v>
      </c>
      <c r="AW130" t="s">
        <v>29</v>
      </c>
      <c r="AX130" t="s">
        <v>30</v>
      </c>
      <c r="AY130" t="s">
        <v>31</v>
      </c>
      <c r="AZ130" t="s">
        <v>32</v>
      </c>
      <c r="BA130" t="s">
        <v>33</v>
      </c>
      <c r="BB130" t="s">
        <v>34</v>
      </c>
      <c r="BC130" t="s">
        <v>35</v>
      </c>
      <c r="BD130" t="s">
        <v>36</v>
      </c>
      <c r="BE130" t="s">
        <v>37</v>
      </c>
      <c r="BF130" t="s">
        <v>38</v>
      </c>
      <c r="BG130" t="s">
        <v>39</v>
      </c>
      <c r="BH130" t="s">
        <v>67</v>
      </c>
      <c r="BI130" t="s">
        <v>68</v>
      </c>
      <c r="BJ130" t="s">
        <v>69</v>
      </c>
    </row>
    <row r="131" spans="1:62" x14ac:dyDescent="0.3">
      <c r="D131">
        <v>0</v>
      </c>
      <c r="AI131">
        <v>0</v>
      </c>
    </row>
    <row r="132" spans="1:62" x14ac:dyDescent="0.3">
      <c r="D132">
        <f t="shared" ref="D132:D143" si="337">(D131+5000)*1.00721-(0.00146*(D131+5000))</f>
        <v>5028.7499999999991</v>
      </c>
      <c r="E132">
        <f>(D143+5000)*1.00721-(0.00146*(D143+5000))</f>
        <v>67677.386284642169</v>
      </c>
      <c r="F132">
        <f>(E143+5000)*1.00721-(0.00146*(E143+5000))</f>
        <v>134788.1400619334</v>
      </c>
      <c r="G132">
        <f>(F143+5000)*1.00721-(0.00146*(F143+5000))</f>
        <v>206678.82339769026</v>
      </c>
      <c r="H132">
        <f>(G143+5000)*1.00721-(0.00125*(G143+5000))</f>
        <v>284029.59216456418</v>
      </c>
      <c r="I132">
        <f>(H143+5000)*1.00721-(0.00125*(H143+5000))</f>
        <v>367398.64381812804</v>
      </c>
      <c r="J132">
        <f>(I143+5000)*1.00721-(0.00125*(I143+5000))</f>
        <v>456929.63814625976</v>
      </c>
      <c r="K132">
        <f>(J143+5000)*1.00721-(0.00104*(J143+5000))</f>
        <v>553864.43795727601</v>
      </c>
      <c r="L132">
        <f>(K143+5000)*1.00721-(0.00104*(K143+5000))</f>
        <v>658754.78131291713</v>
      </c>
      <c r="M132">
        <f>(L143+5000)*1.00721-(0.00104*(L143+5000))</f>
        <v>771680.24382357078</v>
      </c>
      <c r="N132">
        <f>(M143+5000)*1.00721-(0.00104*(M143+5000))</f>
        <v>893256.35536329146</v>
      </c>
      <c r="O132">
        <f t="shared" ref="O132:T132" si="338">(N143+5000)*1.00721-(0.000833*(N143+5000))</f>
        <v>1024774.9105537503</v>
      </c>
      <c r="P132">
        <f t="shared" si="338"/>
        <v>1168550.6788012942</v>
      </c>
      <c r="Q132">
        <f t="shared" si="338"/>
        <v>1323722.9546177315</v>
      </c>
      <c r="R132">
        <f t="shared" si="338"/>
        <v>1491195.0917903597</v>
      </c>
      <c r="S132">
        <f t="shared" si="338"/>
        <v>1671942.0492065537</v>
      </c>
      <c r="T132">
        <f t="shared" si="338"/>
        <v>1867016.0666924366</v>
      </c>
      <c r="U132">
        <f t="shared" ref="U132:AE132" si="339">(T143+5000)*1.00721-(0.00125*(T143+5000))</f>
        <v>2076691.9408775924</v>
      </c>
      <c r="V132">
        <f t="shared" si="339"/>
        <v>2292559.5925335647</v>
      </c>
      <c r="W132">
        <f t="shared" si="339"/>
        <v>2524382.3746416043</v>
      </c>
      <c r="X132">
        <f t="shared" si="339"/>
        <v>2773339.5569338351</v>
      </c>
      <c r="Y132">
        <f t="shared" si="339"/>
        <v>3040697.5708929691</v>
      </c>
      <c r="Z132">
        <f t="shared" si="339"/>
        <v>3327816.4520195536</v>
      </c>
      <c r="AA132">
        <f t="shared" si="339"/>
        <v>3636156.7582577015</v>
      </c>
      <c r="AB132">
        <f t="shared" si="339"/>
        <v>3967286.9997729515</v>
      </c>
      <c r="AC132">
        <f t="shared" si="339"/>
        <v>4322891.61787715</v>
      </c>
      <c r="AD132">
        <f t="shared" si="339"/>
        <v>4704779.5536886817</v>
      </c>
      <c r="AE132">
        <f t="shared" si="339"/>
        <v>5114893.4501163652</v>
      </c>
      <c r="AI132">
        <f t="shared" ref="AI132:AI143" si="340">(AI131+5000)*1.00721-0</f>
        <v>5036.0499999999993</v>
      </c>
      <c r="AJ132">
        <f t="shared" ref="AJ132:BJ132" si="341">(AI143+5000)*1.00721-0</f>
        <v>68377.064308298708</v>
      </c>
      <c r="AK132">
        <f t="shared" si="341"/>
        <v>137420.97170152541</v>
      </c>
      <c r="AL132">
        <f t="shared" si="341"/>
        <v>212681.23079560659</v>
      </c>
      <c r="AM132">
        <f t="shared" si="341"/>
        <v>294717.52933023858</v>
      </c>
      <c r="AN132">
        <f t="shared" si="341"/>
        <v>384139.94639699743</v>
      </c>
      <c r="AO132">
        <f t="shared" si="341"/>
        <v>481613.48941266228</v>
      </c>
      <c r="AP132">
        <f t="shared" si="341"/>
        <v>587863.039577847</v>
      </c>
      <c r="AQ132">
        <f t="shared" si="341"/>
        <v>703678.74259881803</v>
      </c>
      <c r="AR132">
        <f t="shared" si="341"/>
        <v>829921.8847616635</v>
      </c>
      <c r="AS132">
        <f t="shared" si="341"/>
        <v>967531.29805739375</v>
      </c>
      <c r="AT132">
        <f t="shared" si="341"/>
        <v>1117530.3419909521</v>
      </c>
      <c r="AU132">
        <f t="shared" si="341"/>
        <v>1281034.5139957303</v>
      </c>
      <c r="AV132">
        <f t="shared" si="341"/>
        <v>1459259.7450499327</v>
      </c>
      <c r="AW132">
        <f t="shared" si="341"/>
        <v>1653531.4421867842</v>
      </c>
      <c r="AX132">
        <f t="shared" si="341"/>
        <v>1865294.3451449771</v>
      </c>
      <c r="AY132">
        <f t="shared" si="341"/>
        <v>2096123.2704602878</v>
      </c>
      <c r="AZ132">
        <f t="shared" si="341"/>
        <v>2347734.8228989164</v>
      </c>
      <c r="BA132">
        <f t="shared" si="341"/>
        <v>2622000.1613269211</v>
      </c>
      <c r="BB132">
        <f t="shared" si="341"/>
        <v>2920958.9139516666</v>
      </c>
      <c r="BC132">
        <f t="shared" si="341"/>
        <v>3246834.3464187006</v>
      </c>
      <c r="BD132">
        <f t="shared" si="341"/>
        <v>3602049.8955646176</v>
      </c>
      <c r="BE132">
        <f t="shared" si="341"/>
        <v>3989247.1917823944</v>
      </c>
      <c r="BF132">
        <f t="shared" si="341"/>
        <v>4411305.7040261012</v>
      </c>
      <c r="BG132">
        <f t="shared" si="341"/>
        <v>4871364.1535489038</v>
      </c>
      <c r="BH132">
        <f t="shared" si="341"/>
        <v>5372843.8556218529</v>
      </c>
      <c r="BI132">
        <f t="shared" si="341"/>
        <v>5919474.1628187373</v>
      </c>
      <c r="BJ132">
        <f t="shared" si="341"/>
        <v>6515320.1990810242</v>
      </c>
    </row>
    <row r="133" spans="1:62" x14ac:dyDescent="0.3">
      <c r="D133">
        <f t="shared" si="337"/>
        <v>10086.415312499999</v>
      </c>
      <c r="E133">
        <f t="shared" ref="E133:G138" si="342">(E132+5000)*1.00721-(0.00146*(E132+5000))</f>
        <v>73095.281255778857</v>
      </c>
      <c r="F133">
        <f t="shared" si="342"/>
        <v>140591.92186728952</v>
      </c>
      <c r="G133">
        <f t="shared" si="342"/>
        <v>212895.97663222699</v>
      </c>
      <c r="H133">
        <f t="shared" ref="H133:J137" si="343">(H132+5000)*1.00721-(0.00125*(H132+5000))</f>
        <v>290752.20853386499</v>
      </c>
      <c r="I133">
        <f t="shared" si="343"/>
        <v>374618.13973528409</v>
      </c>
      <c r="J133">
        <f t="shared" si="343"/>
        <v>464682.7387896115</v>
      </c>
      <c r="K133">
        <f t="shared" ref="K133:K141" si="344">(K132+5000)*1.00721-(0.00104*(K132+5000))</f>
        <v>562312.63153947238</v>
      </c>
      <c r="L133">
        <f t="shared" ref="L133:L141" si="345">(L132+5000)*1.00721-(0.00104*(L132+5000))</f>
        <v>667850.1483136178</v>
      </c>
      <c r="M133">
        <f t="shared" ref="M133:M141" si="346">(M132+5000)*1.00721-(0.00104*(M132+5000))</f>
        <v>781472.36092796212</v>
      </c>
      <c r="N133">
        <f t="shared" ref="N133:N141" si="347">(N132+5000)*1.00721-(0.00104*(N132+5000))</f>
        <v>903798.59707588283</v>
      </c>
      <c r="O133">
        <f t="shared" ref="O133:O143" si="348">(O132+5000)*1.00721-(0.000833*(O132+5000))</f>
        <v>1036341.7851583515</v>
      </c>
      <c r="P133">
        <f t="shared" ref="P133:P143" si="349">(P132+5000)*1.00721-(0.000833*(P132+5000))</f>
        <v>1181034.4114800098</v>
      </c>
      <c r="Q133">
        <f t="shared" ref="Q133:Q143" si="350">(Q132+5000)*1.00721-(0.000833*(Q132+5000))</f>
        <v>1337196.2208993286</v>
      </c>
      <c r="R133">
        <f t="shared" ref="R133:R143" si="351">(R132+5000)*1.00721-(0.000833*(R132+5000))</f>
        <v>1505736.3278907067</v>
      </c>
      <c r="S133">
        <f t="shared" ref="S133:S143" si="352">(S132+5000)*1.00721-(0.000833*(S132+5000))</f>
        <v>1687635.9086543438</v>
      </c>
      <c r="T133">
        <f t="shared" ref="T133:T143" si="353">(T132+5000)*1.00721-(0.000833*(T132+5000))</f>
        <v>1883953.9131497343</v>
      </c>
      <c r="U133">
        <f t="shared" ref="U133:U143" si="354">(U132+5000)*1.00721-(0.00125*(U132+5000))</f>
        <v>2094098.8248452228</v>
      </c>
      <c r="V133">
        <f t="shared" ref="V133:V143" si="355">(V132+5000)*1.00721-(0.00125*(V132+5000))</f>
        <v>2311253.0477050645</v>
      </c>
      <c r="W133">
        <f t="shared" ref="W133:W143" si="356">(W132+5000)*1.00721-(0.00125*(W132+5000))</f>
        <v>2544457.4935944681</v>
      </c>
      <c r="X133">
        <f t="shared" ref="X133:X143" si="357">(X132+5000)*1.00721-(0.00125*(X132+5000))</f>
        <v>2794898.4606931605</v>
      </c>
      <c r="Y133">
        <f t="shared" ref="Y133:Y143" si="358">(Y132+5000)*1.00721-(0.00125*(Y132+5000))</f>
        <v>3063849.9284154912</v>
      </c>
      <c r="Z133">
        <f t="shared" ref="Z133:Z143" si="359">(Z132+5000)*1.00721-(0.00125*(Z132+5000))</f>
        <v>3352680.03807359</v>
      </c>
      <c r="AA133">
        <f t="shared" ref="AA133:AA143" si="360">(AA132+5000)*1.00721-(0.00125*(AA132+5000))</f>
        <v>3662858.0525369169</v>
      </c>
      <c r="AB133">
        <f t="shared" ref="AB133:AB143" si="361">(AB132+5000)*1.00721-(0.00125*(AB132+5000))</f>
        <v>3995961.8302915981</v>
      </c>
      <c r="AC133">
        <f t="shared" ref="AC133:AC143" si="362">(AC132+5000)*1.00721-(0.00125*(AC132+5000))</f>
        <v>4353685.8519196976</v>
      </c>
      <c r="AD133">
        <f t="shared" ref="AD133:AD143" si="363">(AD132+5000)*1.00721-(0.00125*(AD132+5000))</f>
        <v>4737849.8398286663</v>
      </c>
      <c r="AE133">
        <f t="shared" ref="AE133:AE143" si="364">(AE132+5000)*1.00721-(0.00125*(AE132+5000))</f>
        <v>5150408.0150790587</v>
      </c>
      <c r="AI133">
        <f t="shared" si="340"/>
        <v>10108.409920499998</v>
      </c>
      <c r="AJ133">
        <f t="shared" ref="AJ133:AJ143" si="365">(AJ132+5000)*1.00721-0</f>
        <v>73906.112941961532</v>
      </c>
      <c r="AK133">
        <f t="shared" ref="AK133:AK143" si="366">(AK132+5000)*1.00721-0</f>
        <v>143447.82690749341</v>
      </c>
      <c r="AL133">
        <f t="shared" ref="AL133:AL143" si="367">(AL132+5000)*1.00721-0</f>
        <v>219250.71246964289</v>
      </c>
      <c r="AM133">
        <f t="shared" ref="AM133:AM143" si="368">(AM132+5000)*1.00721-0</f>
        <v>301878.49271670956</v>
      </c>
      <c r="AN133">
        <f t="shared" ref="AN133:AN143" si="369">(AN132+5000)*1.00721-0</f>
        <v>391945.64541051973</v>
      </c>
      <c r="AO133">
        <f t="shared" ref="AO133:AO143" si="370">(AO132+5000)*1.00721-0</f>
        <v>490121.97267132753</v>
      </c>
      <c r="AP133">
        <f t="shared" ref="AP133:AP143" si="371">(AP132+5000)*1.00721-0</f>
        <v>597137.58209320321</v>
      </c>
      <c r="AQ133">
        <f t="shared" ref="AQ133:AQ143" si="372">(AQ132+5000)*1.00721-0</f>
        <v>713788.3163329555</v>
      </c>
      <c r="AR133">
        <f t="shared" ref="AR133:AR143" si="373">(AR132+5000)*1.00721-0</f>
        <v>840941.67155079509</v>
      </c>
      <c r="AS133">
        <f t="shared" ref="AS133:AS143" si="374">(AS132+5000)*1.00721-0</f>
        <v>979543.24871638755</v>
      </c>
      <c r="AT133">
        <f t="shared" ref="AT133:AT143" si="375">(AT132+5000)*1.00721-0</f>
        <v>1130623.785756707</v>
      </c>
      <c r="AU133">
        <f t="shared" ref="AU133:AU143" si="376">(AU132+5000)*1.00721-0</f>
        <v>1295306.8228416394</v>
      </c>
      <c r="AV133">
        <f t="shared" ref="AV133:AV143" si="377">(AV132+5000)*1.00721-0</f>
        <v>1474817.0578117426</v>
      </c>
      <c r="AW133">
        <f t="shared" ref="AW133:AW143" si="378">(AW132+5000)*1.00721-0</f>
        <v>1670489.4538849508</v>
      </c>
      <c r="AX133">
        <f t="shared" ref="AX133:AX143" si="379">(AX132+5000)*1.00721-0</f>
        <v>1883779.1673734724</v>
      </c>
      <c r="AY133">
        <f t="shared" ref="AY133:AY143" si="380">(AY132+5000)*1.00721-0</f>
        <v>2116272.3692403068</v>
      </c>
      <c r="AZ133">
        <f t="shared" ref="AZ133:AZ143" si="381">(AZ132+5000)*1.00721-0</f>
        <v>2369698.0409720177</v>
      </c>
      <c r="BA133">
        <f t="shared" ref="BA133:BA143" si="382">(BA132+5000)*1.00721-0</f>
        <v>2645940.832490088</v>
      </c>
      <c r="BB133">
        <f t="shared" ref="BB133:BB143" si="383">(BB132+5000)*1.00721-0</f>
        <v>2947055.0777212577</v>
      </c>
      <c r="BC133">
        <f t="shared" ref="BC133:BC143" si="384">(BC132+5000)*1.00721-0</f>
        <v>3275280.0720563792</v>
      </c>
      <c r="BD133">
        <f t="shared" ref="BD133:BD143" si="385">(BD132+5000)*1.00721-0</f>
        <v>3633056.7253116383</v>
      </c>
      <c r="BE133">
        <f t="shared" ref="BE133:BE143" si="386">(BE132+5000)*1.00721-0</f>
        <v>4023045.7140351455</v>
      </c>
      <c r="BF133">
        <f t="shared" ref="BF133:BF143" si="387">(BF132+5000)*1.00721-0</f>
        <v>4448147.2681521289</v>
      </c>
      <c r="BG133">
        <f t="shared" ref="BG133:BG143" si="388">(BG132+5000)*1.00721-0</f>
        <v>4911522.7390959915</v>
      </c>
      <c r="BH133">
        <f t="shared" ref="BH133:BH143" si="389">(BH132+5000)*1.00721-0</f>
        <v>5416618.1098208865</v>
      </c>
      <c r="BI133">
        <f t="shared" ref="BI133:BI143" si="390">(BI132+5000)*1.00721-0</f>
        <v>5967189.62153266</v>
      </c>
      <c r="BJ133">
        <f t="shared" ref="BJ133:BJ143" si="391">(BJ132+5000)*1.00721-0</f>
        <v>6567331.7077163979</v>
      </c>
    </row>
    <row r="134" spans="1:62" x14ac:dyDescent="0.3">
      <c r="A134">
        <f>0.0175/12</f>
        <v>1.4583333333333334E-3</v>
      </c>
      <c r="B134">
        <v>1.75</v>
      </c>
      <c r="D134">
        <f t="shared" si="337"/>
        <v>15173.162200546873</v>
      </c>
      <c r="E134">
        <f t="shared" si="342"/>
        <v>78544.329122999581</v>
      </c>
      <c r="F134">
        <f t="shared" si="342"/>
        <v>146429.07541802645</v>
      </c>
      <c r="G134">
        <f t="shared" si="342"/>
        <v>219148.87849786229</v>
      </c>
      <c r="H134">
        <f t="shared" si="343"/>
        <v>297514.89169672679</v>
      </c>
      <c r="I134">
        <f t="shared" si="343"/>
        <v>381880.66384810634</v>
      </c>
      <c r="J134">
        <f t="shared" si="343"/>
        <v>472482.0479127976</v>
      </c>
      <c r="K134">
        <f t="shared" si="344"/>
        <v>570812.95047607087</v>
      </c>
      <c r="L134">
        <f t="shared" si="345"/>
        <v>677001.6337287128</v>
      </c>
      <c r="M134">
        <f t="shared" si="346"/>
        <v>791324.89539488766</v>
      </c>
      <c r="N134">
        <f t="shared" si="347"/>
        <v>914405.88441984088</v>
      </c>
      <c r="O134">
        <f t="shared" si="348"/>
        <v>1047982.4217223063</v>
      </c>
      <c r="P134">
        <f t="shared" si="349"/>
        <v>1193597.7529220176</v>
      </c>
      <c r="Q134">
        <f t="shared" si="350"/>
        <v>1350755.4062000036</v>
      </c>
      <c r="R134">
        <f t="shared" si="351"/>
        <v>1520370.2934536657</v>
      </c>
      <c r="S134">
        <f t="shared" si="352"/>
        <v>1703429.8478438323</v>
      </c>
      <c r="T134">
        <f t="shared" si="353"/>
        <v>1900999.7722538901</v>
      </c>
      <c r="U134">
        <f t="shared" si="354"/>
        <v>2111609.4538413002</v>
      </c>
      <c r="V134">
        <f t="shared" si="355"/>
        <v>2330057.9158693864</v>
      </c>
      <c r="W134">
        <f t="shared" si="356"/>
        <v>2564652.2602562914</v>
      </c>
      <c r="X134">
        <f t="shared" si="357"/>
        <v>2816585.8555188915</v>
      </c>
      <c r="Y134">
        <f t="shared" si="358"/>
        <v>3087140.2739888472</v>
      </c>
      <c r="Z134">
        <f t="shared" si="359"/>
        <v>3377691.8111005086</v>
      </c>
      <c r="AA134">
        <f t="shared" si="360"/>
        <v>3689718.4865300367</v>
      </c>
      <c r="AB134">
        <f t="shared" si="361"/>
        <v>4024807.5628001359</v>
      </c>
      <c r="AC134">
        <f t="shared" si="362"/>
        <v>4384663.6195971388</v>
      </c>
      <c r="AD134">
        <f t="shared" si="363"/>
        <v>4771117.2248740448</v>
      </c>
      <c r="AE134">
        <f t="shared" si="364"/>
        <v>5186134.2468489297</v>
      </c>
      <c r="AI134">
        <f t="shared" si="340"/>
        <v>15217.341556026802</v>
      </c>
      <c r="AJ134">
        <f t="shared" si="365"/>
        <v>79475.02601627307</v>
      </c>
      <c r="AK134">
        <f t="shared" si="366"/>
        <v>149518.13573949641</v>
      </c>
      <c r="AL134">
        <f t="shared" si="367"/>
        <v>225867.560106549</v>
      </c>
      <c r="AM134">
        <f t="shared" si="368"/>
        <v>309091.08664919704</v>
      </c>
      <c r="AN134">
        <f t="shared" si="369"/>
        <v>399807.62351392955</v>
      </c>
      <c r="AO134">
        <f t="shared" si="370"/>
        <v>498691.80209428776</v>
      </c>
      <c r="AP134">
        <f t="shared" si="371"/>
        <v>606478.99406009517</v>
      </c>
      <c r="AQ134">
        <f t="shared" si="372"/>
        <v>723970.78009371611</v>
      </c>
      <c r="AR134">
        <f t="shared" si="373"/>
        <v>852040.91100267624</v>
      </c>
      <c r="AS134">
        <f t="shared" si="374"/>
        <v>991641.80553963268</v>
      </c>
      <c r="AT134">
        <f t="shared" si="375"/>
        <v>1143811.6332520128</v>
      </c>
      <c r="AU134">
        <f t="shared" si="376"/>
        <v>1309682.0350343275</v>
      </c>
      <c r="AV134">
        <f t="shared" si="377"/>
        <v>1490486.5387985653</v>
      </c>
      <c r="AW134">
        <f t="shared" si="378"/>
        <v>1687569.7328474612</v>
      </c>
      <c r="AX134">
        <f t="shared" si="379"/>
        <v>1902397.265170235</v>
      </c>
      <c r="AY134">
        <f t="shared" si="380"/>
        <v>2136566.7430225294</v>
      </c>
      <c r="AZ134">
        <f t="shared" si="381"/>
        <v>2391819.6138474257</v>
      </c>
      <c r="BA134">
        <f t="shared" si="382"/>
        <v>2670054.1158923414</v>
      </c>
      <c r="BB134">
        <f t="shared" si="383"/>
        <v>2973339.3948316276</v>
      </c>
      <c r="BC134">
        <f t="shared" si="384"/>
        <v>3303930.8913759054</v>
      </c>
      <c r="BD134">
        <f t="shared" si="385"/>
        <v>3664287.1143011348</v>
      </c>
      <c r="BE134">
        <f t="shared" si="386"/>
        <v>4057087.9236333384</v>
      </c>
      <c r="BF134">
        <f t="shared" si="387"/>
        <v>4485254.4599555051</v>
      </c>
      <c r="BG134">
        <f t="shared" si="388"/>
        <v>4951970.8680448737</v>
      </c>
      <c r="BH134">
        <f t="shared" si="389"/>
        <v>5460707.9763926947</v>
      </c>
      <c r="BI134">
        <f t="shared" si="390"/>
        <v>6015249.1087039104</v>
      </c>
      <c r="BJ134">
        <f t="shared" si="391"/>
        <v>6619718.219329033</v>
      </c>
    </row>
    <row r="135" spans="1:62" x14ac:dyDescent="0.3">
      <c r="A135">
        <f>0.015/12</f>
        <v>1.25E-3</v>
      </c>
      <c r="B135">
        <v>1.5</v>
      </c>
      <c r="D135">
        <f t="shared" si="337"/>
        <v>20289.15788320002</v>
      </c>
      <c r="E135">
        <f t="shared" si="342"/>
        <v>84024.709015456829</v>
      </c>
      <c r="F135">
        <f t="shared" si="342"/>
        <v>152299.79260168009</v>
      </c>
      <c r="G135">
        <f t="shared" si="342"/>
        <v>225437.73454922499</v>
      </c>
      <c r="H135">
        <f t="shared" si="343"/>
        <v>304317.88045123924</v>
      </c>
      <c r="I135">
        <f t="shared" si="343"/>
        <v>389186.47260464105</v>
      </c>
      <c r="J135">
        <f t="shared" si="343"/>
        <v>480327.84091835783</v>
      </c>
      <c r="K135">
        <f t="shared" si="344"/>
        <v>579365.71638050815</v>
      </c>
      <c r="L135">
        <f t="shared" si="345"/>
        <v>686209.58380881895</v>
      </c>
      <c r="M135">
        <f t="shared" si="346"/>
        <v>801238.21999947412</v>
      </c>
      <c r="N135">
        <f t="shared" si="347"/>
        <v>925078.61872671125</v>
      </c>
      <c r="O135">
        <f t="shared" si="348"/>
        <v>1059697.2906256295</v>
      </c>
      <c r="P135">
        <f t="shared" si="349"/>
        <v>1206241.2107924011</v>
      </c>
      <c r="Q135">
        <f t="shared" si="350"/>
        <v>1364401.0584253408</v>
      </c>
      <c r="R135">
        <f t="shared" si="351"/>
        <v>1535097.5798150196</v>
      </c>
      <c r="S135">
        <f t="shared" si="352"/>
        <v>1719324.5049835322</v>
      </c>
      <c r="T135">
        <f t="shared" si="353"/>
        <v>1918154.332801553</v>
      </c>
      <c r="U135">
        <f t="shared" si="354"/>
        <v>2129224.4461861942</v>
      </c>
      <c r="V135">
        <f t="shared" si="355"/>
        <v>2348974.8610479678</v>
      </c>
      <c r="W135">
        <f t="shared" si="356"/>
        <v>2584967.3877274189</v>
      </c>
      <c r="X135">
        <f t="shared" si="357"/>
        <v>2838402.5072177839</v>
      </c>
      <c r="Y135">
        <f t="shared" si="358"/>
        <v>3110569.4300218201</v>
      </c>
      <c r="Z135">
        <f t="shared" si="359"/>
        <v>3402852.6542946673</v>
      </c>
      <c r="AA135">
        <f t="shared" si="360"/>
        <v>3716739.0087097557</v>
      </c>
      <c r="AB135">
        <f t="shared" si="361"/>
        <v>4053825.2158744247</v>
      </c>
      <c r="AC135">
        <f t="shared" si="362"/>
        <v>4415826.0147699369</v>
      </c>
      <c r="AD135">
        <f t="shared" si="363"/>
        <v>4804582.8835342936</v>
      </c>
      <c r="AE135">
        <f t="shared" si="364"/>
        <v>5222073.4069601484</v>
      </c>
      <c r="AI135">
        <f t="shared" si="340"/>
        <v>20363.108588645755</v>
      </c>
      <c r="AJ135">
        <f t="shared" si="365"/>
        <v>85084.090953850391</v>
      </c>
      <c r="AK135">
        <f t="shared" si="366"/>
        <v>155632.21149817816</v>
      </c>
      <c r="AL135">
        <f t="shared" si="367"/>
        <v>232532.1152149172</v>
      </c>
      <c r="AM135">
        <f t="shared" si="368"/>
        <v>316355.68338393775</v>
      </c>
      <c r="AN135">
        <f t="shared" si="369"/>
        <v>407726.28647946496</v>
      </c>
      <c r="AO135">
        <f t="shared" si="370"/>
        <v>507323.41998738755</v>
      </c>
      <c r="AP135">
        <f t="shared" si="371"/>
        <v>615887.7576072684</v>
      </c>
      <c r="AQ135">
        <f t="shared" si="372"/>
        <v>734226.65941819176</v>
      </c>
      <c r="AR135">
        <f t="shared" si="373"/>
        <v>863220.17597100546</v>
      </c>
      <c r="AS135">
        <f t="shared" si="374"/>
        <v>1003827.5929575734</v>
      </c>
      <c r="AT135">
        <f t="shared" si="375"/>
        <v>1157094.5651277597</v>
      </c>
      <c r="AU135">
        <f t="shared" si="376"/>
        <v>1324160.8925069249</v>
      </c>
      <c r="AV135">
        <f t="shared" si="377"/>
        <v>1506268.9967433028</v>
      </c>
      <c r="AW135">
        <f t="shared" si="378"/>
        <v>1704773.1606212913</v>
      </c>
      <c r="AX135">
        <f t="shared" si="379"/>
        <v>1921149.5994521123</v>
      </c>
      <c r="AY135">
        <f t="shared" si="380"/>
        <v>2157007.4392397217</v>
      </c>
      <c r="AZ135">
        <f t="shared" si="381"/>
        <v>2414100.6832632655</v>
      </c>
      <c r="BA135">
        <f t="shared" si="382"/>
        <v>2694341.2560679251</v>
      </c>
      <c r="BB135">
        <f t="shared" si="383"/>
        <v>2999813.2218683637</v>
      </c>
      <c r="BC135">
        <f t="shared" si="384"/>
        <v>3332788.2831027256</v>
      </c>
      <c r="BD135">
        <f t="shared" si="385"/>
        <v>3695742.674395246</v>
      </c>
      <c r="BE135">
        <f t="shared" si="386"/>
        <v>4091375.5775627345</v>
      </c>
      <c r="BF135">
        <f t="shared" si="387"/>
        <v>4522629.1946117841</v>
      </c>
      <c r="BG135">
        <f t="shared" si="388"/>
        <v>4992710.6280034771</v>
      </c>
      <c r="BH135">
        <f t="shared" si="389"/>
        <v>5505115.7309024855</v>
      </c>
      <c r="BI135">
        <f t="shared" si="390"/>
        <v>6063655.1047776649</v>
      </c>
      <c r="BJ135">
        <f t="shared" si="391"/>
        <v>6672482.4376903949</v>
      </c>
    </row>
    <row r="136" spans="1:62" x14ac:dyDescent="0.3">
      <c r="A136">
        <f>0.0125/12</f>
        <v>1.0416666666666667E-3</v>
      </c>
      <c r="B136">
        <v>1.25</v>
      </c>
      <c r="D136">
        <f t="shared" si="337"/>
        <v>25434.570541028417</v>
      </c>
      <c r="E136">
        <f t="shared" si="342"/>
        <v>89536.601092295692</v>
      </c>
      <c r="F136">
        <f t="shared" si="342"/>
        <v>158204.26640913976</v>
      </c>
      <c r="G136">
        <f t="shared" si="342"/>
        <v>231762.75152288302</v>
      </c>
      <c r="H136">
        <f t="shared" si="343"/>
        <v>311161.41501872858</v>
      </c>
      <c r="I136">
        <f t="shared" si="343"/>
        <v>396535.82398136467</v>
      </c>
      <c r="J136">
        <f t="shared" si="343"/>
        <v>488220.39485023124</v>
      </c>
      <c r="K136">
        <f t="shared" si="344"/>
        <v>587971.25285057595</v>
      </c>
      <c r="L136">
        <f t="shared" si="345"/>
        <v>695474.34694091929</v>
      </c>
      <c r="M136">
        <f t="shared" si="346"/>
        <v>811212.70981687075</v>
      </c>
      <c r="N136">
        <f t="shared" si="347"/>
        <v>935817.203804255</v>
      </c>
      <c r="O136">
        <f t="shared" si="348"/>
        <v>1071486.865247949</v>
      </c>
      <c r="P136">
        <f t="shared" si="349"/>
        <v>1218965.2959936243</v>
      </c>
      <c r="Q136">
        <f t="shared" si="350"/>
        <v>1378133.7289749191</v>
      </c>
      <c r="R136">
        <f t="shared" si="351"/>
        <v>1549918.7820814999</v>
      </c>
      <c r="S136">
        <f t="shared" si="352"/>
        <v>1735320.5223518121</v>
      </c>
      <c r="T136">
        <f t="shared" si="353"/>
        <v>1935418.2879818282</v>
      </c>
      <c r="U136">
        <f t="shared" si="354"/>
        <v>2146944.4238854637</v>
      </c>
      <c r="V136">
        <f t="shared" si="355"/>
        <v>2368004.551219814</v>
      </c>
      <c r="W136">
        <f t="shared" si="356"/>
        <v>2605403.5933582745</v>
      </c>
      <c r="X136">
        <f t="shared" si="357"/>
        <v>2860349.1861608019</v>
      </c>
      <c r="Y136">
        <f t="shared" si="358"/>
        <v>3134138.2238247497</v>
      </c>
      <c r="Z136">
        <f t="shared" si="359"/>
        <v>3428163.4561142633</v>
      </c>
      <c r="AA136">
        <f t="shared" si="360"/>
        <v>3743920.5732016657</v>
      </c>
      <c r="AB136">
        <f t="shared" si="361"/>
        <v>4083015.8141610362</v>
      </c>
      <c r="AC136">
        <f t="shared" si="362"/>
        <v>4447174.1378179658</v>
      </c>
      <c r="AD136">
        <f t="shared" si="363"/>
        <v>4838247.9975201571</v>
      </c>
      <c r="AE136">
        <f t="shared" si="364"/>
        <v>5258226.764465631</v>
      </c>
      <c r="AI136">
        <f t="shared" si="340"/>
        <v>25545.976601569888</v>
      </c>
      <c r="AJ136">
        <f t="shared" si="365"/>
        <v>90733.597249627652</v>
      </c>
      <c r="AK136">
        <f t="shared" si="366"/>
        <v>161790.36974308002</v>
      </c>
      <c r="AL136">
        <f t="shared" si="367"/>
        <v>239244.72176561673</v>
      </c>
      <c r="AM136">
        <f t="shared" si="368"/>
        <v>323672.6578611359</v>
      </c>
      <c r="AN136">
        <f t="shared" si="369"/>
        <v>415702.04300498188</v>
      </c>
      <c r="AO136">
        <f t="shared" si="370"/>
        <v>516017.27184549661</v>
      </c>
      <c r="AP136">
        <f t="shared" si="371"/>
        <v>625364.3583396168</v>
      </c>
      <c r="AQ136">
        <f t="shared" si="372"/>
        <v>744556.48363259691</v>
      </c>
      <c r="AR136">
        <f t="shared" si="373"/>
        <v>874480.04343975638</v>
      </c>
      <c r="AS136">
        <f t="shared" si="374"/>
        <v>1016101.2399027974</v>
      </c>
      <c r="AT136">
        <f t="shared" si="375"/>
        <v>1170473.2669423309</v>
      </c>
      <c r="AU136">
        <f t="shared" si="376"/>
        <v>1338744.1425418998</v>
      </c>
      <c r="AV136">
        <f t="shared" si="377"/>
        <v>1522165.2462098219</v>
      </c>
      <c r="AW136">
        <f t="shared" si="378"/>
        <v>1722100.6251093706</v>
      </c>
      <c r="AX136">
        <f t="shared" si="379"/>
        <v>1940037.1380641619</v>
      </c>
      <c r="AY136">
        <f t="shared" si="380"/>
        <v>2177595.5128766401</v>
      </c>
      <c r="AZ136">
        <f t="shared" si="381"/>
        <v>2436542.3991895937</v>
      </c>
      <c r="BA136">
        <f t="shared" si="382"/>
        <v>2718803.5065241749</v>
      </c>
      <c r="BB136">
        <f t="shared" si="383"/>
        <v>3026477.9251980344</v>
      </c>
      <c r="BC136">
        <f t="shared" si="384"/>
        <v>3361853.7366238963</v>
      </c>
      <c r="BD136">
        <f t="shared" si="385"/>
        <v>3727425.0290776356</v>
      </c>
      <c r="BE136">
        <f t="shared" si="386"/>
        <v>4125910.4454769613</v>
      </c>
      <c r="BF136">
        <f t="shared" si="387"/>
        <v>4560273.4011049345</v>
      </c>
      <c r="BG136">
        <f t="shared" si="388"/>
        <v>5033744.121631382</v>
      </c>
      <c r="BH136">
        <f t="shared" si="389"/>
        <v>5549843.6653222926</v>
      </c>
      <c r="BI136">
        <f t="shared" si="390"/>
        <v>6112410.1080831112</v>
      </c>
      <c r="BJ136">
        <f t="shared" si="391"/>
        <v>6725627.0860661427</v>
      </c>
    </row>
    <row r="137" spans="1:62" x14ac:dyDescent="0.3">
      <c r="A137">
        <f>0.01/12</f>
        <v>8.3333333333333339E-4</v>
      </c>
      <c r="B137">
        <v>1</v>
      </c>
      <c r="D137">
        <f t="shared" si="337"/>
        <v>30609.569321639327</v>
      </c>
      <c r="E137">
        <f t="shared" si="342"/>
        <v>95080.186548576385</v>
      </c>
      <c r="F137">
        <f t="shared" si="342"/>
        <v>164142.6909409923</v>
      </c>
      <c r="G137">
        <f t="shared" si="342"/>
        <v>238124.13734413957</v>
      </c>
      <c r="H137">
        <f t="shared" si="343"/>
        <v>318045.73705224018</v>
      </c>
      <c r="I137">
        <f t="shared" si="343"/>
        <v>403928.97749229358</v>
      </c>
      <c r="J137">
        <f t="shared" si="343"/>
        <v>496159.98840353859</v>
      </c>
      <c r="K137">
        <f t="shared" si="344"/>
        <v>596629.88548066397</v>
      </c>
      <c r="L137">
        <f t="shared" si="345"/>
        <v>704796.27366154478</v>
      </c>
      <c r="M137">
        <f t="shared" si="346"/>
        <v>821248.74223644088</v>
      </c>
      <c r="N137">
        <f t="shared" si="347"/>
        <v>946622.0459517272</v>
      </c>
      <c r="O137">
        <f t="shared" si="348"/>
        <v>1083351.621987635</v>
      </c>
      <c r="P137">
        <f t="shared" si="349"/>
        <v>1231770.5226861755</v>
      </c>
      <c r="Q137">
        <f t="shared" si="350"/>
        <v>1391953.9727645919</v>
      </c>
      <c r="R137">
        <f t="shared" si="351"/>
        <v>1564834.4991548336</v>
      </c>
      <c r="S137">
        <f t="shared" si="352"/>
        <v>1751418.5463228496</v>
      </c>
      <c r="T137">
        <f t="shared" si="353"/>
        <v>1952792.3354042883</v>
      </c>
      <c r="U137">
        <f t="shared" si="354"/>
        <v>2164770.0126518207</v>
      </c>
      <c r="V137">
        <f t="shared" si="355"/>
        <v>2387147.6583450837</v>
      </c>
      <c r="W137">
        <f t="shared" si="356"/>
        <v>2625961.5987746897</v>
      </c>
      <c r="X137">
        <f t="shared" si="357"/>
        <v>2882426.6673103203</v>
      </c>
      <c r="Y137">
        <f t="shared" si="358"/>
        <v>3157847.487638745</v>
      </c>
      <c r="Z137">
        <f t="shared" si="359"/>
        <v>3453625.110312704</v>
      </c>
      <c r="AA137">
        <f t="shared" si="360"/>
        <v>3771264.1398179471</v>
      </c>
      <c r="AB137">
        <f t="shared" si="361"/>
        <v>4112380.3884134358</v>
      </c>
      <c r="AC137">
        <f t="shared" si="362"/>
        <v>4478709.0956793604</v>
      </c>
      <c r="AD137">
        <f t="shared" si="363"/>
        <v>4872113.7555853771</v>
      </c>
      <c r="AE137">
        <f t="shared" si="364"/>
        <v>5294595.5959818456</v>
      </c>
      <c r="AI137">
        <f t="shared" si="340"/>
        <v>30766.213092867205</v>
      </c>
      <c r="AJ137">
        <f t="shared" si="365"/>
        <v>96423.836485797467</v>
      </c>
      <c r="AK137">
        <f t="shared" si="366"/>
        <v>167992.92830892763</v>
      </c>
      <c r="AL137">
        <f t="shared" si="367"/>
        <v>246005.72620954682</v>
      </c>
      <c r="AM137">
        <f t="shared" si="368"/>
        <v>331042.38772431464</v>
      </c>
      <c r="AN137">
        <f t="shared" si="369"/>
        <v>423735.3047350478</v>
      </c>
      <c r="AO137">
        <f t="shared" si="370"/>
        <v>524773.80637550261</v>
      </c>
      <c r="AP137">
        <f t="shared" si="371"/>
        <v>634909.28536324541</v>
      </c>
      <c r="AQ137">
        <f t="shared" si="372"/>
        <v>754960.78587958787</v>
      </c>
      <c r="AR137">
        <f t="shared" si="373"/>
        <v>885821.09455295699</v>
      </c>
      <c r="AS137">
        <f t="shared" si="374"/>
        <v>1028463.3798424965</v>
      </c>
      <c r="AT137">
        <f t="shared" si="375"/>
        <v>1183948.429196985</v>
      </c>
      <c r="AU137">
        <f t="shared" si="376"/>
        <v>1353432.5378096269</v>
      </c>
      <c r="AV137">
        <f t="shared" si="377"/>
        <v>1538176.1076349947</v>
      </c>
      <c r="AW137">
        <f t="shared" si="378"/>
        <v>1739553.0206164091</v>
      </c>
      <c r="AX137">
        <f t="shared" si="379"/>
        <v>1959060.8558296044</v>
      </c>
      <c r="AY137">
        <f t="shared" si="380"/>
        <v>2198332.0265244804</v>
      </c>
      <c r="AZ137">
        <f t="shared" si="381"/>
        <v>2459145.9198877504</v>
      </c>
      <c r="BA137">
        <f t="shared" si="382"/>
        <v>2743442.129806214</v>
      </c>
      <c r="BB137">
        <f t="shared" si="383"/>
        <v>3053334.8810387119</v>
      </c>
      <c r="BC137">
        <f t="shared" si="384"/>
        <v>3391128.7520649545</v>
      </c>
      <c r="BD137">
        <f t="shared" si="385"/>
        <v>3759335.8135372852</v>
      </c>
      <c r="BE137">
        <f t="shared" si="386"/>
        <v>4160694.3097888501</v>
      </c>
      <c r="BF137">
        <f t="shared" si="387"/>
        <v>4598189.0223269006</v>
      </c>
      <c r="BG137">
        <f t="shared" si="388"/>
        <v>5075073.4667483438</v>
      </c>
      <c r="BH137">
        <f t="shared" si="389"/>
        <v>5594894.0881492663</v>
      </c>
      <c r="BI137">
        <f t="shared" si="390"/>
        <v>6161516.6349623902</v>
      </c>
      <c r="BJ137">
        <f t="shared" si="391"/>
        <v>6779154.9073566794</v>
      </c>
    </row>
    <row r="138" spans="1:62" x14ac:dyDescent="0.3">
      <c r="D138">
        <f t="shared" si="337"/>
        <v>35814.324345238747</v>
      </c>
      <c r="E138">
        <f t="shared" si="342"/>
        <v>100655.64762123069</v>
      </c>
      <c r="F138">
        <f t="shared" si="342"/>
        <v>170115.261413903</v>
      </c>
      <c r="G138">
        <f t="shared" si="342"/>
        <v>244522.10113386836</v>
      </c>
      <c r="H138">
        <f t="shared" ref="H138:I143" si="392">(H137+5000)*1.00721-(0.00125*(H137+5000))</f>
        <v>324971.08964507148</v>
      </c>
      <c r="I138">
        <f t="shared" si="392"/>
        <v>411366.19419814757</v>
      </c>
      <c r="J138">
        <f t="shared" ref="J138:J143" si="393">(J137+5000)*1.00721-(0.00104*(J137+5000))</f>
        <v>504252.14553198841</v>
      </c>
      <c r="K138">
        <f t="shared" si="344"/>
        <v>605341.94187407964</v>
      </c>
      <c r="L138">
        <f t="shared" si="345"/>
        <v>714175.71667003643</v>
      </c>
      <c r="M138">
        <f t="shared" si="346"/>
        <v>831346.69697603968</v>
      </c>
      <c r="N138">
        <f t="shared" si="347"/>
        <v>957493.55397524929</v>
      </c>
      <c r="O138">
        <f t="shared" si="348"/>
        <v>1095292.0402810501</v>
      </c>
      <c r="P138">
        <f t="shared" si="349"/>
        <v>1244657.4083093451</v>
      </c>
      <c r="Q138">
        <f t="shared" si="350"/>
        <v>1405862.3482489118</v>
      </c>
      <c r="R138">
        <f t="shared" si="351"/>
        <v>1579845.3337559439</v>
      </c>
      <c r="S138">
        <f t="shared" si="352"/>
        <v>1767619.2273927501</v>
      </c>
      <c r="T138">
        <f t="shared" si="353"/>
        <v>1970277.1771271613</v>
      </c>
      <c r="U138">
        <f t="shared" si="354"/>
        <v>2182701.8419272252</v>
      </c>
      <c r="V138">
        <f t="shared" si="355"/>
        <v>2406404.8583888202</v>
      </c>
      <c r="W138">
        <f t="shared" si="356"/>
        <v>2646642.1299033863</v>
      </c>
      <c r="X138">
        <f t="shared" si="357"/>
        <v>2904635.7302474896</v>
      </c>
      <c r="Y138">
        <f t="shared" si="358"/>
        <v>3181698.0586650716</v>
      </c>
      <c r="Z138">
        <f t="shared" si="359"/>
        <v>3479238.5159701677</v>
      </c>
      <c r="AA138">
        <f t="shared" si="360"/>
        <v>3798770.6740912618</v>
      </c>
      <c r="AB138">
        <f t="shared" si="361"/>
        <v>4141919.9755283799</v>
      </c>
      <c r="AC138">
        <f t="shared" si="362"/>
        <v>4510432.0018896097</v>
      </c>
      <c r="AD138">
        <f t="shared" si="363"/>
        <v>4906181.3535686657</v>
      </c>
      <c r="AE138">
        <f t="shared" si="364"/>
        <v>5331181.1857338967</v>
      </c>
      <c r="AI138">
        <f t="shared" si="340"/>
        <v>36024.087489266778</v>
      </c>
      <c r="AJ138">
        <f t="shared" si="365"/>
        <v>102155.10234686006</v>
      </c>
      <c r="AK138">
        <f t="shared" si="366"/>
        <v>174240.20732203498</v>
      </c>
      <c r="AL138">
        <f t="shared" si="367"/>
        <v>252815.47749551764</v>
      </c>
      <c r="AM138">
        <f t="shared" si="368"/>
        <v>338465.25333980692</v>
      </c>
      <c r="AN138">
        <f t="shared" si="369"/>
        <v>431826.48628218746</v>
      </c>
      <c r="AO138">
        <f t="shared" si="370"/>
        <v>533593.47551946994</v>
      </c>
      <c r="AP138">
        <f t="shared" si="371"/>
        <v>644523.03131071432</v>
      </c>
      <c r="AQ138">
        <f t="shared" si="372"/>
        <v>765440.10314577969</v>
      </c>
      <c r="AR138">
        <f t="shared" si="373"/>
        <v>897243.91464468371</v>
      </c>
      <c r="AS138">
        <f t="shared" si="374"/>
        <v>1040914.6508111608</v>
      </c>
      <c r="AT138">
        <f t="shared" si="375"/>
        <v>1197520.7473714952</v>
      </c>
      <c r="AU138">
        <f t="shared" si="376"/>
        <v>1368226.8364072342</v>
      </c>
      <c r="AV138">
        <f t="shared" si="377"/>
        <v>1554302.407371043</v>
      </c>
      <c r="AW138">
        <f t="shared" si="378"/>
        <v>1757131.2478950534</v>
      </c>
      <c r="AX138">
        <f t="shared" si="379"/>
        <v>1978221.7346001358</v>
      </c>
      <c r="AY138">
        <f t="shared" si="380"/>
        <v>2219218.0504357219</v>
      </c>
      <c r="AZ138">
        <f t="shared" si="381"/>
        <v>2481912.4119701409</v>
      </c>
      <c r="BA138">
        <f t="shared" si="382"/>
        <v>2768258.3975621169</v>
      </c>
      <c r="BB138">
        <f t="shared" si="383"/>
        <v>3080385.4755310006</v>
      </c>
      <c r="BC138">
        <f t="shared" si="384"/>
        <v>3420614.8403673428</v>
      </c>
      <c r="BD138">
        <f t="shared" si="385"/>
        <v>3791476.6747528887</v>
      </c>
      <c r="BE138">
        <f t="shared" si="386"/>
        <v>4195728.9657624271</v>
      </c>
      <c r="BF138">
        <f t="shared" si="387"/>
        <v>4636378.0151778776</v>
      </c>
      <c r="BG138">
        <f t="shared" si="388"/>
        <v>5116700.7964435993</v>
      </c>
      <c r="BH138">
        <f t="shared" si="389"/>
        <v>5640269.3245248226</v>
      </c>
      <c r="BI138">
        <f t="shared" si="390"/>
        <v>6210977.2199004684</v>
      </c>
      <c r="BJ138">
        <f t="shared" si="391"/>
        <v>6833068.6642387211</v>
      </c>
    </row>
    <row r="139" spans="1:62" x14ac:dyDescent="0.3">
      <c r="D139">
        <f t="shared" si="337"/>
        <v>41049.006710223861</v>
      </c>
      <c r="E139">
        <f t="shared" ref="E139:F143" si="394">(E138+5000)*1.00721-(0.00146*(E138+5000))</f>
        <v>106263.16759505276</v>
      </c>
      <c r="F139">
        <f t="shared" si="394"/>
        <v>176122.17416703294</v>
      </c>
      <c r="G139">
        <f>(G138+5000)*1.00721-(0.00125*(G138+5000))</f>
        <v>251009.2528566262</v>
      </c>
      <c r="H139">
        <f t="shared" si="392"/>
        <v>331937.71733935608</v>
      </c>
      <c r="I139">
        <f t="shared" si="392"/>
        <v>418847.73671556852</v>
      </c>
      <c r="J139">
        <f t="shared" si="393"/>
        <v>512394.23126992077</v>
      </c>
      <c r="K139">
        <f t="shared" si="344"/>
        <v>614107.75165544264</v>
      </c>
      <c r="L139">
        <f t="shared" si="345"/>
        <v>723613.03084189061</v>
      </c>
      <c r="M139">
        <f t="shared" si="346"/>
        <v>841506.95609638176</v>
      </c>
      <c r="N139">
        <f t="shared" si="347"/>
        <v>968432.13920327649</v>
      </c>
      <c r="O139">
        <f t="shared" si="348"/>
        <v>1107308.6026219223</v>
      </c>
      <c r="P139">
        <f t="shared" si="349"/>
        <v>1257626.4736021336</v>
      </c>
      <c r="Q139">
        <f t="shared" si="350"/>
        <v>1419859.417443695</v>
      </c>
      <c r="R139">
        <f t="shared" si="351"/>
        <v>1594951.8924493054</v>
      </c>
      <c r="S139">
        <f t="shared" si="352"/>
        <v>1783923.2202058337</v>
      </c>
      <c r="T139">
        <f t="shared" si="353"/>
        <v>1987873.519685701</v>
      </c>
      <c r="U139">
        <f t="shared" si="354"/>
        <v>2200740.5449051112</v>
      </c>
      <c r="V139">
        <f t="shared" si="355"/>
        <v>2425776.8313448173</v>
      </c>
      <c r="W139">
        <f t="shared" si="356"/>
        <v>2667445.9169976106</v>
      </c>
      <c r="X139">
        <f t="shared" si="357"/>
        <v>2926977.1591997645</v>
      </c>
      <c r="Y139">
        <f t="shared" si="358"/>
        <v>3205690.7790947151</v>
      </c>
      <c r="Z139">
        <f t="shared" si="359"/>
        <v>3505004.5775253498</v>
      </c>
      <c r="AA139">
        <f t="shared" si="360"/>
        <v>3826441.1473088455</v>
      </c>
      <c r="AB139">
        <f t="shared" si="361"/>
        <v>4171635.6185825286</v>
      </c>
      <c r="AC139">
        <f t="shared" si="362"/>
        <v>4542343.9766208716</v>
      </c>
      <c r="AD139">
        <f t="shared" si="363"/>
        <v>4940451.9944359343</v>
      </c>
      <c r="AE139">
        <f t="shared" si="364"/>
        <v>5367984.8256008709</v>
      </c>
      <c r="AI139">
        <f t="shared" si="340"/>
        <v>41319.871160064387</v>
      </c>
      <c r="AJ139">
        <f t="shared" si="365"/>
        <v>107927.69063478091</v>
      </c>
      <c r="AK139">
        <f t="shared" si="366"/>
        <v>180532.52921682684</v>
      </c>
      <c r="AL139">
        <f t="shared" si="367"/>
        <v>259674.3270882603</v>
      </c>
      <c r="AM139">
        <f t="shared" si="368"/>
        <v>345941.63781638688</v>
      </c>
      <c r="AN139">
        <f t="shared" si="369"/>
        <v>439976.00524828199</v>
      </c>
      <c r="AO139">
        <f t="shared" si="370"/>
        <v>542476.73447796528</v>
      </c>
      <c r="AP139">
        <f t="shared" si="371"/>
        <v>654206.09236646455</v>
      </c>
      <c r="AQ139">
        <f t="shared" si="372"/>
        <v>775994.97628946067</v>
      </c>
      <c r="AR139">
        <f t="shared" si="373"/>
        <v>908749.09326927178</v>
      </c>
      <c r="AS139">
        <f t="shared" si="374"/>
        <v>1053455.6954435091</v>
      </c>
      <c r="AT139">
        <f t="shared" si="375"/>
        <v>1211190.9219600437</v>
      </c>
      <c r="AU139">
        <f t="shared" si="376"/>
        <v>1383127.8018977302</v>
      </c>
      <c r="AV139">
        <f t="shared" si="377"/>
        <v>1570544.977728188</v>
      </c>
      <c r="AW139">
        <f t="shared" si="378"/>
        <v>1774836.2141923765</v>
      </c>
      <c r="AX139">
        <f t="shared" si="379"/>
        <v>1997520.7633066026</v>
      </c>
      <c r="AY139">
        <f t="shared" si="380"/>
        <v>2240254.6625793632</v>
      </c>
      <c r="AZ139">
        <f t="shared" si="381"/>
        <v>2504843.0504604452</v>
      </c>
      <c r="BA139">
        <f t="shared" si="382"/>
        <v>2793253.5906085395</v>
      </c>
      <c r="BB139">
        <f t="shared" si="383"/>
        <v>3107631.104809579</v>
      </c>
      <c r="BC139">
        <f t="shared" si="384"/>
        <v>3450313.5233663912</v>
      </c>
      <c r="BD139">
        <f t="shared" si="385"/>
        <v>3823849.271577857</v>
      </c>
      <c r="BE139">
        <f t="shared" si="386"/>
        <v>4231016.2216055738</v>
      </c>
      <c r="BF139">
        <f t="shared" si="387"/>
        <v>4674842.3506673099</v>
      </c>
      <c r="BG139">
        <f t="shared" si="388"/>
        <v>5158628.2591859577</v>
      </c>
      <c r="BH139">
        <f t="shared" si="389"/>
        <v>5685971.7163546467</v>
      </c>
      <c r="BI139">
        <f t="shared" si="390"/>
        <v>6260794.4156559501</v>
      </c>
      <c r="BJ139">
        <f t="shared" si="391"/>
        <v>6887371.1393078817</v>
      </c>
    </row>
    <row r="140" spans="1:62" x14ac:dyDescent="0.3">
      <c r="D140">
        <f t="shared" si="337"/>
        <v>46313.788498807648</v>
      </c>
      <c r="E140">
        <f t="shared" si="394"/>
        <v>111902.9308087243</v>
      </c>
      <c r="F140">
        <f t="shared" si="394"/>
        <v>182163.62666849335</v>
      </c>
      <c r="G140">
        <f>(G139+5000)*1.00721-(0.00125*(G139+5000))</f>
        <v>257535.06800365169</v>
      </c>
      <c r="H140">
        <f t="shared" si="392"/>
        <v>338945.86613469862</v>
      </c>
      <c r="I140">
        <f t="shared" si="392"/>
        <v>426373.86922639329</v>
      </c>
      <c r="J140">
        <f t="shared" si="393"/>
        <v>520586.55367685616</v>
      </c>
      <c r="K140">
        <f t="shared" si="344"/>
        <v>622927.64648315671</v>
      </c>
      <c r="L140">
        <f t="shared" si="345"/>
        <v>733108.57324218506</v>
      </c>
      <c r="M140">
        <f t="shared" si="346"/>
        <v>851729.90401549637</v>
      </c>
      <c r="N140">
        <f t="shared" si="347"/>
        <v>979438.2155021606</v>
      </c>
      <c r="O140">
        <f t="shared" si="348"/>
        <v>1119401.7945808421</v>
      </c>
      <c r="P140">
        <f t="shared" si="349"/>
        <v>1270678.2426242942</v>
      </c>
      <c r="Q140">
        <f t="shared" si="350"/>
        <v>1433945.7459487333</v>
      </c>
      <c r="R140">
        <f t="shared" si="351"/>
        <v>1610154.7856674546</v>
      </c>
      <c r="S140">
        <f t="shared" si="352"/>
        <v>1800331.1835810861</v>
      </c>
      <c r="T140">
        <f t="shared" si="353"/>
        <v>2005582.0741207367</v>
      </c>
      <c r="U140">
        <f t="shared" si="354"/>
        <v>2218886.7585527455</v>
      </c>
      <c r="V140">
        <f t="shared" si="355"/>
        <v>2445264.2612596322</v>
      </c>
      <c r="W140">
        <f t="shared" si="356"/>
        <v>2688373.694662916</v>
      </c>
      <c r="X140">
        <f t="shared" si="357"/>
        <v>2949451.743068595</v>
      </c>
      <c r="Y140">
        <f t="shared" si="358"/>
        <v>3229826.4961381196</v>
      </c>
      <c r="Z140">
        <f t="shared" si="359"/>
        <v>3530924.2048074007</v>
      </c>
      <c r="AA140">
        <f t="shared" si="360"/>
        <v>3854276.5365468059</v>
      </c>
      <c r="AB140">
        <f t="shared" si="361"/>
        <v>4201528.3668692801</v>
      </c>
      <c r="AC140">
        <f t="shared" si="362"/>
        <v>4574446.1467215316</v>
      </c>
      <c r="AD140">
        <f t="shared" si="363"/>
        <v>4974926.8883227715</v>
      </c>
      <c r="AE140">
        <f t="shared" si="364"/>
        <v>5405007.8151614517</v>
      </c>
      <c r="AI140">
        <f t="shared" si="340"/>
        <v>46653.83743112845</v>
      </c>
      <c r="AJ140">
        <f t="shared" si="365"/>
        <v>113741.89928425767</v>
      </c>
      <c r="AK140">
        <f t="shared" si="366"/>
        <v>186870.21875248014</v>
      </c>
      <c r="AL140">
        <f t="shared" si="367"/>
        <v>266582.62898656668</v>
      </c>
      <c r="AM140">
        <f t="shared" si="368"/>
        <v>353471.927025043</v>
      </c>
      <c r="AN140">
        <f t="shared" si="369"/>
        <v>448184.28224612208</v>
      </c>
      <c r="AO140">
        <f t="shared" si="370"/>
        <v>551424.04173355142</v>
      </c>
      <c r="AP140">
        <f t="shared" si="371"/>
        <v>663958.96829242667</v>
      </c>
      <c r="AQ140">
        <f t="shared" si="372"/>
        <v>786625.95006850758</v>
      </c>
      <c r="AR140">
        <f t="shared" si="373"/>
        <v>920337.22423174314</v>
      </c>
      <c r="AS140">
        <f t="shared" si="374"/>
        <v>1066087.1610076567</v>
      </c>
      <c r="AT140">
        <f t="shared" si="375"/>
        <v>1224959.6585073755</v>
      </c>
      <c r="AU140">
        <f t="shared" si="376"/>
        <v>1398136.2033494127</v>
      </c>
      <c r="AV140">
        <f t="shared" si="377"/>
        <v>1586904.6570176082</v>
      </c>
      <c r="AW140">
        <f t="shared" si="378"/>
        <v>1792668.8332967034</v>
      </c>
      <c r="AX140">
        <f t="shared" si="379"/>
        <v>2016958.938010043</v>
      </c>
      <c r="AY140">
        <f t="shared" si="380"/>
        <v>2261442.9486965602</v>
      </c>
      <c r="AZ140">
        <f t="shared" si="381"/>
        <v>2527939.0188542651</v>
      </c>
      <c r="BA140">
        <f t="shared" si="382"/>
        <v>2818428.9989968268</v>
      </c>
      <c r="BB140">
        <f t="shared" si="383"/>
        <v>3135073.1750752558</v>
      </c>
      <c r="BC140">
        <f t="shared" si="384"/>
        <v>3480226.3338698628</v>
      </c>
      <c r="BD140">
        <f t="shared" si="385"/>
        <v>3856455.2748259329</v>
      </c>
      <c r="BE140">
        <f t="shared" si="386"/>
        <v>4266557.8985633496</v>
      </c>
      <c r="BF140">
        <f t="shared" si="387"/>
        <v>4713584.0140156206</v>
      </c>
      <c r="BG140">
        <f t="shared" si="388"/>
        <v>5200858.0189346885</v>
      </c>
      <c r="BH140">
        <f t="shared" si="389"/>
        <v>5732003.6224295637</v>
      </c>
      <c r="BI140">
        <f t="shared" si="390"/>
        <v>6310970.7933928287</v>
      </c>
      <c r="BJ140">
        <f t="shared" si="391"/>
        <v>6942065.1352222916</v>
      </c>
    </row>
    <row r="141" spans="1:62" x14ac:dyDescent="0.3">
      <c r="D141">
        <f t="shared" si="337"/>
        <v>51608.842782675791</v>
      </c>
      <c r="E141">
        <f t="shared" si="394"/>
        <v>117575.12266087446</v>
      </c>
      <c r="F141">
        <f t="shared" si="394"/>
        <v>188239.81752183716</v>
      </c>
      <c r="G141">
        <f>(G140+5000)*1.00721-(0.00125*(G140+5000))</f>
        <v>264099.77700895345</v>
      </c>
      <c r="H141">
        <f t="shared" si="392"/>
        <v>345995.7834968614</v>
      </c>
      <c r="I141">
        <f t="shared" si="392"/>
        <v>433944.85748698254</v>
      </c>
      <c r="J141">
        <f t="shared" si="393"/>
        <v>528829.42271304235</v>
      </c>
      <c r="K141">
        <f t="shared" si="344"/>
        <v>631801.96006195771</v>
      </c>
      <c r="L141">
        <f t="shared" si="345"/>
        <v>742662.70313908928</v>
      </c>
      <c r="M141">
        <f t="shared" si="346"/>
        <v>862015.92752327188</v>
      </c>
      <c r="N141">
        <f t="shared" si="347"/>
        <v>990512.19929180888</v>
      </c>
      <c r="O141">
        <f t="shared" si="348"/>
        <v>1131572.1048248841</v>
      </c>
      <c r="P141">
        <f t="shared" si="349"/>
        <v>1283813.2427775091</v>
      </c>
      <c r="Q141">
        <f t="shared" si="350"/>
        <v>1448121.9029706484</v>
      </c>
      <c r="R141">
        <f t="shared" si="351"/>
        <v>1625454.6277356558</v>
      </c>
      <c r="S141">
        <f t="shared" si="352"/>
        <v>1816843.7805387827</v>
      </c>
      <c r="T141">
        <f t="shared" si="353"/>
        <v>2023403.5560074046</v>
      </c>
      <c r="U141">
        <f t="shared" si="354"/>
        <v>2237141.1236337195</v>
      </c>
      <c r="V141">
        <f t="shared" si="355"/>
        <v>2464867.8362567397</v>
      </c>
      <c r="W141">
        <f t="shared" si="356"/>
        <v>2709426.201883107</v>
      </c>
      <c r="X141">
        <f t="shared" si="357"/>
        <v>2972060.2754572835</v>
      </c>
      <c r="Y141">
        <f t="shared" si="358"/>
        <v>3254106.0620551025</v>
      </c>
      <c r="Z141">
        <f t="shared" si="359"/>
        <v>3556998.3130680528</v>
      </c>
      <c r="AA141">
        <f t="shared" si="360"/>
        <v>3882277.8247046247</v>
      </c>
      <c r="AB141">
        <f t="shared" si="361"/>
        <v>4231599.2759358212</v>
      </c>
      <c r="AC141">
        <f t="shared" si="362"/>
        <v>4606739.6457559923</v>
      </c>
      <c r="AD141">
        <f t="shared" si="363"/>
        <v>5009607.2525771745</v>
      </c>
      <c r="AE141">
        <f t="shared" si="364"/>
        <v>5442251.4617398139</v>
      </c>
      <c r="AI141">
        <f t="shared" si="340"/>
        <v>52026.261599006881</v>
      </c>
      <c r="AJ141">
        <f t="shared" si="365"/>
        <v>119598.02837809717</v>
      </c>
      <c r="AK141">
        <f t="shared" si="366"/>
        <v>193253.6030296855</v>
      </c>
      <c r="AL141">
        <f t="shared" si="367"/>
        <v>273540.73974155978</v>
      </c>
      <c r="AM141">
        <f t="shared" si="368"/>
        <v>361056.50961889356</v>
      </c>
      <c r="AN141">
        <f t="shared" si="369"/>
        <v>456451.74092111661</v>
      </c>
      <c r="AO141">
        <f t="shared" si="370"/>
        <v>560435.85907445033</v>
      </c>
      <c r="AP141">
        <f t="shared" si="371"/>
        <v>673782.16245381499</v>
      </c>
      <c r="AQ141">
        <f t="shared" si="372"/>
        <v>797333.57316850149</v>
      </c>
      <c r="AR141">
        <f t="shared" si="373"/>
        <v>932008.90561845398</v>
      </c>
      <c r="AS141">
        <f t="shared" si="374"/>
        <v>1078809.6994385219</v>
      </c>
      <c r="AT141">
        <f t="shared" si="375"/>
        <v>1238827.6676452137</v>
      </c>
      <c r="AU141">
        <f t="shared" si="376"/>
        <v>1413252.8153755618</v>
      </c>
      <c r="AV141">
        <f t="shared" si="377"/>
        <v>1603382.289594705</v>
      </c>
      <c r="AW141">
        <f t="shared" si="378"/>
        <v>1810630.0255847725</v>
      </c>
      <c r="AX141">
        <f t="shared" si="379"/>
        <v>2036537.2619530952</v>
      </c>
      <c r="AY141">
        <f t="shared" si="380"/>
        <v>2282784.0023566624</v>
      </c>
      <c r="AZ141">
        <f t="shared" si="381"/>
        <v>2551201.509180204</v>
      </c>
      <c r="BA141">
        <f t="shared" si="382"/>
        <v>2843785.9220795939</v>
      </c>
      <c r="BB141">
        <f t="shared" si="383"/>
        <v>3162713.1026675482</v>
      </c>
      <c r="BC141">
        <f t="shared" si="384"/>
        <v>3510354.8157370645</v>
      </c>
      <c r="BD141">
        <f t="shared" si="385"/>
        <v>3889296.3673574277</v>
      </c>
      <c r="BE141">
        <f t="shared" si="386"/>
        <v>4302355.831011991</v>
      </c>
      <c r="BF141">
        <f t="shared" si="387"/>
        <v>4752605.0047566732</v>
      </c>
      <c r="BG141">
        <f t="shared" si="388"/>
        <v>5243392.2552512074</v>
      </c>
      <c r="BH141">
        <f t="shared" si="389"/>
        <v>5778367.4185472801</v>
      </c>
      <c r="BI141">
        <f t="shared" si="390"/>
        <v>6361508.9428131906</v>
      </c>
      <c r="BJ141">
        <f t="shared" si="391"/>
        <v>6997153.4748472441</v>
      </c>
    </row>
    <row r="142" spans="1:62" x14ac:dyDescent="0.3">
      <c r="D142">
        <f t="shared" si="337"/>
        <v>56934.343628676179</v>
      </c>
      <c r="E142">
        <f t="shared" si="394"/>
        <v>123279.92961617449</v>
      </c>
      <c r="F142">
        <f t="shared" si="394"/>
        <v>194350.94647258773</v>
      </c>
      <c r="G142">
        <f>(G141+5000)*1.00721-(0.00125*(G141+5000))</f>
        <v>270703.61167992681</v>
      </c>
      <c r="H142">
        <f t="shared" si="392"/>
        <v>353087.71836650267</v>
      </c>
      <c r="I142">
        <f t="shared" si="392"/>
        <v>441560.96883760492</v>
      </c>
      <c r="J142">
        <f t="shared" si="393"/>
        <v>537123.1502511818</v>
      </c>
      <c r="K142">
        <f t="shared" ref="K142:M143" si="395">(K141+5000)*1.00721-(0.00104*(K141+5000))</f>
        <v>640731.02815554</v>
      </c>
      <c r="L142">
        <f t="shared" si="395"/>
        <v>752275.78201745742</v>
      </c>
      <c r="M142">
        <f t="shared" si="395"/>
        <v>872365.41579609038</v>
      </c>
      <c r="N142">
        <f>(N141+5000)*1.00721-(0.000833*(N141+5000))</f>
        <v>1001860.5805866927</v>
      </c>
      <c r="O142">
        <f t="shared" si="348"/>
        <v>1143820.0251373523</v>
      </c>
      <c r="P142">
        <f t="shared" si="349"/>
        <v>1297032.0048267012</v>
      </c>
      <c r="Q142">
        <f t="shared" si="350"/>
        <v>1462388.4613458922</v>
      </c>
      <c r="R142">
        <f t="shared" si="351"/>
        <v>1640852.0368967259</v>
      </c>
      <c r="S142">
        <f t="shared" si="352"/>
        <v>1833461.6783272782</v>
      </c>
      <c r="T142">
        <f t="shared" si="353"/>
        <v>2041338.6854840638</v>
      </c>
      <c r="U142">
        <f t="shared" si="354"/>
        <v>2255504.284730576</v>
      </c>
      <c r="V142">
        <f t="shared" si="355"/>
        <v>2484588.2485608296</v>
      </c>
      <c r="W142">
        <f t="shared" si="356"/>
        <v>2730604.1820463301</v>
      </c>
      <c r="X142">
        <f t="shared" si="357"/>
        <v>2994803.5546990084</v>
      </c>
      <c r="Y142">
        <f t="shared" si="358"/>
        <v>3278530.3341849507</v>
      </c>
      <c r="Z142">
        <f t="shared" si="359"/>
        <v>3583227.823013938</v>
      </c>
      <c r="AA142">
        <f t="shared" si="360"/>
        <v>3910446.0005398639</v>
      </c>
      <c r="AB142">
        <f t="shared" si="361"/>
        <v>4261849.4076203983</v>
      </c>
      <c r="AC142">
        <f t="shared" si="362"/>
        <v>4639225.614044698</v>
      </c>
      <c r="AD142">
        <f t="shared" si="363"/>
        <v>5044494.3118025344</v>
      </c>
      <c r="AE142">
        <f t="shared" si="364"/>
        <v>5479717.0804517828</v>
      </c>
      <c r="AI142">
        <f t="shared" si="340"/>
        <v>57437.420945135716</v>
      </c>
      <c r="AJ142">
        <f t="shared" si="365"/>
        <v>125496.38016270324</v>
      </c>
      <c r="AK142">
        <f t="shared" si="366"/>
        <v>199683.01150752953</v>
      </c>
      <c r="AL142">
        <f t="shared" si="367"/>
        <v>280549.01847509638</v>
      </c>
      <c r="AM142">
        <f t="shared" si="368"/>
        <v>368695.77705324575</v>
      </c>
      <c r="AN142">
        <f t="shared" si="369"/>
        <v>464778.80797315785</v>
      </c>
      <c r="AO142">
        <f t="shared" si="370"/>
        <v>569512.65161837707</v>
      </c>
      <c r="AP142">
        <f t="shared" si="371"/>
        <v>683676.181845107</v>
      </c>
      <c r="AQ142">
        <f t="shared" si="372"/>
        <v>808118.39823104639</v>
      </c>
      <c r="AR142">
        <f t="shared" si="373"/>
        <v>943764.73982796294</v>
      </c>
      <c r="AS142">
        <f t="shared" si="374"/>
        <v>1091623.9673714736</v>
      </c>
      <c r="AT142">
        <f t="shared" si="375"/>
        <v>1252795.6651289356</v>
      </c>
      <c r="AU142">
        <f t="shared" si="376"/>
        <v>1428478.4181744196</v>
      </c>
      <c r="AV142">
        <f t="shared" si="377"/>
        <v>1619978.7259026826</v>
      </c>
      <c r="AW142">
        <f t="shared" si="378"/>
        <v>1828720.7180692386</v>
      </c>
      <c r="AX142">
        <f t="shared" si="379"/>
        <v>2056256.7456117768</v>
      </c>
      <c r="AY142">
        <f t="shared" si="380"/>
        <v>2304278.9250136539</v>
      </c>
      <c r="AZ142">
        <f t="shared" si="381"/>
        <v>2574631.7220613933</v>
      </c>
      <c r="BA142">
        <f t="shared" si="382"/>
        <v>2869325.6685777875</v>
      </c>
      <c r="BB142">
        <f t="shared" si="383"/>
        <v>3190552.314137781</v>
      </c>
      <c r="BC142">
        <f t="shared" si="384"/>
        <v>3540700.5239585284</v>
      </c>
      <c r="BD142">
        <f t="shared" si="385"/>
        <v>3922374.2441660743</v>
      </c>
      <c r="BE142">
        <f t="shared" si="386"/>
        <v>4338411.8665535869</v>
      </c>
      <c r="BF142">
        <f t="shared" si="387"/>
        <v>4791907.3368409686</v>
      </c>
      <c r="BG142">
        <f t="shared" si="388"/>
        <v>5286233.1634115679</v>
      </c>
      <c r="BH142">
        <f t="shared" si="389"/>
        <v>5825065.497635006</v>
      </c>
      <c r="BI142">
        <f t="shared" si="390"/>
        <v>6412411.4722908735</v>
      </c>
      <c r="BJ142">
        <f t="shared" si="391"/>
        <v>7052639.0014008926</v>
      </c>
    </row>
    <row r="143" spans="1:62" x14ac:dyDescent="0.3">
      <c r="D143">
        <f t="shared" si="337"/>
        <v>62290.466104541061</v>
      </c>
      <c r="E143">
        <f t="shared" si="394"/>
        <v>129017.53921146749</v>
      </c>
      <c r="F143">
        <f t="shared" si="394"/>
        <v>200497.21441480512</v>
      </c>
      <c r="G143">
        <f>(G142+5000)*1.00721-(0.00125*(G142+5000))</f>
        <v>277346.80520553916</v>
      </c>
      <c r="H143">
        <f t="shared" si="392"/>
        <v>360221.92116796703</v>
      </c>
      <c r="I143">
        <f t="shared" si="392"/>
        <v>449222.472211877</v>
      </c>
      <c r="J143">
        <f t="shared" si="393"/>
        <v>545468.05008823157</v>
      </c>
      <c r="K143">
        <f t="shared" si="395"/>
        <v>649715.18859925971</v>
      </c>
      <c r="L143">
        <f t="shared" si="395"/>
        <v>761948.17359250505</v>
      </c>
      <c r="M143">
        <f t="shared" si="395"/>
        <v>882778.76041155227</v>
      </c>
      <c r="N143">
        <f>(N142+5000)*1.00721-(0.000833*(N142+5000))</f>
        <v>1013281.3305090939</v>
      </c>
      <c r="O143">
        <f t="shared" si="348"/>
        <v>1156146.0504376532</v>
      </c>
      <c r="P143">
        <f t="shared" si="349"/>
        <v>1310335.0629214812</v>
      </c>
      <c r="Q143">
        <f t="shared" si="350"/>
        <v>1476745.9975638948</v>
      </c>
      <c r="R143">
        <f t="shared" si="351"/>
        <v>1656347.6353360161</v>
      </c>
      <c r="S143">
        <f t="shared" si="352"/>
        <v>1850185.5484499712</v>
      </c>
      <c r="T143">
        <f t="shared" si="353"/>
        <v>2059388.1872813955</v>
      </c>
      <c r="U143">
        <f t="shared" si="354"/>
        <v>2273976.89026757</v>
      </c>
      <c r="V143">
        <f t="shared" si="355"/>
        <v>2504426.1945222518</v>
      </c>
      <c r="W143" s="3">
        <f t="shared" si="356"/>
        <v>2751908.3829713259</v>
      </c>
      <c r="X143">
        <f t="shared" si="357"/>
        <v>3017682.3838850143</v>
      </c>
      <c r="Y143">
        <f t="shared" si="358"/>
        <v>3303100.1749766925</v>
      </c>
      <c r="Z143">
        <f t="shared" si="359"/>
        <v>3609613.6608391008</v>
      </c>
      <c r="AA143">
        <f t="shared" si="360"/>
        <v>3938782.0587030812</v>
      </c>
      <c r="AB143" s="3">
        <f t="shared" si="361"/>
        <v>4292279.830089815</v>
      </c>
      <c r="AC143">
        <f t="shared" si="362"/>
        <v>4671905.1987044038</v>
      </c>
      <c r="AD143">
        <f t="shared" si="363"/>
        <v>5079589.297900877</v>
      </c>
      <c r="AE143">
        <f t="shared" si="364"/>
        <v>5517405.9942512754</v>
      </c>
      <c r="AI143">
        <f t="shared" si="340"/>
        <v>62887.594750150143</v>
      </c>
      <c r="AJ143">
        <f t="shared" si="365"/>
        <v>131437.25906367632</v>
      </c>
      <c r="AK143">
        <f t="shared" si="366"/>
        <v>206158.7760204988</v>
      </c>
      <c r="AL143">
        <f t="shared" si="367"/>
        <v>287607.82689830184</v>
      </c>
      <c r="AM143">
        <f t="shared" si="368"/>
        <v>376390.12360579963</v>
      </c>
      <c r="AN143">
        <f t="shared" si="369"/>
        <v>473165.91317864426</v>
      </c>
      <c r="AO143">
        <f t="shared" si="370"/>
        <v>578654.88783654559</v>
      </c>
      <c r="AP143">
        <f t="shared" si="371"/>
        <v>693641.53711621021</v>
      </c>
      <c r="AQ143">
        <f t="shared" si="372"/>
        <v>818980.9818822922</v>
      </c>
      <c r="AR143">
        <f t="shared" si="373"/>
        <v>955605.3336021225</v>
      </c>
      <c r="AS143">
        <f t="shared" si="374"/>
        <v>1104530.6261762218</v>
      </c>
      <c r="AT143">
        <f t="shared" si="375"/>
        <v>1266864.3718745152</v>
      </c>
      <c r="AU143">
        <f t="shared" si="376"/>
        <v>1443813.797569457</v>
      </c>
      <c r="AV143">
        <f t="shared" si="377"/>
        <v>1636694.8225164409</v>
      </c>
      <c r="AW143">
        <f t="shared" si="378"/>
        <v>1846941.8444465178</v>
      </c>
      <c r="AX143">
        <f t="shared" si="379"/>
        <v>2076118.4067476375</v>
      </c>
      <c r="AY143">
        <f t="shared" si="380"/>
        <v>2325928.8260630025</v>
      </c>
      <c r="AZ143">
        <f t="shared" si="381"/>
        <v>2598230.8667774559</v>
      </c>
      <c r="BA143">
        <f t="shared" si="382"/>
        <v>2895049.556648233</v>
      </c>
      <c r="BB143" s="3">
        <f t="shared" si="383"/>
        <v>3218592.2463227143</v>
      </c>
      <c r="BC143">
        <f t="shared" si="384"/>
        <v>3571265.0247362694</v>
      </c>
      <c r="BD143">
        <f t="shared" si="385"/>
        <v>3955690.6124665113</v>
      </c>
      <c r="BE143">
        <f t="shared" si="386"/>
        <v>4374727.8661114378</v>
      </c>
      <c r="BF143">
        <f t="shared" si="387"/>
        <v>4831493.0387395918</v>
      </c>
      <c r="BG143" s="3">
        <f t="shared" si="388"/>
        <v>5329382.9545197655</v>
      </c>
      <c r="BH143">
        <f t="shared" si="389"/>
        <v>5872100.2698729541</v>
      </c>
      <c r="BI143">
        <f t="shared" si="390"/>
        <v>6463681.0090060905</v>
      </c>
      <c r="BJ143">
        <f t="shared" si="391"/>
        <v>7108524.5786009924</v>
      </c>
    </row>
    <row r="146" spans="1:62" x14ac:dyDescent="0.3">
      <c r="D146" t="s">
        <v>64</v>
      </c>
      <c r="AI146" t="s">
        <v>64</v>
      </c>
      <c r="AJ146" t="s">
        <v>66</v>
      </c>
    </row>
    <row r="147" spans="1:62" x14ac:dyDescent="0.3">
      <c r="D147" t="s">
        <v>65</v>
      </c>
      <c r="AI147" t="s">
        <v>65</v>
      </c>
    </row>
    <row r="148" spans="1:62" x14ac:dyDescent="0.3">
      <c r="D148" t="s">
        <v>80</v>
      </c>
      <c r="AI148" t="s">
        <v>80</v>
      </c>
    </row>
    <row r="149" spans="1:62" x14ac:dyDescent="0.3">
      <c r="D149" t="s">
        <v>15</v>
      </c>
      <c r="E149" t="s">
        <v>16</v>
      </c>
      <c r="F149" t="s">
        <v>17</v>
      </c>
      <c r="G149" t="s">
        <v>18</v>
      </c>
      <c r="H149" t="s">
        <v>19</v>
      </c>
      <c r="I149" t="s">
        <v>20</v>
      </c>
      <c r="J149" t="s">
        <v>21</v>
      </c>
      <c r="K149" t="s">
        <v>22</v>
      </c>
      <c r="L149" t="s">
        <v>23</v>
      </c>
      <c r="M149" t="s">
        <v>24</v>
      </c>
      <c r="N149" t="s">
        <v>25</v>
      </c>
      <c r="O149" t="s">
        <v>26</v>
      </c>
      <c r="P149" t="s">
        <v>27</v>
      </c>
      <c r="Q149" t="s">
        <v>28</v>
      </c>
      <c r="R149" t="s">
        <v>29</v>
      </c>
      <c r="S149" t="s">
        <v>30</v>
      </c>
      <c r="T149" t="s">
        <v>31</v>
      </c>
      <c r="U149" t="s">
        <v>32</v>
      </c>
      <c r="V149" t="s">
        <v>33</v>
      </c>
      <c r="W149" t="s">
        <v>34</v>
      </c>
      <c r="X149" t="s">
        <v>35</v>
      </c>
      <c r="Y149" t="s">
        <v>36</v>
      </c>
      <c r="Z149" t="s">
        <v>37</v>
      </c>
      <c r="AA149" t="s">
        <v>38</v>
      </c>
      <c r="AB149" t="s">
        <v>39</v>
      </c>
      <c r="AC149" t="s">
        <v>67</v>
      </c>
      <c r="AD149" t="s">
        <v>68</v>
      </c>
      <c r="AE149" t="s">
        <v>69</v>
      </c>
      <c r="AI149" t="s">
        <v>15</v>
      </c>
      <c r="AJ149" t="s">
        <v>16</v>
      </c>
      <c r="AK149" t="s">
        <v>17</v>
      </c>
      <c r="AL149" t="s">
        <v>18</v>
      </c>
      <c r="AM149" t="s">
        <v>19</v>
      </c>
      <c r="AN149" t="s">
        <v>20</v>
      </c>
      <c r="AO149" t="s">
        <v>21</v>
      </c>
      <c r="AP149" t="s">
        <v>22</v>
      </c>
      <c r="AQ149" t="s">
        <v>23</v>
      </c>
      <c r="AR149" t="s">
        <v>24</v>
      </c>
      <c r="AS149" t="s">
        <v>25</v>
      </c>
      <c r="AT149" t="s">
        <v>26</v>
      </c>
      <c r="AU149" t="s">
        <v>27</v>
      </c>
      <c r="AV149" t="s">
        <v>28</v>
      </c>
      <c r="AW149" t="s">
        <v>29</v>
      </c>
      <c r="AX149" t="s">
        <v>30</v>
      </c>
      <c r="AY149" t="s">
        <v>31</v>
      </c>
      <c r="AZ149" t="s">
        <v>32</v>
      </c>
      <c r="BA149" t="s">
        <v>33</v>
      </c>
      <c r="BB149" t="s">
        <v>34</v>
      </c>
      <c r="BC149" t="s">
        <v>35</v>
      </c>
      <c r="BD149" t="s">
        <v>36</v>
      </c>
      <c r="BE149" t="s">
        <v>37</v>
      </c>
      <c r="BF149" t="s">
        <v>38</v>
      </c>
      <c r="BG149" t="s">
        <v>39</v>
      </c>
      <c r="BH149" t="s">
        <v>67</v>
      </c>
      <c r="BI149" t="s">
        <v>68</v>
      </c>
      <c r="BJ149" t="s">
        <v>69</v>
      </c>
    </row>
    <row r="150" spans="1:62" x14ac:dyDescent="0.3">
      <c r="D150">
        <v>0</v>
      </c>
      <c r="AI150">
        <v>0</v>
      </c>
    </row>
    <row r="151" spans="1:62" x14ac:dyDescent="0.3">
      <c r="D151">
        <f t="shared" ref="D151:D162" si="396">(D150+5000)*1.00798-(0.00146*(D150+5000))</f>
        <v>5032.6000000000004</v>
      </c>
      <c r="E151">
        <f>(D162+5000)*1.00798-(0.00146*(D162+5000))</f>
        <v>68045.374420531793</v>
      </c>
      <c r="F151">
        <f>(E162+5000)*1.00798-(0.00146*(E162+5000))</f>
        <v>136168.96168012952</v>
      </c>
      <c r="G151">
        <f>(F162+5000)*1.00798-(0.00146*(F162+5000))</f>
        <v>209817.88737485147</v>
      </c>
      <c r="H151">
        <f>(G162+5000)*1.00798-(0.00125*(G162+5000))</f>
        <v>289786.91991081985</v>
      </c>
      <c r="I151">
        <f>(H162+5000)*1.00798-(0.00125*(H162+5000))</f>
        <v>376766.68337185931</v>
      </c>
      <c r="J151">
        <f>(I162+5000)*1.00798-(0.00125*(I162+5000))</f>
        <v>471036.86607270961</v>
      </c>
      <c r="K151">
        <f>(J162+5000)*1.00798-(0.00104*(J162+5000))</f>
        <v>574247.10715757089</v>
      </c>
      <c r="L151">
        <f>(K162+5000)*1.00798-(0.00104*(K162+5000))</f>
        <v>686715.40025726857</v>
      </c>
      <c r="M151">
        <f>(L162+5000)*1.00798-(0.00104*(L162+5000))</f>
        <v>808915.96782501962</v>
      </c>
      <c r="N151">
        <f>(M162+5000)*1.00798-(0.00104*(M162+5000))</f>
        <v>941690.97758393164</v>
      </c>
      <c r="O151">
        <f t="shared" ref="O151:T151" si="397">(N162+5000)*1.00798-(0.000833*(N162+5000))</f>
        <v>1087713.2902556749</v>
      </c>
      <c r="P151">
        <f t="shared" si="397"/>
        <v>1247617.3669377344</v>
      </c>
      <c r="Q151">
        <f t="shared" si="397"/>
        <v>1421787.5856597845</v>
      </c>
      <c r="R151">
        <f t="shared" si="397"/>
        <v>1611496.7270346032</v>
      </c>
      <c r="S151">
        <f t="shared" si="397"/>
        <v>1818131.1251839516</v>
      </c>
      <c r="T151">
        <f t="shared" si="397"/>
        <v>2043200.7986277996</v>
      </c>
      <c r="U151">
        <f t="shared" ref="U151:AE151" si="398">(T162+5000)*1.00798-(0.00125*(T162+5000))</f>
        <v>2287403.0144398208</v>
      </c>
      <c r="V151">
        <f t="shared" si="398"/>
        <v>2541817.8022077908</v>
      </c>
      <c r="W151">
        <f t="shared" si="398"/>
        <v>2817556.980728637</v>
      </c>
      <c r="X151">
        <f t="shared" si="398"/>
        <v>3116407.9053875194</v>
      </c>
      <c r="Y151">
        <f t="shared" si="398"/>
        <v>3440307.7430840242</v>
      </c>
      <c r="Z151">
        <f t="shared" si="398"/>
        <v>3791356.0290465648</v>
      </c>
      <c r="AA151">
        <f t="shared" si="398"/>
        <v>4171828.2761265715</v>
      </c>
      <c r="AB151">
        <f t="shared" si="398"/>
        <v>4584190.7247885661</v>
      </c>
      <c r="AC151">
        <f t="shared" si="398"/>
        <v>5031116.3294063406</v>
      </c>
      <c r="AD151">
        <f t="shared" si="398"/>
        <v>5515502.0844892208</v>
      </c>
      <c r="AE151">
        <f t="shared" si="398"/>
        <v>6040487.8031478617</v>
      </c>
      <c r="AI151">
        <f t="shared" ref="AI151:AI162" si="399">(AI150+5000)*1.00798-0</f>
        <v>5039.9000000000005</v>
      </c>
      <c r="AJ151">
        <f t="shared" ref="AJ151:BJ151" si="400">(AI162+5000)*1.00798-0</f>
        <v>68749.382799647865</v>
      </c>
      <c r="AK151">
        <f t="shared" si="400"/>
        <v>138834.70274751374</v>
      </c>
      <c r="AL151">
        <f t="shared" si="400"/>
        <v>215933.93282040136</v>
      </c>
      <c r="AM151">
        <f t="shared" si="400"/>
        <v>300749.00225653738</v>
      </c>
      <c r="AN151">
        <f t="shared" si="400"/>
        <v>394052.08708184544</v>
      </c>
      <c r="AO151">
        <f t="shared" si="400"/>
        <v>496692.64017923665</v>
      </c>
      <c r="AP151">
        <f t="shared" si="400"/>
        <v>609605.12490429438</v>
      </c>
      <c r="AQ151">
        <f t="shared" si="400"/>
        <v>733817.52265598252</v>
      </c>
      <c r="AR151">
        <f t="shared" si="400"/>
        <v>870460.69185726775</v>
      </c>
      <c r="AS151">
        <f t="shared" si="400"/>
        <v>1020778.6635519831</v>
      </c>
      <c r="AT151">
        <f t="shared" si="400"/>
        <v>1186139.9673514329</v>
      </c>
      <c r="AU151">
        <f t="shared" si="400"/>
        <v>1368050.0908447714</v>
      </c>
      <c r="AV151">
        <f t="shared" si="400"/>
        <v>1568165.1859065208</v>
      </c>
      <c r="AW151">
        <f t="shared" si="400"/>
        <v>1788307.1466866173</v>
      </c>
      <c r="AX151">
        <f t="shared" si="400"/>
        <v>2030480.1965565002</v>
      </c>
      <c r="AY151">
        <f t="shared" si="400"/>
        <v>2296889.135022644</v>
      </c>
      <c r="AZ151">
        <f t="shared" si="400"/>
        <v>2589959.4107316509</v>
      </c>
      <c r="BA151">
        <f t="shared" si="400"/>
        <v>2912359.2033161935</v>
      </c>
      <c r="BB151">
        <f t="shared" si="400"/>
        <v>3267023.7151200497</v>
      </c>
      <c r="BC151">
        <f t="shared" si="400"/>
        <v>3657181.8939597034</v>
      </c>
      <c r="BD151">
        <f t="shared" si="400"/>
        <v>4086385.8302127374</v>
      </c>
      <c r="BE151">
        <f t="shared" si="400"/>
        <v>4558543.0958708962</v>
      </c>
      <c r="BF151">
        <f t="shared" si="400"/>
        <v>5077952.3199800672</v>
      </c>
      <c r="BG151">
        <f t="shared" si="400"/>
        <v>5649342.3243541922</v>
      </c>
      <c r="BH151">
        <f t="shared" si="400"/>
        <v>6277915.1758637382</v>
      </c>
      <c r="BI151">
        <f t="shared" si="400"/>
        <v>6969393.5472567072</v>
      </c>
      <c r="BJ151">
        <f t="shared" si="400"/>
        <v>7730072.8176960722</v>
      </c>
    </row>
    <row r="152" spans="1:62" x14ac:dyDescent="0.3">
      <c r="D152">
        <f t="shared" si="396"/>
        <v>10098.012552</v>
      </c>
      <c r="E152">
        <f t="shared" ref="E152:G157" si="401">(E151+5000)*1.00798-(0.00146*(E151+5000))</f>
        <v>73521.630261753657</v>
      </c>
      <c r="F152">
        <f t="shared" si="401"/>
        <v>142089.38331028397</v>
      </c>
      <c r="G152">
        <f t="shared" si="401"/>
        <v>216218.50000053551</v>
      </c>
      <c r="H152">
        <f t="shared" ref="H152:J154" si="402">(H151+5000)*1.00798-(0.00125*(H151+5000))</f>
        <v>296770.83588181966</v>
      </c>
      <c r="I152">
        <f t="shared" si="402"/>
        <v>384335.97315095196</v>
      </c>
      <c r="J152">
        <f t="shared" si="402"/>
        <v>479240.59418137901</v>
      </c>
      <c r="K152">
        <f t="shared" ref="K152:N155" si="403">(K151+5000)*1.00798-(0.00104*(K151+5000))</f>
        <v>583267.08208124456</v>
      </c>
      <c r="L152">
        <f t="shared" si="403"/>
        <v>696515.90513505402</v>
      </c>
      <c r="M152">
        <f t="shared" si="403"/>
        <v>819564.54464172537</v>
      </c>
      <c r="N152">
        <f t="shared" si="403"/>
        <v>953261.01296836417</v>
      </c>
      <c r="O152">
        <f t="shared" ref="O152:O162" si="404">(O151+5000)*1.00798-(0.000833*(O151+5000))</f>
        <v>1100522.9121411324</v>
      </c>
      <c r="P152">
        <f t="shared" ref="P152:P162" si="405">(P151+5000)*1.00798-(0.000833*(P151+5000))</f>
        <v>1261569.8232592384</v>
      </c>
      <c r="Q152">
        <f t="shared" ref="Q152:Q162" si="406">(Q151+5000)*1.00798-(0.000833*(Q151+5000))</f>
        <v>1436984.836534495</v>
      </c>
      <c r="R152">
        <f t="shared" ref="R152:R162" si="407">(R151+5000)*1.00798-(0.000833*(R151+5000))</f>
        <v>1628049.8291427197</v>
      </c>
      <c r="S152">
        <f t="shared" ref="S152:S162" si="408">(S151+5000)*1.00798-(0.000833*(S151+5000))</f>
        <v>1836161.0433356415</v>
      </c>
      <c r="T152">
        <f t="shared" ref="T152:T162" si="409">(T151+5000)*1.00798-(0.000833*(T151+5000))</f>
        <v>2062839.2897355927</v>
      </c>
      <c r="U152">
        <f t="shared" ref="U152:U162" si="410">(U151+5000)*1.00798-(0.00125*(U151+5000))</f>
        <v>2307830.8867270011</v>
      </c>
      <c r="V152">
        <f t="shared" ref="V152:V162" si="411">(V151+5000)*1.00798-(0.00125*(V151+5000))</f>
        <v>2563957.8860166492</v>
      </c>
      <c r="W152">
        <f t="shared" ref="W152:W162" si="412">(W151+5000)*1.00798-(0.00125*(W151+5000))</f>
        <v>2841552.7892089407</v>
      </c>
      <c r="X152">
        <f t="shared" ref="X152:X162" si="413">(X151+5000)*1.00798-(0.00125*(X151+5000))</f>
        <v>3142414.9805907779</v>
      </c>
      <c r="Y152">
        <f t="shared" ref="Y152:Y162" si="414">(Y151+5000)*1.00798-(0.00125*(Y151+5000))</f>
        <v>3468494.6641949802</v>
      </c>
      <c r="Z152">
        <f t="shared" ref="Z152:Z162" si="415">(Z151+5000)*1.00798-(0.00125*(Z151+5000))</f>
        <v>3821905.5051220483</v>
      </c>
      <c r="AA152">
        <f t="shared" ref="AA152:AA162" si="416">(AA151+5000)*1.00798-(0.00125*(AA151+5000))</f>
        <v>4204938.330424903</v>
      </c>
      <c r="AB152">
        <f t="shared" ref="AB152:AB162" si="417">(AB151+5000)*1.00798-(0.00125*(AB151+5000))</f>
        <v>4620075.9783663936</v>
      </c>
      <c r="AC152">
        <f t="shared" ref="AC152:AC162" si="418">(AC151+5000)*1.00798-(0.00125*(AC151+5000))</f>
        <v>5070009.3923032461</v>
      </c>
      <c r="AD152">
        <f t="shared" ref="AD152:AD162" si="419">(AD151+5000)*1.00798-(0.00125*(AD151+5000))</f>
        <v>5557655.0635178341</v>
      </c>
      <c r="AE152">
        <f t="shared" ref="AE152:AE162" si="420">(AE151+5000)*1.00798-(0.00125*(AE151+5000))</f>
        <v>6086173.9360630475</v>
      </c>
      <c r="AI152">
        <f t="shared" si="399"/>
        <v>10120.018402000003</v>
      </c>
      <c r="AJ152">
        <f t="shared" ref="AJ152:AJ162" si="421">(AJ151+5000)*1.00798-0</f>
        <v>74337.902874389067</v>
      </c>
      <c r="AK152">
        <f t="shared" ref="AK152:AK162" si="422">(AK151+5000)*1.00798-0</f>
        <v>144982.50367543893</v>
      </c>
      <c r="AL152">
        <f t="shared" ref="AL152:AL162" si="423">(AL151+5000)*1.00798-0</f>
        <v>222696.9856043082</v>
      </c>
      <c r="AM152">
        <f t="shared" ref="AM152:AM162" si="424">(AM151+5000)*1.00798-0</f>
        <v>308188.87929454457</v>
      </c>
      <c r="AN152">
        <f t="shared" ref="AN152:AN162" si="425">(AN151+5000)*1.00798-0</f>
        <v>402236.52273675863</v>
      </c>
      <c r="AO152">
        <f t="shared" ref="AO152:AO162" si="426">(AO151+5000)*1.00798-0</f>
        <v>505696.14744786703</v>
      </c>
      <c r="AP152">
        <f t="shared" ref="AP152:AP162" si="427">(AP151+5000)*1.00798-0</f>
        <v>619509.67380103073</v>
      </c>
      <c r="AQ152">
        <f t="shared" ref="AQ152:AQ162" si="428">(AQ151+5000)*1.00798-0</f>
        <v>744713.28648677736</v>
      </c>
      <c r="AR152">
        <f t="shared" ref="AR152:AR162" si="429">(AR151+5000)*1.00798-0</f>
        <v>882446.8681782888</v>
      </c>
      <c r="AS152">
        <f t="shared" ref="AS152:AS162" si="430">(AS151+5000)*1.00798-0</f>
        <v>1033964.377287128</v>
      </c>
      <c r="AT152">
        <f t="shared" ref="AT152:AT162" si="431">(AT151+5000)*1.00798-0</f>
        <v>1200645.2642908974</v>
      </c>
      <c r="AU152">
        <f t="shared" ref="AU152:AU162" si="432">(AU151+5000)*1.00798-0</f>
        <v>1384007.0305697129</v>
      </c>
      <c r="AV152">
        <f t="shared" ref="AV152:AV162" si="433">(AV151+5000)*1.00798-0</f>
        <v>1585719.0440900549</v>
      </c>
      <c r="AW152">
        <f t="shared" ref="AW152:AW162" si="434">(AW151+5000)*1.00798-0</f>
        <v>1807617.7377171766</v>
      </c>
      <c r="AX152">
        <f t="shared" ref="AX152:AX162" si="435">(AX151+5000)*1.00798-0</f>
        <v>2051723.3285250212</v>
      </c>
      <c r="AY152">
        <f t="shared" ref="AY152:AY162" si="436">(AY151+5000)*1.00798-0</f>
        <v>2320258.2103201249</v>
      </c>
      <c r="AZ152">
        <f t="shared" ref="AZ152:AZ162" si="437">(AZ151+5000)*1.00798-0</f>
        <v>2615667.1868292899</v>
      </c>
      <c r="BA152">
        <f t="shared" ref="BA152:BA162" si="438">(BA151+5000)*1.00798-0</f>
        <v>2940639.729758657</v>
      </c>
      <c r="BB152">
        <f t="shared" ref="BB152:BB162" si="439">(BB151+5000)*1.00798-0</f>
        <v>3298134.464366708</v>
      </c>
      <c r="BC152">
        <f t="shared" ref="BC152:BC162" si="440">(BC151+5000)*1.00798-0</f>
        <v>3691406.1054735021</v>
      </c>
      <c r="BD152">
        <f t="shared" ref="BD152:BD162" si="441">(BD151+5000)*1.00798-0</f>
        <v>4124035.0891378354</v>
      </c>
      <c r="BE152">
        <f t="shared" ref="BE152:BE162" si="442">(BE151+5000)*1.00798-0</f>
        <v>4599960.1697759461</v>
      </c>
      <c r="BF152">
        <f t="shared" ref="BF152:BF162" si="443">(BF151+5000)*1.00798-0</f>
        <v>5123514.2794935089</v>
      </c>
      <c r="BG152">
        <f t="shared" ref="BG152:BG162" si="444">(BG151+5000)*1.00798-0</f>
        <v>5699463.9761025393</v>
      </c>
      <c r="BH152">
        <f t="shared" ref="BH152:BH162" si="445">(BH151+5000)*1.00798-0</f>
        <v>6333052.8389671315</v>
      </c>
      <c r="BI152">
        <f t="shared" ref="BI152:BI162" si="446">(BI151+5000)*1.00798-0</f>
        <v>7030049.2077638162</v>
      </c>
      <c r="BJ152">
        <f t="shared" ref="BJ152:BJ162" si="447">(BJ151+5000)*1.00798-0</f>
        <v>7796798.6987812873</v>
      </c>
    </row>
    <row r="153" spans="1:62" x14ac:dyDescent="0.3">
      <c r="A153">
        <f>0.0175/12</f>
        <v>1.4583333333333334E-3</v>
      </c>
      <c r="B153">
        <v>1.75</v>
      </c>
      <c r="D153">
        <f t="shared" si="396"/>
        <v>15196.451593839041</v>
      </c>
      <c r="E153">
        <f t="shared" si="401"/>
        <v>79033.591291060307</v>
      </c>
      <c r="F153">
        <f t="shared" si="401"/>
        <v>148048.40608946703</v>
      </c>
      <c r="G153">
        <f t="shared" si="401"/>
        <v>222660.84462053902</v>
      </c>
      <c r="H153">
        <f t="shared" si="402"/>
        <v>303801.75360730436</v>
      </c>
      <c r="I153">
        <f t="shared" si="402"/>
        <v>391956.20425025793</v>
      </c>
      <c r="J153">
        <f t="shared" si="402"/>
        <v>487499.53338021977</v>
      </c>
      <c r="K153">
        <f t="shared" si="403"/>
        <v>592349.65563088842</v>
      </c>
      <c r="L153">
        <f t="shared" si="403"/>
        <v>706384.42551669141</v>
      </c>
      <c r="M153">
        <f t="shared" si="403"/>
        <v>830287.022581539</v>
      </c>
      <c r="N153">
        <f t="shared" si="403"/>
        <v>964911.34439836477</v>
      </c>
      <c r="O153">
        <f t="shared" si="404"/>
        <v>1113424.0843942054</v>
      </c>
      <c r="P153">
        <f t="shared" si="405"/>
        <v>1275621.9977860723</v>
      </c>
      <c r="Q153">
        <f t="shared" si="406"/>
        <v>1452290.7021612071</v>
      </c>
      <c r="R153">
        <f t="shared" si="407"/>
        <v>1644721.236271603</v>
      </c>
      <c r="S153">
        <f t="shared" si="408"/>
        <v>1854319.8213123614</v>
      </c>
      <c r="T153">
        <f t="shared" si="409"/>
        <v>2082618.1371393332</v>
      </c>
      <c r="U153">
        <f t="shared" si="410"/>
        <v>2328396.238594674</v>
      </c>
      <c r="V153">
        <f t="shared" si="411"/>
        <v>2586246.9725895412</v>
      </c>
      <c r="W153">
        <f t="shared" si="412"/>
        <v>2865710.0894803172</v>
      </c>
      <c r="X153">
        <f t="shared" si="413"/>
        <v>3168597.0834101541</v>
      </c>
      <c r="Y153">
        <f t="shared" si="414"/>
        <v>3496871.2832850129</v>
      </c>
      <c r="Z153">
        <f t="shared" si="415"/>
        <v>3852660.5791715202</v>
      </c>
      <c r="AA153">
        <f t="shared" si="416"/>
        <v>4238271.2153886631</v>
      </c>
      <c r="AB153">
        <f t="shared" si="417"/>
        <v>4656202.7397007998</v>
      </c>
      <c r="AC153">
        <f t="shared" si="418"/>
        <v>5109164.2055134475</v>
      </c>
      <c r="AD153">
        <f t="shared" si="419"/>
        <v>5600091.7320953095</v>
      </c>
      <c r="AE153">
        <f t="shared" si="420"/>
        <v>6132167.5366527522</v>
      </c>
      <c r="AI153">
        <f t="shared" si="399"/>
        <v>15240.676148847964</v>
      </c>
      <c r="AJ153">
        <f t="shared" si="421"/>
        <v>79971.019339326696</v>
      </c>
      <c r="AK153">
        <f t="shared" si="422"/>
        <v>151179.36405476896</v>
      </c>
      <c r="AL153">
        <f t="shared" si="423"/>
        <v>229514.00754943059</v>
      </c>
      <c r="AM153">
        <f t="shared" si="424"/>
        <v>315688.12655131507</v>
      </c>
      <c r="AN153">
        <f t="shared" si="425"/>
        <v>410486.27018819802</v>
      </c>
      <c r="AO153">
        <f t="shared" si="426"/>
        <v>514771.50270450104</v>
      </c>
      <c r="AP153">
        <f t="shared" si="427"/>
        <v>629493.26099796302</v>
      </c>
      <c r="AQ153">
        <f t="shared" si="428"/>
        <v>755695.99851294188</v>
      </c>
      <c r="AR153">
        <f t="shared" si="429"/>
        <v>894528.69418635161</v>
      </c>
      <c r="AS153">
        <f t="shared" si="430"/>
        <v>1047255.3130178794</v>
      </c>
      <c r="AT153">
        <f t="shared" si="431"/>
        <v>1215266.3134999389</v>
      </c>
      <c r="AU153">
        <f t="shared" si="432"/>
        <v>1400091.3066736592</v>
      </c>
      <c r="AV153">
        <f t="shared" si="433"/>
        <v>1603412.9820618937</v>
      </c>
      <c r="AW153">
        <f t="shared" si="434"/>
        <v>1827082.4272641598</v>
      </c>
      <c r="AX153">
        <f t="shared" si="435"/>
        <v>2073135.9806866511</v>
      </c>
      <c r="AY153">
        <f t="shared" si="436"/>
        <v>2343813.7708384795</v>
      </c>
      <c r="AZ153">
        <f t="shared" si="437"/>
        <v>2641580.110980188</v>
      </c>
      <c r="BA153">
        <f t="shared" si="438"/>
        <v>2969145.9348021313</v>
      </c>
      <c r="BB153">
        <f t="shared" si="439"/>
        <v>3329493.4773923545</v>
      </c>
      <c r="BC153">
        <f t="shared" si="440"/>
        <v>3725903.426195181</v>
      </c>
      <c r="BD153">
        <f t="shared" si="441"/>
        <v>4161984.7891491558</v>
      </c>
      <c r="BE153">
        <f t="shared" si="442"/>
        <v>4641707.7519307584</v>
      </c>
      <c r="BF153">
        <f t="shared" si="443"/>
        <v>5169439.8234438673</v>
      </c>
      <c r="BG153">
        <f t="shared" si="444"/>
        <v>5749985.5986318383</v>
      </c>
      <c r="BH153">
        <f t="shared" si="445"/>
        <v>6388630.50062209</v>
      </c>
      <c r="BI153">
        <f t="shared" si="446"/>
        <v>7091188.9004417723</v>
      </c>
      <c r="BJ153">
        <f t="shared" si="447"/>
        <v>7864057.0523975631</v>
      </c>
    </row>
    <row r="154" spans="1:62" x14ac:dyDescent="0.3">
      <c r="A154">
        <f>0.015/12</f>
        <v>1.25E-3</v>
      </c>
      <c r="B154">
        <v>1.5</v>
      </c>
      <c r="D154">
        <f t="shared" si="396"/>
        <v>20328.132458230873</v>
      </c>
      <c r="E154">
        <f t="shared" si="401"/>
        <v>84581.490306278036</v>
      </c>
      <c r="F154">
        <f t="shared" si="401"/>
        <v>154046.28169717037</v>
      </c>
      <c r="G154">
        <f t="shared" si="401"/>
        <v>229145.19332746498</v>
      </c>
      <c r="H154">
        <f t="shared" si="402"/>
        <v>310879.98940908158</v>
      </c>
      <c r="I154">
        <f t="shared" si="402"/>
        <v>399627.71950486221</v>
      </c>
      <c r="J154">
        <f t="shared" si="402"/>
        <v>495814.0552398687</v>
      </c>
      <c r="K154">
        <f t="shared" si="403"/>
        <v>601495.26224096678</v>
      </c>
      <c r="L154">
        <f t="shared" si="403"/>
        <v>716321.43342977727</v>
      </c>
      <c r="M154">
        <f t="shared" si="403"/>
        <v>841083.91451825493</v>
      </c>
      <c r="N154">
        <f t="shared" si="403"/>
        <v>976642.52912848943</v>
      </c>
      <c r="O154">
        <f t="shared" si="404"/>
        <v>1126417.4613253709</v>
      </c>
      <c r="P154">
        <f t="shared" si="405"/>
        <v>1289774.6032042496</v>
      </c>
      <c r="Q154">
        <f t="shared" si="406"/>
        <v>1467705.9588095534</v>
      </c>
      <c r="R154">
        <f t="shared" si="407"/>
        <v>1661511.7939472361</v>
      </c>
      <c r="S154">
        <f t="shared" si="408"/>
        <v>1872608.380075281</v>
      </c>
      <c r="T154">
        <f t="shared" si="409"/>
        <v>2102538.343965468</v>
      </c>
      <c r="U154">
        <f t="shared" si="410"/>
        <v>2349099.9952804167</v>
      </c>
      <c r="V154">
        <f t="shared" si="411"/>
        <v>2608686.0647150693</v>
      </c>
      <c r="W154">
        <f t="shared" si="412"/>
        <v>2890029.9683825201</v>
      </c>
      <c r="X154">
        <f t="shared" si="413"/>
        <v>3194955.3917815047</v>
      </c>
      <c r="Y154">
        <f t="shared" si="414"/>
        <v>3525438.8770215213</v>
      </c>
      <c r="Z154">
        <f t="shared" si="415"/>
        <v>3883622.634869345</v>
      </c>
      <c r="AA154">
        <f t="shared" si="416"/>
        <v>4271828.4306682292</v>
      </c>
      <c r="AB154">
        <f t="shared" si="417"/>
        <v>4692572.6341389865</v>
      </c>
      <c r="AC154">
        <f t="shared" si="418"/>
        <v>5148582.5306165535</v>
      </c>
      <c r="AD154">
        <f t="shared" si="419"/>
        <v>5642813.9994523115</v>
      </c>
      <c r="AE154">
        <f t="shared" si="420"/>
        <v>6178470.6741744261</v>
      </c>
      <c r="AI154">
        <f t="shared" si="399"/>
        <v>20402.196744515772</v>
      </c>
      <c r="AJ154">
        <f t="shared" si="421"/>
        <v>85649.088073654537</v>
      </c>
      <c r="AK154">
        <f t="shared" si="422"/>
        <v>157425.67537992602</v>
      </c>
      <c r="AL154">
        <f t="shared" si="423"/>
        <v>236385.42932967507</v>
      </c>
      <c r="AM154">
        <f t="shared" si="424"/>
        <v>323247.21780119458</v>
      </c>
      <c r="AN154">
        <f t="shared" si="425"/>
        <v>418801.8506242999</v>
      </c>
      <c r="AO154">
        <f t="shared" si="426"/>
        <v>523919.27929608303</v>
      </c>
      <c r="AP154">
        <f t="shared" si="427"/>
        <v>639556.51722072682</v>
      </c>
      <c r="AQ154">
        <f t="shared" si="428"/>
        <v>766766.35258107528</v>
      </c>
      <c r="AR154">
        <f t="shared" si="429"/>
        <v>906706.93316595873</v>
      </c>
      <c r="AS154">
        <f t="shared" si="430"/>
        <v>1060652.3104157622</v>
      </c>
      <c r="AT154">
        <f t="shared" si="431"/>
        <v>1230004.0386816685</v>
      </c>
      <c r="AU154">
        <f t="shared" si="432"/>
        <v>1416303.9353009153</v>
      </c>
      <c r="AV154">
        <f t="shared" si="433"/>
        <v>1621248.1176587478</v>
      </c>
      <c r="AW154">
        <f t="shared" si="434"/>
        <v>1846702.4450337279</v>
      </c>
      <c r="AX154">
        <f t="shared" si="435"/>
        <v>2094719.5058125309</v>
      </c>
      <c r="AY154">
        <f t="shared" si="436"/>
        <v>2367557.3047297709</v>
      </c>
      <c r="AZ154">
        <f t="shared" si="437"/>
        <v>2667699.82026581</v>
      </c>
      <c r="BA154">
        <f t="shared" si="438"/>
        <v>2997879.6193618528</v>
      </c>
      <c r="BB154">
        <f t="shared" si="439"/>
        <v>3361102.7353419457</v>
      </c>
      <c r="BC154">
        <f t="shared" si="440"/>
        <v>3760676.0355362189</v>
      </c>
      <c r="BD154">
        <f t="shared" si="441"/>
        <v>4200237.3277665665</v>
      </c>
      <c r="BE154">
        <f t="shared" si="442"/>
        <v>4683788.4797911663</v>
      </c>
      <c r="BF154">
        <f t="shared" si="443"/>
        <v>5215731.8532349495</v>
      </c>
      <c r="BG154">
        <f t="shared" si="444"/>
        <v>5800910.3837089213</v>
      </c>
      <c r="BH154">
        <f t="shared" si="445"/>
        <v>6444651.6720170546</v>
      </c>
      <c r="BI154">
        <f t="shared" si="446"/>
        <v>7152816.4878672985</v>
      </c>
      <c r="BJ154">
        <f t="shared" si="447"/>
        <v>7931852.1276756963</v>
      </c>
    </row>
    <row r="155" spans="1:62" x14ac:dyDescent="0.3">
      <c r="A155">
        <f>0.0125/12</f>
        <v>1.0416666666666667E-3</v>
      </c>
      <c r="B155">
        <v>1.25</v>
      </c>
      <c r="D155">
        <f t="shared" si="396"/>
        <v>25493.271881858538</v>
      </c>
      <c r="E155">
        <f t="shared" si="401"/>
        <v>90165.561623074973</v>
      </c>
      <c r="F155">
        <f t="shared" si="401"/>
        <v>160083.26345383594</v>
      </c>
      <c r="G155">
        <f t="shared" si="401"/>
        <v>235671.81998796007</v>
      </c>
      <c r="H155">
        <f t="shared" ref="H155:I162" si="448">(H154+5000)*1.00798-(0.00125*(H154+5000))</f>
        <v>318005.86173780472</v>
      </c>
      <c r="I155">
        <f t="shared" si="448"/>
        <v>407350.86405713001</v>
      </c>
      <c r="J155">
        <f t="shared" ref="J155:J162" si="449">(J154+5000)*1.00798-(0.00104*(J154+5000))</f>
        <v>504289.70478323341</v>
      </c>
      <c r="K155">
        <f t="shared" si="403"/>
        <v>610704.3393609192</v>
      </c>
      <c r="L155">
        <f t="shared" si="403"/>
        <v>726327.40417778003</v>
      </c>
      <c r="M155">
        <f t="shared" si="403"/>
        <v>851955.73688501178</v>
      </c>
      <c r="N155">
        <f t="shared" si="403"/>
        <v>988455.12828064116</v>
      </c>
      <c r="O155">
        <f t="shared" si="404"/>
        <v>1139503.7019214635</v>
      </c>
      <c r="P155">
        <f t="shared" si="405"/>
        <v>1304028.3572933506</v>
      </c>
      <c r="Q155">
        <f t="shared" si="406"/>
        <v>1483231.3882971653</v>
      </c>
      <c r="R155">
        <f t="shared" si="407"/>
        <v>1678422.3537385771</v>
      </c>
      <c r="S155">
        <f t="shared" si="408"/>
        <v>1891027.6471676792</v>
      </c>
      <c r="T155">
        <f t="shared" si="409"/>
        <v>2122600.9205097891</v>
      </c>
      <c r="U155">
        <f t="shared" si="410"/>
        <v>2369943.0882486543</v>
      </c>
      <c r="V155">
        <f t="shared" si="411"/>
        <v>2631276.1719306023</v>
      </c>
      <c r="W155">
        <f t="shared" si="412"/>
        <v>2914513.5200697351</v>
      </c>
      <c r="X155">
        <f t="shared" si="413"/>
        <v>3221491.0915681948</v>
      </c>
      <c r="Y155">
        <f t="shared" si="414"/>
        <v>3554198.7306638765</v>
      </c>
      <c r="Z155">
        <f t="shared" si="415"/>
        <v>3914793.0652020159</v>
      </c>
      <c r="AA155">
        <f t="shared" si="416"/>
        <v>4305611.4860066269</v>
      </c>
      <c r="AB155">
        <f t="shared" si="417"/>
        <v>4729187.297966742</v>
      </c>
      <c r="AC155">
        <f t="shared" si="418"/>
        <v>5188266.1410476035</v>
      </c>
      <c r="AD155">
        <f t="shared" si="419"/>
        <v>5685823.7876686258</v>
      </c>
      <c r="AE155">
        <f t="shared" si="420"/>
        <v>6225085.4318116205</v>
      </c>
      <c r="AI155">
        <f t="shared" si="399"/>
        <v>25604.90627453701</v>
      </c>
      <c r="AJ155">
        <f t="shared" si="421"/>
        <v>91372.467796482306</v>
      </c>
      <c r="AK155">
        <f t="shared" si="422"/>
        <v>163721.83226945784</v>
      </c>
      <c r="AL155">
        <f t="shared" si="423"/>
        <v>243311.68505572589</v>
      </c>
      <c r="AM155">
        <f t="shared" si="424"/>
        <v>330866.63059924816</v>
      </c>
      <c r="AN155">
        <f t="shared" si="425"/>
        <v>427183.78939228185</v>
      </c>
      <c r="AO155">
        <f t="shared" si="426"/>
        <v>533140.05514486576</v>
      </c>
      <c r="AP155">
        <f t="shared" si="427"/>
        <v>649700.07822814828</v>
      </c>
      <c r="AQ155">
        <f t="shared" si="428"/>
        <v>777925.04807467235</v>
      </c>
      <c r="AR155">
        <f t="shared" si="429"/>
        <v>918982.35449262313</v>
      </c>
      <c r="AS155">
        <f t="shared" si="430"/>
        <v>1074156.2158528802</v>
      </c>
      <c r="AT155">
        <f t="shared" si="431"/>
        <v>1244859.3709103484</v>
      </c>
      <c r="AU155">
        <f t="shared" si="432"/>
        <v>1432645.9407046167</v>
      </c>
      <c r="AV155">
        <f t="shared" si="433"/>
        <v>1639225.5776376647</v>
      </c>
      <c r="AW155">
        <f t="shared" si="434"/>
        <v>1866479.0305450973</v>
      </c>
      <c r="AX155">
        <f t="shared" si="435"/>
        <v>2116475.2674689149</v>
      </c>
      <c r="AY155">
        <f t="shared" si="436"/>
        <v>2391490.3120215149</v>
      </c>
      <c r="AZ155">
        <f t="shared" si="437"/>
        <v>2694027.9648315315</v>
      </c>
      <c r="BA155">
        <f t="shared" si="438"/>
        <v>3026842.5987243606</v>
      </c>
      <c r="BB155">
        <f t="shared" si="439"/>
        <v>3392964.2351699746</v>
      </c>
      <c r="BC155">
        <f t="shared" si="440"/>
        <v>3795726.1302997982</v>
      </c>
      <c r="BD155">
        <f t="shared" si="441"/>
        <v>4238795.1216421444</v>
      </c>
      <c r="BE155">
        <f t="shared" si="442"/>
        <v>4726205.0118599003</v>
      </c>
      <c r="BF155">
        <f t="shared" si="443"/>
        <v>5262393.2934237653</v>
      </c>
      <c r="BG155">
        <f t="shared" si="444"/>
        <v>5852241.5485709189</v>
      </c>
      <c r="BH155">
        <f t="shared" si="445"/>
        <v>6501119.8923597513</v>
      </c>
      <c r="BI155">
        <f t="shared" si="446"/>
        <v>7214935.8634404801</v>
      </c>
      <c r="BJ155">
        <f t="shared" si="447"/>
        <v>8000188.2076545488</v>
      </c>
    </row>
    <row r="156" spans="1:62" x14ac:dyDescent="0.3">
      <c r="A156">
        <f>0.01/12</f>
        <v>8.3333333333333339E-4</v>
      </c>
      <c r="B156">
        <v>1</v>
      </c>
      <c r="D156">
        <f t="shared" si="396"/>
        <v>30692.088014528257</v>
      </c>
      <c r="E156">
        <f t="shared" si="401"/>
        <v>95786.041084857425</v>
      </c>
      <c r="F156">
        <f t="shared" si="401"/>
        <v>166159.60633155497</v>
      </c>
      <c r="G156">
        <f t="shared" si="401"/>
        <v>242241.00025428159</v>
      </c>
      <c r="H156">
        <f t="shared" si="448"/>
        <v>325179.6911873002</v>
      </c>
      <c r="I156">
        <f t="shared" si="448"/>
        <v>415125.98537223449</v>
      </c>
      <c r="J156">
        <f t="shared" si="449"/>
        <v>512824.17533442914</v>
      </c>
      <c r="K156">
        <f t="shared" ref="K156:M162" si="450">(K155+5000)*1.00798-(0.00104*(K155+5000))</f>
        <v>619977.327476084</v>
      </c>
      <c r="L156">
        <f t="shared" si="450"/>
        <v>736402.81636277388</v>
      </c>
      <c r="M156">
        <f t="shared" si="450"/>
        <v>862903.00969899376</v>
      </c>
      <c r="N156">
        <f t="shared" ref="N156:N162" si="451">(N155+5000)*1.00798-(0.000833*(N155+5000))</f>
        <v>1000555.352082463</v>
      </c>
      <c r="O156">
        <f t="shared" si="404"/>
        <v>1152683.4698790961</v>
      </c>
      <c r="P156">
        <f t="shared" si="405"/>
        <v>1318383.9829629264</v>
      </c>
      <c r="Q156">
        <f t="shared" si="406"/>
        <v>1498867.7780293252</v>
      </c>
      <c r="R156">
        <f t="shared" si="407"/>
        <v>1695453.7733007469</v>
      </c>
      <c r="S156">
        <f t="shared" si="408"/>
        <v>1909578.5567619868</v>
      </c>
      <c r="T156">
        <f t="shared" si="409"/>
        <v>2142806.8842886728</v>
      </c>
      <c r="U156">
        <f t="shared" si="410"/>
        <v>2390926.4552325676</v>
      </c>
      <c r="V156">
        <f t="shared" si="411"/>
        <v>2654018.3105676956</v>
      </c>
      <c r="W156">
        <f t="shared" si="412"/>
        <v>2939161.8460598048</v>
      </c>
      <c r="X156">
        <f t="shared" si="413"/>
        <v>3248205.3766144491</v>
      </c>
      <c r="Y156">
        <f t="shared" si="414"/>
        <v>3583152.1381212445</v>
      </c>
      <c r="Z156">
        <f t="shared" si="415"/>
        <v>3946173.2725308263</v>
      </c>
      <c r="AA156">
        <f t="shared" si="416"/>
        <v>4339621.9013074515</v>
      </c>
      <c r="AB156">
        <f t="shared" si="417"/>
        <v>4766048.3784820577</v>
      </c>
      <c r="AC156">
        <f t="shared" si="418"/>
        <v>5228216.8221768551</v>
      </c>
      <c r="AD156">
        <f t="shared" si="419"/>
        <v>5729123.0317596365</v>
      </c>
      <c r="AE156">
        <f t="shared" si="420"/>
        <v>6272013.9067677129</v>
      </c>
      <c r="AI156">
        <f t="shared" si="399"/>
        <v>30849.133426607819</v>
      </c>
      <c r="AJ156">
        <f t="shared" si="421"/>
        <v>97141.520089498241</v>
      </c>
      <c r="AK156">
        <f t="shared" si="422"/>
        <v>170068.23249096813</v>
      </c>
      <c r="AL156">
        <f t="shared" si="423"/>
        <v>250293.21230247061</v>
      </c>
      <c r="AM156">
        <f t="shared" si="424"/>
        <v>338546.84631143021</v>
      </c>
      <c r="AN156">
        <f t="shared" si="425"/>
        <v>435632.61603163229</v>
      </c>
      <c r="AO156">
        <f t="shared" si="426"/>
        <v>542434.41278492182</v>
      </c>
      <c r="AP156">
        <f t="shared" si="427"/>
        <v>659924.58485240897</v>
      </c>
      <c r="AQ156">
        <f t="shared" si="428"/>
        <v>789172.78995830833</v>
      </c>
      <c r="AR156">
        <f t="shared" si="429"/>
        <v>931355.73368147435</v>
      </c>
      <c r="AS156">
        <f t="shared" si="430"/>
        <v>1087767.8824553862</v>
      </c>
      <c r="AT156">
        <f t="shared" si="431"/>
        <v>1259833.2486902131</v>
      </c>
      <c r="AU156">
        <f t="shared" si="432"/>
        <v>1449118.3553114396</v>
      </c>
      <c r="AV156">
        <f t="shared" si="433"/>
        <v>1657346.4977472136</v>
      </c>
      <c r="AW156">
        <f t="shared" si="434"/>
        <v>1886413.4332088474</v>
      </c>
      <c r="AX156">
        <f t="shared" si="435"/>
        <v>2138404.6401033169</v>
      </c>
      <c r="AY156">
        <f t="shared" si="436"/>
        <v>2415614.3047114466</v>
      </c>
      <c r="AZ156">
        <f t="shared" si="437"/>
        <v>2720566.2079908876</v>
      </c>
      <c r="BA156">
        <f t="shared" si="438"/>
        <v>3056036.7026621811</v>
      </c>
      <c r="BB156">
        <f t="shared" si="439"/>
        <v>3425079.9897666313</v>
      </c>
      <c r="BC156">
        <f t="shared" si="440"/>
        <v>3831055.924819591</v>
      </c>
      <c r="BD156">
        <f t="shared" si="441"/>
        <v>4277660.6067128489</v>
      </c>
      <c r="BE156">
        <f t="shared" si="442"/>
        <v>4768960.0278545432</v>
      </c>
      <c r="BF156">
        <f t="shared" si="443"/>
        <v>5309427.0919052875</v>
      </c>
      <c r="BG156">
        <f t="shared" si="444"/>
        <v>5903982.3361285152</v>
      </c>
      <c r="BH156">
        <f t="shared" si="445"/>
        <v>6558038.7291007824</v>
      </c>
      <c r="BI156">
        <f t="shared" si="446"/>
        <v>7277550.9516307358</v>
      </c>
      <c r="BJ156">
        <f t="shared" si="447"/>
        <v>8069069.6095516328</v>
      </c>
    </row>
    <row r="157" spans="1:62" x14ac:dyDescent="0.3">
      <c r="D157">
        <f t="shared" si="396"/>
        <v>35924.800428382987</v>
      </c>
      <c r="E157">
        <f t="shared" si="401"/>
        <v>101443.1660727307</v>
      </c>
      <c r="F157">
        <f t="shared" si="401"/>
        <v>172275.56696483673</v>
      </c>
      <c r="G157">
        <f t="shared" si="401"/>
        <v>248853.01157593954</v>
      </c>
      <c r="H157">
        <f t="shared" si="448"/>
        <v>332401.80050899077</v>
      </c>
      <c r="I157">
        <f t="shared" si="448"/>
        <v>422953.43325378967</v>
      </c>
      <c r="J157">
        <f t="shared" si="449"/>
        <v>521417.87511125015</v>
      </c>
      <c r="K157">
        <f t="shared" si="450"/>
        <v>629314.67012876808</v>
      </c>
      <c r="L157">
        <f t="shared" si="450"/>
        <v>746548.15190833167</v>
      </c>
      <c r="M157">
        <f t="shared" si="450"/>
        <v>873926.25658630487</v>
      </c>
      <c r="N157">
        <f t="shared" si="451"/>
        <v>1012742.0561837964</v>
      </c>
      <c r="O157">
        <f t="shared" si="404"/>
        <v>1165957.4336383222</v>
      </c>
      <c r="P157">
        <f t="shared" si="405"/>
        <v>1332842.2082891625</v>
      </c>
      <c r="Q157">
        <f t="shared" si="406"/>
        <v>1514615.921038901</v>
      </c>
      <c r="R157">
        <f t="shared" si="407"/>
        <v>1712606.9164185275</v>
      </c>
      <c r="S157">
        <f t="shared" si="408"/>
        <v>1928262.0497071648</v>
      </c>
      <c r="T157">
        <f t="shared" si="409"/>
        <v>2163157.2600906841</v>
      </c>
      <c r="U157">
        <f t="shared" si="410"/>
        <v>2412051.0402762829</v>
      </c>
      <c r="V157">
        <f t="shared" si="411"/>
        <v>2676913.5037978166</v>
      </c>
      <c r="W157">
        <f t="shared" si="412"/>
        <v>2963976.0552837872</v>
      </c>
      <c r="X157">
        <f t="shared" si="413"/>
        <v>3275099.4487990644</v>
      </c>
      <c r="Y157">
        <f t="shared" si="414"/>
        <v>3612300.4020108008</v>
      </c>
      <c r="Z157">
        <f t="shared" si="415"/>
        <v>3977764.6686549592</v>
      </c>
      <c r="AA157">
        <f t="shared" si="416"/>
        <v>4373861.2067032512</v>
      </c>
      <c r="AB157">
        <f t="shared" si="417"/>
        <v>4803157.5340692429</v>
      </c>
      <c r="AC157">
        <f t="shared" si="418"/>
        <v>5268436.3713901052</v>
      </c>
      <c r="AD157">
        <f t="shared" si="419"/>
        <v>5772713.6797633786</v>
      </c>
      <c r="AE157">
        <f t="shared" si="420"/>
        <v>6319258.2103602597</v>
      </c>
      <c r="AI157">
        <f t="shared" si="399"/>
        <v>36135.20951135215</v>
      </c>
      <c r="AJ157">
        <f t="shared" si="421"/>
        <v>102956.60941981245</v>
      </c>
      <c r="AK157">
        <f t="shared" si="422"/>
        <v>176465.27698624608</v>
      </c>
      <c r="AL157">
        <f t="shared" si="423"/>
        <v>257330.45213664434</v>
      </c>
      <c r="AM157">
        <f t="shared" si="424"/>
        <v>346288.35014499543</v>
      </c>
      <c r="AN157">
        <f t="shared" si="425"/>
        <v>444148.86430756474</v>
      </c>
      <c r="AO157">
        <f t="shared" si="426"/>
        <v>551802.93939894554</v>
      </c>
      <c r="AP157">
        <f t="shared" si="427"/>
        <v>670230.68303953123</v>
      </c>
      <c r="AQ157">
        <f t="shared" si="428"/>
        <v>800510.2888221757</v>
      </c>
      <c r="AR157">
        <f t="shared" si="429"/>
        <v>943827.85243625264</v>
      </c>
      <c r="AS157">
        <f t="shared" si="430"/>
        <v>1101488.1701573804</v>
      </c>
      <c r="AT157">
        <f t="shared" si="431"/>
        <v>1274926.618014761</v>
      </c>
      <c r="AU157">
        <f t="shared" si="432"/>
        <v>1465722.2197868251</v>
      </c>
      <c r="AV157">
        <f t="shared" si="433"/>
        <v>1675612.0227992365</v>
      </c>
      <c r="AW157">
        <f t="shared" si="434"/>
        <v>1906506.9124058541</v>
      </c>
      <c r="AX157">
        <f t="shared" si="435"/>
        <v>2160509.0091313417</v>
      </c>
      <c r="AY157">
        <f t="shared" si="436"/>
        <v>2439930.8068630444</v>
      </c>
      <c r="AZ157">
        <f t="shared" si="437"/>
        <v>2747316.2263306552</v>
      </c>
      <c r="BA157">
        <f t="shared" si="438"/>
        <v>3085463.7755494257</v>
      </c>
      <c r="BB157">
        <f t="shared" si="439"/>
        <v>3457452.0280849691</v>
      </c>
      <c r="BC157">
        <f t="shared" si="440"/>
        <v>3866667.6510996516</v>
      </c>
      <c r="BD157">
        <f t="shared" si="441"/>
        <v>4316836.2383544175</v>
      </c>
      <c r="BE157">
        <f t="shared" si="442"/>
        <v>4812056.2288768226</v>
      </c>
      <c r="BF157">
        <f t="shared" si="443"/>
        <v>5356836.220098692</v>
      </c>
      <c r="BG157">
        <f t="shared" si="444"/>
        <v>5956136.015170821</v>
      </c>
      <c r="BH157">
        <f t="shared" si="445"/>
        <v>6615411.7781590074</v>
      </c>
      <c r="BI157">
        <f t="shared" si="446"/>
        <v>7340665.7082247501</v>
      </c>
      <c r="BJ157">
        <f t="shared" si="447"/>
        <v>8138500.6850358555</v>
      </c>
    </row>
    <row r="158" spans="1:62" x14ac:dyDescent="0.3">
      <c r="D158">
        <f t="shared" si="396"/>
        <v>41191.630127176046</v>
      </c>
      <c r="E158">
        <f t="shared" ref="E158:F162" si="452">(E157+5000)*1.00798-(0.00146*(E157+5000))</f>
        <v>107137.17551552493</v>
      </c>
      <c r="F158">
        <f t="shared" si="452"/>
        <v>178431.40366144749</v>
      </c>
      <c r="G158">
        <f>(G157+5000)*1.00798-(0.00125*(G157+5000))</f>
        <v>255561.44234384564</v>
      </c>
      <c r="H158">
        <f t="shared" si="448"/>
        <v>339672.51462641632</v>
      </c>
      <c r="I158">
        <f t="shared" si="448"/>
        <v>430833.55985958769</v>
      </c>
      <c r="J158">
        <f t="shared" si="449"/>
        <v>530071.21516452229</v>
      </c>
      <c r="K158">
        <f t="shared" si="450"/>
        <v>638716.81393946183</v>
      </c>
      <c r="L158">
        <f t="shared" si="450"/>
        <v>756763.89608257555</v>
      </c>
      <c r="M158">
        <f t="shared" si="450"/>
        <v>885026.00480701402</v>
      </c>
      <c r="N158">
        <f t="shared" si="451"/>
        <v>1025015.858659342</v>
      </c>
      <c r="O158">
        <f t="shared" si="404"/>
        <v>1179326.2664165352</v>
      </c>
      <c r="P158">
        <f t="shared" si="405"/>
        <v>1347403.7665518052</v>
      </c>
      <c r="Q158">
        <f t="shared" si="406"/>
        <v>1530476.6160265661</v>
      </c>
      <c r="R158">
        <f t="shared" si="407"/>
        <v>1729882.653050171</v>
      </c>
      <c r="S158">
        <f t="shared" si="408"/>
        <v>1947079.0735764222</v>
      </c>
      <c r="T158">
        <f t="shared" si="409"/>
        <v>2183653.0800285526</v>
      </c>
      <c r="U158">
        <f t="shared" si="410"/>
        <v>2433317.7937773429</v>
      </c>
      <c r="V158">
        <f t="shared" si="411"/>
        <v>2699962.7816783763</v>
      </c>
      <c r="W158">
        <f t="shared" si="412"/>
        <v>2988957.2641358473</v>
      </c>
      <c r="X158">
        <f t="shared" si="413"/>
        <v>3302174.5180894826</v>
      </c>
      <c r="Y158">
        <f t="shared" si="414"/>
        <v>3641644.8337163334</v>
      </c>
      <c r="Z158">
        <f t="shared" si="415"/>
        <v>4009568.6748750075</v>
      </c>
      <c r="AA158">
        <f t="shared" si="416"/>
        <v>4408330.942624365</v>
      </c>
      <c r="AB158">
        <f t="shared" si="417"/>
        <v>4840516.4342735289</v>
      </c>
      <c r="AC158">
        <f t="shared" si="418"/>
        <v>5308926.5981695615</v>
      </c>
      <c r="AD158">
        <f t="shared" si="419"/>
        <v>5816597.6928281859</v>
      </c>
      <c r="AE158">
        <f t="shared" si="420"/>
        <v>6366820.4681159845</v>
      </c>
      <c r="AI158">
        <f t="shared" si="399"/>
        <v>41463.468483252742</v>
      </c>
      <c r="AJ158">
        <f t="shared" si="421"/>
        <v>108818.10316298256</v>
      </c>
      <c r="AK158">
        <f t="shared" si="422"/>
        <v>182913.36989659636</v>
      </c>
      <c r="AL158">
        <f t="shared" si="423"/>
        <v>264423.8491446948</v>
      </c>
      <c r="AM158">
        <f t="shared" si="424"/>
        <v>354091.63117915252</v>
      </c>
      <c r="AN158">
        <f t="shared" si="425"/>
        <v>452733.07224473916</v>
      </c>
      <c r="AO158">
        <f t="shared" si="426"/>
        <v>561246.22685534914</v>
      </c>
      <c r="AP158">
        <f t="shared" si="427"/>
        <v>680619.0238901868</v>
      </c>
      <c r="AQ158">
        <f t="shared" si="428"/>
        <v>811938.2609269768</v>
      </c>
      <c r="AR158">
        <f t="shared" si="429"/>
        <v>956399.49869869405</v>
      </c>
      <c r="AS158">
        <f t="shared" si="430"/>
        <v>1115317.9457552363</v>
      </c>
      <c r="AT158">
        <f t="shared" si="431"/>
        <v>1290140.432426519</v>
      </c>
      <c r="AU158">
        <f t="shared" si="432"/>
        <v>1482458.583100724</v>
      </c>
      <c r="AV158">
        <f t="shared" si="433"/>
        <v>1694023.3067411745</v>
      </c>
      <c r="AW158">
        <f t="shared" si="434"/>
        <v>1926760.7375668529</v>
      </c>
      <c r="AX158">
        <f t="shared" si="435"/>
        <v>2182789.7710242099</v>
      </c>
      <c r="AY158">
        <f t="shared" si="436"/>
        <v>2464441.3547018119</v>
      </c>
      <c r="AZ158">
        <f t="shared" si="437"/>
        <v>2774279.7098167739</v>
      </c>
      <c r="BA158">
        <f t="shared" si="438"/>
        <v>3115125.6764783105</v>
      </c>
      <c r="BB158">
        <f t="shared" si="439"/>
        <v>3490082.3952690875</v>
      </c>
      <c r="BC158">
        <f t="shared" si="440"/>
        <v>3902563.5589554273</v>
      </c>
      <c r="BD158">
        <f t="shared" si="441"/>
        <v>4356324.491536486</v>
      </c>
      <c r="BE158">
        <f t="shared" si="442"/>
        <v>4855496.3375832606</v>
      </c>
      <c r="BF158">
        <f t="shared" si="443"/>
        <v>5404623.6731350804</v>
      </c>
      <c r="BG158">
        <f t="shared" si="444"/>
        <v>6008705.880571885</v>
      </c>
      <c r="BH158">
        <f t="shared" si="445"/>
        <v>6673242.6641487172</v>
      </c>
      <c r="BI158">
        <f t="shared" si="446"/>
        <v>7404284.1205763845</v>
      </c>
      <c r="BJ158">
        <f t="shared" si="447"/>
        <v>8208485.8205024423</v>
      </c>
    </row>
    <row r="159" spans="1:62" x14ac:dyDescent="0.3">
      <c r="D159">
        <f t="shared" si="396"/>
        <v>46492.799555605241</v>
      </c>
      <c r="E159">
        <f t="shared" si="452"/>
        <v>112868.30989988615</v>
      </c>
      <c r="F159">
        <f t="shared" si="452"/>
        <v>184627.37641332016</v>
      </c>
      <c r="G159">
        <f>(G158+5000)*1.00798-(0.00125*(G158+5000))</f>
        <v>262315.02085081977</v>
      </c>
      <c r="H159">
        <f t="shared" si="448"/>
        <v>346992.16064985213</v>
      </c>
      <c r="I159">
        <f t="shared" si="448"/>
        <v>438766.71971744276</v>
      </c>
      <c r="J159">
        <f t="shared" si="449"/>
        <v>538784.6093977642</v>
      </c>
      <c r="K159">
        <f t="shared" si="450"/>
        <v>648184.20862820174</v>
      </c>
      <c r="L159">
        <f t="shared" si="450"/>
        <v>767050.53752138873</v>
      </c>
      <c r="M159">
        <f t="shared" si="450"/>
        <v>896202.78528037481</v>
      </c>
      <c r="N159">
        <f t="shared" si="451"/>
        <v>1037377.3820011804</v>
      </c>
      <c r="O159">
        <f t="shared" si="404"/>
        <v>1192790.6462426144</v>
      </c>
      <c r="P159">
        <f t="shared" si="405"/>
        <v>1362069.396271351</v>
      </c>
      <c r="Q159">
        <f t="shared" si="406"/>
        <v>1546450.667401308</v>
      </c>
      <c r="R159">
        <f t="shared" si="407"/>
        <v>1747281.8593715206</v>
      </c>
      <c r="S159">
        <f t="shared" si="408"/>
        <v>1966030.5827152729</v>
      </c>
      <c r="T159">
        <f t="shared" si="409"/>
        <v>2204295.3835915169</v>
      </c>
      <c r="U159">
        <f t="shared" si="410"/>
        <v>2454727.6725294646</v>
      </c>
      <c r="V159">
        <f t="shared" si="411"/>
        <v>2723167.1811990719</v>
      </c>
      <c r="W159">
        <f t="shared" si="412"/>
        <v>3014106.5965234819</v>
      </c>
      <c r="X159">
        <f t="shared" si="413"/>
        <v>3329431.8025962254</v>
      </c>
      <c r="Y159">
        <f t="shared" si="414"/>
        <v>3671186.7534472444</v>
      </c>
      <c r="Z159">
        <f t="shared" si="415"/>
        <v>4041586.7220569164</v>
      </c>
      <c r="AA159">
        <f t="shared" si="416"/>
        <v>4443032.6598682273</v>
      </c>
      <c r="AB159">
        <f t="shared" si="417"/>
        <v>4878126.7598761898</v>
      </c>
      <c r="AC159">
        <f t="shared" si="418"/>
        <v>5349689.3241752433</v>
      </c>
      <c r="AD159">
        <f t="shared" si="419"/>
        <v>5860777.0453009205</v>
      </c>
      <c r="AE159">
        <f t="shared" si="420"/>
        <v>6414702.8198664058</v>
      </c>
      <c r="AI159">
        <f t="shared" si="399"/>
        <v>46834.246961749101</v>
      </c>
      <c r="AJ159">
        <f t="shared" si="421"/>
        <v>114726.37162622318</v>
      </c>
      <c r="AK159">
        <f t="shared" si="422"/>
        <v>189412.91858837122</v>
      </c>
      <c r="AL159">
        <f t="shared" si="423"/>
        <v>271573.85146086948</v>
      </c>
      <c r="AM159">
        <f t="shared" si="424"/>
        <v>361957.18239596218</v>
      </c>
      <c r="AN159">
        <f t="shared" si="425"/>
        <v>461385.78216125222</v>
      </c>
      <c r="AO159">
        <f t="shared" si="426"/>
        <v>570764.87174565485</v>
      </c>
      <c r="AP159">
        <f t="shared" si="427"/>
        <v>691090.26370083052</v>
      </c>
      <c r="AQ159">
        <f t="shared" si="428"/>
        <v>823457.42824917415</v>
      </c>
      <c r="AR159">
        <f t="shared" si="429"/>
        <v>969071.46669830976</v>
      </c>
      <c r="AS159">
        <f t="shared" si="430"/>
        <v>1129258.0829623633</v>
      </c>
      <c r="AT159">
        <f t="shared" si="431"/>
        <v>1305475.6530772827</v>
      </c>
      <c r="AU159">
        <f t="shared" si="432"/>
        <v>1499328.5025938679</v>
      </c>
      <c r="AV159">
        <f t="shared" si="433"/>
        <v>1712581.5127289693</v>
      </c>
      <c r="AW159">
        <f t="shared" si="434"/>
        <v>1947176.1882526367</v>
      </c>
      <c r="AX159">
        <f t="shared" si="435"/>
        <v>2205248.3333969833</v>
      </c>
      <c r="AY159">
        <f t="shared" si="436"/>
        <v>2489147.4967123326</v>
      </c>
      <c r="AZ159">
        <f t="shared" si="437"/>
        <v>2801458.3619011119</v>
      </c>
      <c r="BA159">
        <f t="shared" si="438"/>
        <v>3145024.2793766079</v>
      </c>
      <c r="BB159">
        <f t="shared" si="439"/>
        <v>3522973.1527833352</v>
      </c>
      <c r="BC159">
        <f t="shared" si="440"/>
        <v>3938745.916155892</v>
      </c>
      <c r="BD159">
        <f t="shared" si="441"/>
        <v>4396127.860978948</v>
      </c>
      <c r="BE159">
        <f t="shared" si="442"/>
        <v>4899283.0983571755</v>
      </c>
      <c r="BF159">
        <f t="shared" si="443"/>
        <v>5452792.470046699</v>
      </c>
      <c r="BG159">
        <f t="shared" si="444"/>
        <v>6061695.2534988495</v>
      </c>
      <c r="BH159">
        <f t="shared" si="445"/>
        <v>6731535.0406086249</v>
      </c>
      <c r="BI159">
        <f t="shared" si="446"/>
        <v>7468410.2078585848</v>
      </c>
      <c r="BJ159">
        <f t="shared" si="447"/>
        <v>8279029.4373500524</v>
      </c>
    </row>
    <row r="160" spans="1:62" x14ac:dyDescent="0.3">
      <c r="D160">
        <f t="shared" si="396"/>
        <v>51828.532608707792</v>
      </c>
      <c r="E160">
        <f t="shared" si="452"/>
        <v>118636.81128043342</v>
      </c>
      <c r="F160">
        <f t="shared" si="452"/>
        <v>190863.74690753504</v>
      </c>
      <c r="G160">
        <f>(G159+5000)*1.00798-(0.00125*(G159+5000))</f>
        <v>269114.0509411458</v>
      </c>
      <c r="H160">
        <f t="shared" si="448"/>
        <v>354361.06789102568</v>
      </c>
      <c r="I160">
        <f t="shared" si="448"/>
        <v>446753.26974114118</v>
      </c>
      <c r="J160">
        <f t="shared" si="449"/>
        <v>547558.47458698472</v>
      </c>
      <c r="K160">
        <f t="shared" si="450"/>
        <v>657717.30703608156</v>
      </c>
      <c r="L160">
        <f t="shared" si="450"/>
        <v>777408.56825178722</v>
      </c>
      <c r="M160">
        <f t="shared" si="450"/>
        <v>907457.13261022069</v>
      </c>
      <c r="N160">
        <f t="shared" si="451"/>
        <v>1049827.253150343</v>
      </c>
      <c r="O160">
        <f t="shared" si="404"/>
        <v>1206351.2559913103</v>
      </c>
      <c r="P160">
        <f t="shared" si="405"/>
        <v>1376839.8412465025</v>
      </c>
      <c r="Q160">
        <f t="shared" si="406"/>
        <v>1562538.8853212253</v>
      </c>
      <c r="R160">
        <f t="shared" si="407"/>
        <v>1764805.417820449</v>
      </c>
      <c r="S160">
        <f t="shared" si="408"/>
        <v>1985117.5382899393</v>
      </c>
      <c r="T160">
        <f t="shared" si="409"/>
        <v>2225085.217698046</v>
      </c>
      <c r="U160">
        <f t="shared" si="410"/>
        <v>2476281.6397655881</v>
      </c>
      <c r="V160">
        <f t="shared" si="411"/>
        <v>2746527.746328542</v>
      </c>
      <c r="W160">
        <f t="shared" si="412"/>
        <v>3039425.1839180849</v>
      </c>
      <c r="X160">
        <f t="shared" si="413"/>
        <v>3356872.5286276983</v>
      </c>
      <c r="Y160">
        <f t="shared" si="414"/>
        <v>3700927.4902979448</v>
      </c>
      <c r="Z160">
        <f t="shared" si="415"/>
        <v>4073820.2506963597</v>
      </c>
      <c r="AA160">
        <f t="shared" si="416"/>
        <v>4477967.9196691411</v>
      </c>
      <c r="AB160">
        <f t="shared" si="417"/>
        <v>4915990.2029701564</v>
      </c>
      <c r="AC160">
        <f t="shared" si="418"/>
        <v>5390726.383326943</v>
      </c>
      <c r="AD160">
        <f t="shared" si="419"/>
        <v>5905253.7248157971</v>
      </c>
      <c r="AE160">
        <f t="shared" si="420"/>
        <v>6462907.4198441068</v>
      </c>
      <c r="AI160">
        <f t="shared" si="399"/>
        <v>52247.884252503864</v>
      </c>
      <c r="AJ160">
        <f t="shared" si="421"/>
        <v>120681.78807180045</v>
      </c>
      <c r="AK160">
        <f t="shared" si="422"/>
        <v>195964.33367870643</v>
      </c>
      <c r="AL160">
        <f t="shared" si="423"/>
        <v>278780.91079552722</v>
      </c>
      <c r="AM160">
        <f t="shared" si="424"/>
        <v>369885.50071148202</v>
      </c>
      <c r="AN160">
        <f t="shared" si="425"/>
        <v>470107.54070289904</v>
      </c>
      <c r="AO160">
        <f t="shared" si="426"/>
        <v>580359.47542218526</v>
      </c>
      <c r="AP160">
        <f t="shared" si="427"/>
        <v>701645.06400516327</v>
      </c>
      <c r="AQ160">
        <f t="shared" si="428"/>
        <v>835068.51852660265</v>
      </c>
      <c r="AR160">
        <f t="shared" si="429"/>
        <v>981844.55700256233</v>
      </c>
      <c r="AS160">
        <f t="shared" si="430"/>
        <v>1143309.4624644031</v>
      </c>
      <c r="AT160">
        <f t="shared" si="431"/>
        <v>1320933.2487888394</v>
      </c>
      <c r="AU160">
        <f t="shared" si="432"/>
        <v>1516333.0440445673</v>
      </c>
      <c r="AV160">
        <f t="shared" si="433"/>
        <v>1731287.8132005467</v>
      </c>
      <c r="AW160">
        <f t="shared" si="434"/>
        <v>1967754.5542348928</v>
      </c>
      <c r="AX160">
        <f t="shared" si="435"/>
        <v>2227886.1150974915</v>
      </c>
      <c r="AY160">
        <f t="shared" si="436"/>
        <v>2514050.7937360974</v>
      </c>
      <c r="AZ160">
        <f t="shared" si="437"/>
        <v>2828853.899629083</v>
      </c>
      <c r="BA160">
        <f t="shared" si="438"/>
        <v>3175161.4731260333</v>
      </c>
      <c r="BB160">
        <f t="shared" si="439"/>
        <v>3556126.3785425466</v>
      </c>
      <c r="BC160">
        <f t="shared" si="440"/>
        <v>3975217.0085668163</v>
      </c>
      <c r="BD160">
        <f t="shared" si="441"/>
        <v>4436248.86130956</v>
      </c>
      <c r="BE160">
        <f t="shared" si="442"/>
        <v>4943419.2774820663</v>
      </c>
      <c r="BF160">
        <f t="shared" si="443"/>
        <v>5501345.6539576724</v>
      </c>
      <c r="BG160">
        <f t="shared" si="444"/>
        <v>6115107.4816217711</v>
      </c>
      <c r="BH160">
        <f t="shared" si="445"/>
        <v>6790292.5902326824</v>
      </c>
      <c r="BI160">
        <f t="shared" si="446"/>
        <v>7533048.0213172967</v>
      </c>
      <c r="BJ160">
        <f t="shared" si="447"/>
        <v>8350135.9922601068</v>
      </c>
    </row>
    <row r="161" spans="4:62" x14ac:dyDescent="0.3">
      <c r="D161">
        <f t="shared" si="396"/>
        <v>57199.054641316572</v>
      </c>
      <c r="E161">
        <f t="shared" si="452"/>
        <v>124442.92328998187</v>
      </c>
      <c r="F161">
        <f t="shared" si="452"/>
        <v>197140.77853737219</v>
      </c>
      <c r="G161">
        <f>(G160+5000)*1.00798-(0.00125*(G160+5000))</f>
        <v>275958.83850397979</v>
      </c>
      <c r="H161">
        <f t="shared" si="448"/>
        <v>361779.56787793234</v>
      </c>
      <c r="I161">
        <f t="shared" si="448"/>
        <v>454793.5692464991</v>
      </c>
      <c r="J161">
        <f t="shared" si="449"/>
        <v>556393.2304006184</v>
      </c>
      <c r="K161">
        <f t="shared" si="450"/>
        <v>667316.56514691212</v>
      </c>
      <c r="L161">
        <f t="shared" si="450"/>
        <v>787838.4837154547</v>
      </c>
      <c r="M161">
        <f t="shared" si="450"/>
        <v>918789.58511053573</v>
      </c>
      <c r="N161">
        <f t="shared" si="451"/>
        <v>1062366.1035286086</v>
      </c>
      <c r="O161">
        <f t="shared" si="404"/>
        <v>1220008.7834178803</v>
      </c>
      <c r="P161">
        <f t="shared" si="405"/>
        <v>1391715.8505918914</v>
      </c>
      <c r="Q161">
        <f t="shared" si="406"/>
        <v>1578742.0857346163</v>
      </c>
      <c r="R161">
        <f t="shared" si="407"/>
        <v>1782454.217141612</v>
      </c>
      <c r="S161">
        <f t="shared" si="408"/>
        <v>2004340.9083360976</v>
      </c>
      <c r="T161">
        <f t="shared" si="409"/>
        <v>2246023.6367489342</v>
      </c>
      <c r="U161">
        <f t="shared" si="410"/>
        <v>2497980.6652012109</v>
      </c>
      <c r="V161">
        <f t="shared" si="411"/>
        <v>2770045.5280613331</v>
      </c>
      <c r="W161">
        <f t="shared" si="412"/>
        <v>3064914.1654058541</v>
      </c>
      <c r="X161">
        <f t="shared" si="413"/>
        <v>3384497.9307453632</v>
      </c>
      <c r="Y161">
        <f t="shared" si="414"/>
        <v>3730868.3823076501</v>
      </c>
      <c r="Z161">
        <f t="shared" si="415"/>
        <v>4106270.7109835465</v>
      </c>
      <c r="AA161">
        <f t="shared" si="416"/>
        <v>4513138.2937685149</v>
      </c>
      <c r="AB161">
        <f t="shared" si="417"/>
        <v>4954108.4670361467</v>
      </c>
      <c r="AC161">
        <f t="shared" si="418"/>
        <v>5432039.6218867339</v>
      </c>
      <c r="AD161">
        <f t="shared" si="419"/>
        <v>5950029.7323838081</v>
      </c>
      <c r="AE161">
        <f t="shared" si="420"/>
        <v>6511436.4367796583</v>
      </c>
      <c r="AI161">
        <f t="shared" si="399"/>
        <v>57704.722368838848</v>
      </c>
      <c r="AJ161">
        <f t="shared" si="421"/>
        <v>126684.72874061343</v>
      </c>
      <c r="AK161">
        <f t="shared" si="422"/>
        <v>202568.02906146253</v>
      </c>
      <c r="AL161">
        <f t="shared" si="423"/>
        <v>286045.48246367555</v>
      </c>
      <c r="AM161">
        <f t="shared" si="424"/>
        <v>377877.08700715966</v>
      </c>
      <c r="AN161">
        <f t="shared" si="425"/>
        <v>478898.89887770824</v>
      </c>
      <c r="AO161">
        <f t="shared" si="426"/>
        <v>590030.64403605438</v>
      </c>
      <c r="AP161">
        <f t="shared" si="427"/>
        <v>712284.0916159245</v>
      </c>
      <c r="AQ161">
        <f t="shared" si="428"/>
        <v>846772.26530444506</v>
      </c>
      <c r="AR161">
        <f t="shared" si="429"/>
        <v>994719.57656744285</v>
      </c>
      <c r="AS161">
        <f t="shared" si="430"/>
        <v>1157472.9719748693</v>
      </c>
      <c r="AT161">
        <f t="shared" si="431"/>
        <v>1336514.1961141746</v>
      </c>
      <c r="AU161">
        <f t="shared" si="432"/>
        <v>1533473.281736043</v>
      </c>
      <c r="AV161">
        <f t="shared" si="433"/>
        <v>1750143.3899498873</v>
      </c>
      <c r="AW161">
        <f t="shared" si="434"/>
        <v>1988497.1355776875</v>
      </c>
      <c r="AX161">
        <f t="shared" si="435"/>
        <v>2250704.5462959697</v>
      </c>
      <c r="AY161">
        <f t="shared" si="436"/>
        <v>2539152.8190701115</v>
      </c>
      <c r="AZ161">
        <f t="shared" si="437"/>
        <v>2856468.0537481233</v>
      </c>
      <c r="BA161">
        <f t="shared" si="438"/>
        <v>3205539.1616815794</v>
      </c>
      <c r="BB161">
        <f t="shared" si="439"/>
        <v>3589544.1670433166</v>
      </c>
      <c r="BC161">
        <f t="shared" si="440"/>
        <v>4011979.14029518</v>
      </c>
      <c r="BD161">
        <f t="shared" si="441"/>
        <v>4476690.0272228103</v>
      </c>
      <c r="BE161">
        <f t="shared" si="442"/>
        <v>4987907.6633163737</v>
      </c>
      <c r="BF161">
        <f t="shared" si="443"/>
        <v>5550286.2922762549</v>
      </c>
      <c r="BG161">
        <f t="shared" si="444"/>
        <v>6168945.9393251138</v>
      </c>
      <c r="BH161">
        <f t="shared" si="445"/>
        <v>6849519.0251027402</v>
      </c>
      <c r="BI161">
        <f t="shared" si="446"/>
        <v>7598201.6445274092</v>
      </c>
      <c r="BJ161">
        <f t="shared" si="447"/>
        <v>8421809.977478344</v>
      </c>
    </row>
    <row r="162" spans="4:62" x14ac:dyDescent="0.3">
      <c r="D162">
        <f t="shared" si="396"/>
        <v>62604.592477577964</v>
      </c>
      <c r="E162">
        <f t="shared" si="452"/>
        <v>130286.89114983256</v>
      </c>
      <c r="F162">
        <f t="shared" si="452"/>
        <v>203458.73641343586</v>
      </c>
      <c r="G162">
        <f>(G161+5000)*1.00798-(0.00125*(G161+5000))</f>
        <v>282849.69148711156</v>
      </c>
      <c r="H162">
        <f t="shared" si="448"/>
        <v>369247.99436975084</v>
      </c>
      <c r="I162">
        <f t="shared" si="448"/>
        <v>462887.97996752808</v>
      </c>
      <c r="J162">
        <f t="shared" si="449"/>
        <v>565289.29941959877</v>
      </c>
      <c r="K162">
        <f t="shared" si="450"/>
        <v>676982.44210903184</v>
      </c>
      <c r="L162">
        <f t="shared" si="450"/>
        <v>798340.78279244003</v>
      </c>
      <c r="M162">
        <f t="shared" si="450"/>
        <v>930200.68483120296</v>
      </c>
      <c r="N162">
        <f t="shared" si="451"/>
        <v>1074994.5690705278</v>
      </c>
      <c r="O162">
        <f t="shared" si="404"/>
        <v>1233763.921192968</v>
      </c>
      <c r="P162">
        <f t="shared" si="405"/>
        <v>1406698.1787760719</v>
      </c>
      <c r="Q162">
        <f t="shared" si="406"/>
        <v>1595061.0904213616</v>
      </c>
      <c r="R162">
        <f t="shared" si="407"/>
        <v>1800229.1524315232</v>
      </c>
      <c r="S162">
        <f t="shared" si="408"/>
        <v>2023701.6678079758</v>
      </c>
      <c r="T162">
        <f t="shared" si="409"/>
        <v>2267111.7026807792</v>
      </c>
      <c r="U162">
        <f t="shared" si="410"/>
        <v>2519825.7250780151</v>
      </c>
      <c r="V162">
        <f t="shared" si="411"/>
        <v>2793721.5844651861</v>
      </c>
      <c r="W162" s="3">
        <f t="shared" si="412"/>
        <v>3090574.6877390356</v>
      </c>
      <c r="X162">
        <f t="shared" si="413"/>
        <v>3412309.25181928</v>
      </c>
      <c r="Y162">
        <f t="shared" si="414"/>
        <v>3761010.776520581</v>
      </c>
      <c r="Z162">
        <f t="shared" si="415"/>
        <v>4138939.5628684661</v>
      </c>
      <c r="AA162">
        <f t="shared" si="416"/>
        <v>4548545.3644855777</v>
      </c>
      <c r="AB162" s="3">
        <f t="shared" si="417"/>
        <v>4992483.2670192998</v>
      </c>
      <c r="AC162">
        <f t="shared" si="418"/>
        <v>5473630.8985420326</v>
      </c>
      <c r="AD162">
        <f t="shared" si="419"/>
        <v>5995107.0824827515</v>
      </c>
      <c r="AE162">
        <f t="shared" si="420"/>
        <v>6560292.0539991856</v>
      </c>
      <c r="AI162">
        <f t="shared" si="399"/>
        <v>63205.106053342184</v>
      </c>
      <c r="AJ162">
        <f t="shared" si="421"/>
        <v>132735.57287596355</v>
      </c>
      <c r="AK162">
        <f t="shared" si="422"/>
        <v>209224.42193337303</v>
      </c>
      <c r="AL162">
        <f t="shared" si="423"/>
        <v>293368.02541373571</v>
      </c>
      <c r="AM162">
        <f t="shared" si="424"/>
        <v>385932.44616147684</v>
      </c>
      <c r="AN162">
        <f t="shared" si="425"/>
        <v>487760.41209075239</v>
      </c>
      <c r="AO162">
        <f t="shared" si="426"/>
        <v>599778.98857546214</v>
      </c>
      <c r="AP162">
        <f t="shared" si="427"/>
        <v>723008.01866701967</v>
      </c>
      <c r="AQ162">
        <f t="shared" si="428"/>
        <v>858569.40798157465</v>
      </c>
      <c r="AR162">
        <f t="shared" si="429"/>
        <v>1007697.3387884512</v>
      </c>
      <c r="AS162">
        <f t="shared" si="430"/>
        <v>1171749.5062912288</v>
      </c>
      <c r="AT162">
        <f t="shared" si="431"/>
        <v>1352219.4793991658</v>
      </c>
      <c r="AU162">
        <f t="shared" si="432"/>
        <v>1550750.2985242968</v>
      </c>
      <c r="AV162">
        <f t="shared" si="433"/>
        <v>1769149.4342016876</v>
      </c>
      <c r="AW162">
        <f t="shared" si="434"/>
        <v>2009405.2427195976</v>
      </c>
      <c r="AX162">
        <f t="shared" si="435"/>
        <v>2273705.068575412</v>
      </c>
      <c r="AY162">
        <f t="shared" si="436"/>
        <v>2564455.1585662914</v>
      </c>
      <c r="AZ162">
        <f t="shared" si="437"/>
        <v>2884302.5688170334</v>
      </c>
      <c r="BA162">
        <f t="shared" si="438"/>
        <v>3236159.2641917989</v>
      </c>
      <c r="BB162" s="3">
        <f t="shared" si="439"/>
        <v>3623228.6294963225</v>
      </c>
      <c r="BC162">
        <f t="shared" si="440"/>
        <v>4049034.633834736</v>
      </c>
      <c r="BD162">
        <f t="shared" si="441"/>
        <v>4517453.9136400484</v>
      </c>
      <c r="BE162">
        <f t="shared" si="442"/>
        <v>5032751.0664696386</v>
      </c>
      <c r="BF162">
        <f t="shared" si="443"/>
        <v>5599617.4768886203</v>
      </c>
      <c r="BG162" s="3">
        <f t="shared" si="444"/>
        <v>6223214.0279209288</v>
      </c>
      <c r="BH162">
        <f t="shared" si="445"/>
        <v>6909218.0869230609</v>
      </c>
      <c r="BI162">
        <f t="shared" si="446"/>
        <v>7663875.1936507383</v>
      </c>
      <c r="BJ162">
        <f t="shared" si="447"/>
        <v>8494055.9210986216</v>
      </c>
    </row>
    <row r="168" spans="4:62" x14ac:dyDescent="0.3">
      <c r="AE168" t="s">
        <v>93</v>
      </c>
      <c r="AM168" t="s">
        <v>94</v>
      </c>
    </row>
    <row r="170" spans="4:62" x14ac:dyDescent="0.3">
      <c r="AD170" s="4">
        <v>0</v>
      </c>
      <c r="AE170" s="4">
        <v>0.04</v>
      </c>
      <c r="AF170" s="4">
        <v>0.05</v>
      </c>
      <c r="AG170" s="4">
        <v>0.06</v>
      </c>
      <c r="AH170" s="4">
        <v>0.1</v>
      </c>
      <c r="AL170" s="4">
        <v>0</v>
      </c>
      <c r="AM170" s="4">
        <v>0.04</v>
      </c>
      <c r="AN170" s="4">
        <v>0.05</v>
      </c>
      <c r="AO170" s="4">
        <v>0.06</v>
      </c>
      <c r="AP170" s="4">
        <v>7.0000000000000007E-2</v>
      </c>
      <c r="AQ170" s="4">
        <v>0.08</v>
      </c>
      <c r="AR170" s="4">
        <v>0.09</v>
      </c>
      <c r="AS170" s="4">
        <v>0.1</v>
      </c>
    </row>
    <row r="171" spans="4:62" x14ac:dyDescent="0.3">
      <c r="AB171" t="s">
        <v>71</v>
      </c>
      <c r="AC171" t="s">
        <v>91</v>
      </c>
      <c r="AJ171" t="s">
        <v>71</v>
      </c>
      <c r="AK171" t="s">
        <v>91</v>
      </c>
    </row>
    <row r="172" spans="4:62" x14ac:dyDescent="0.3">
      <c r="AB172" t="s">
        <v>71</v>
      </c>
      <c r="AC172" t="s">
        <v>92</v>
      </c>
      <c r="AJ172" t="s">
        <v>71</v>
      </c>
      <c r="AK172" t="s">
        <v>92</v>
      </c>
    </row>
    <row r="173" spans="4:62" x14ac:dyDescent="0.3">
      <c r="AB173" t="s">
        <v>72</v>
      </c>
      <c r="AC173" t="s">
        <v>91</v>
      </c>
      <c r="AD173">
        <f>W26</f>
        <v>1058563.4412193049</v>
      </c>
      <c r="AE173">
        <f>W48</f>
        <v>1579769.1161323932</v>
      </c>
      <c r="AF173">
        <f>W67</f>
        <v>1757476.8308573021</v>
      </c>
      <c r="AG173">
        <f>W86</f>
        <v>1959422.635075921</v>
      </c>
      <c r="AH173">
        <f>W162</f>
        <v>3090574.6877390356</v>
      </c>
      <c r="AJ173" t="s">
        <v>72</v>
      </c>
      <c r="AK173" t="s">
        <v>91</v>
      </c>
      <c r="AL173">
        <f>AB26</f>
        <v>1299437.2803573592</v>
      </c>
      <c r="AM173">
        <f>AB48</f>
        <v>2103511.8353440575</v>
      </c>
      <c r="AN173">
        <f>AB67</f>
        <v>2408278.8523985092</v>
      </c>
      <c r="AO173">
        <f>AB86</f>
        <v>2769419.5667997431</v>
      </c>
      <c r="AP173">
        <f>AB105</f>
        <v>3201228.5373785105</v>
      </c>
      <c r="AQ173">
        <f>AB124</f>
        <v>3703131.4692102927</v>
      </c>
      <c r="AR173">
        <f>AB143</f>
        <v>4292279.830089815</v>
      </c>
      <c r="AS173">
        <f>AB162</f>
        <v>4992483.2670192998</v>
      </c>
    </row>
    <row r="174" spans="4:62" x14ac:dyDescent="0.3">
      <c r="AB174" t="s">
        <v>72</v>
      </c>
      <c r="AC174" t="s">
        <v>92</v>
      </c>
      <c r="AD174">
        <f>BB26</f>
        <v>1200000</v>
      </c>
      <c r="AE174">
        <f>BB48</f>
        <v>1826714.2704262375</v>
      </c>
      <c r="AF174">
        <f>BB67</f>
        <v>2036120.3142691858</v>
      </c>
      <c r="AG174">
        <f>BB86</f>
        <v>2279024.7806546856</v>
      </c>
      <c r="AH174">
        <f>BB162</f>
        <v>3623228.6294963225</v>
      </c>
      <c r="AJ174" t="s">
        <v>72</v>
      </c>
      <c r="AK174" t="s">
        <v>92</v>
      </c>
      <c r="AL174">
        <f>BG26</f>
        <v>1500000</v>
      </c>
      <c r="AM174">
        <f>BG48</f>
        <v>2555353.0397123843</v>
      </c>
      <c r="AN174">
        <f>BG67</f>
        <v>2938428.2744608312</v>
      </c>
      <c r="AO174">
        <f>BG86</f>
        <v>3399442.5918673258</v>
      </c>
      <c r="AP174">
        <f>BG105</f>
        <v>3941725.1948254192</v>
      </c>
      <c r="AQ174">
        <f>BG124</f>
        <v>4579515.3149435585</v>
      </c>
      <c r="AR174">
        <f>BG143</f>
        <v>5329382.9545197655</v>
      </c>
      <c r="AS174">
        <f>BG162</f>
        <v>6223214.0279209288</v>
      </c>
    </row>
    <row r="175" spans="4:62" x14ac:dyDescent="0.3">
      <c r="AB175" t="s">
        <v>73</v>
      </c>
      <c r="AC175" t="s">
        <v>91</v>
      </c>
      <c r="AJ175" t="s">
        <v>73</v>
      </c>
      <c r="AK175" t="s">
        <v>91</v>
      </c>
    </row>
    <row r="176" spans="4:62" x14ac:dyDescent="0.3">
      <c r="AB176" t="s">
        <v>73</v>
      </c>
      <c r="AC176" t="s">
        <v>92</v>
      </c>
      <c r="AJ176" t="s">
        <v>73</v>
      </c>
      <c r="AK176" t="s">
        <v>92</v>
      </c>
    </row>
    <row r="177" spans="28:37" x14ac:dyDescent="0.3">
      <c r="AB177" t="s">
        <v>74</v>
      </c>
      <c r="AC177" t="s">
        <v>91</v>
      </c>
      <c r="AJ177" t="s">
        <v>74</v>
      </c>
      <c r="AK177" t="s">
        <v>91</v>
      </c>
    </row>
    <row r="178" spans="28:37" x14ac:dyDescent="0.3">
      <c r="AB178" t="s">
        <v>74</v>
      </c>
      <c r="AC178" t="s">
        <v>92</v>
      </c>
      <c r="AJ178" t="s">
        <v>74</v>
      </c>
      <c r="AK178" t="s">
        <v>92</v>
      </c>
    </row>
    <row r="179" spans="28:37" x14ac:dyDescent="0.3">
      <c r="AB179" t="s">
        <v>75</v>
      </c>
      <c r="AC179" t="s">
        <v>91</v>
      </c>
      <c r="AJ179" t="s">
        <v>75</v>
      </c>
      <c r="AK179" t="s">
        <v>91</v>
      </c>
    </row>
    <row r="180" spans="28:37" x14ac:dyDescent="0.3">
      <c r="AB180" t="s">
        <v>75</v>
      </c>
      <c r="AC180" t="s">
        <v>92</v>
      </c>
      <c r="AJ180" t="s">
        <v>75</v>
      </c>
      <c r="AK180"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AF190-32EC-45C3-A1B6-03827924E0E8}">
  <dimension ref="A1:BJ180"/>
  <sheetViews>
    <sheetView topLeftCell="AD69" workbookViewId="0">
      <selection activeCell="AH95" sqref="AH95"/>
    </sheetView>
  </sheetViews>
  <sheetFormatPr defaultRowHeight="14.4" x14ac:dyDescent="0.3"/>
  <cols>
    <col min="1" max="1" width="22.6640625" bestFit="1" customWidth="1"/>
    <col min="28" max="28" width="12.44140625" bestFit="1" customWidth="1"/>
    <col min="59" max="59" width="12.44140625" bestFit="1" customWidth="1"/>
  </cols>
  <sheetData>
    <row r="1" spans="1:62" x14ac:dyDescent="0.3">
      <c r="A1" t="s">
        <v>0</v>
      </c>
    </row>
    <row r="3" spans="1:62" x14ac:dyDescent="0.3">
      <c r="A3" t="s">
        <v>1</v>
      </c>
      <c r="B3" s="1">
        <v>1.7500000000000002E-2</v>
      </c>
    </row>
    <row r="4" spans="1:62" x14ac:dyDescent="0.3">
      <c r="A4" t="s">
        <v>5</v>
      </c>
      <c r="B4" s="1">
        <v>1.4999999999999999E-2</v>
      </c>
      <c r="D4" t="s">
        <v>10</v>
      </c>
    </row>
    <row r="5" spans="1:62" x14ac:dyDescent="0.3">
      <c r="A5" t="s">
        <v>6</v>
      </c>
      <c r="B5" s="1">
        <v>1.2500000000000001E-2</v>
      </c>
      <c r="D5" t="s">
        <v>11</v>
      </c>
    </row>
    <row r="6" spans="1:62" x14ac:dyDescent="0.3">
      <c r="A6" t="s">
        <v>2</v>
      </c>
      <c r="B6" s="1">
        <v>0.01</v>
      </c>
      <c r="D6" t="s">
        <v>12</v>
      </c>
    </row>
    <row r="7" spans="1:62" x14ac:dyDescent="0.3">
      <c r="A7" t="s">
        <v>3</v>
      </c>
      <c r="B7" s="1">
        <v>0.01</v>
      </c>
      <c r="D7" t="s">
        <v>13</v>
      </c>
    </row>
    <row r="8" spans="1:62" x14ac:dyDescent="0.3">
      <c r="A8" t="s">
        <v>4</v>
      </c>
      <c r="B8" s="1">
        <v>7.4999999999999997E-3</v>
      </c>
    </row>
    <row r="10" spans="1:62" x14ac:dyDescent="0.3">
      <c r="D10" t="s">
        <v>7</v>
      </c>
      <c r="AI10" t="s">
        <v>7</v>
      </c>
      <c r="AJ10" t="s">
        <v>66</v>
      </c>
    </row>
    <row r="11" spans="1:62" x14ac:dyDescent="0.3">
      <c r="D11" t="s">
        <v>48</v>
      </c>
      <c r="AI11" t="s">
        <v>48</v>
      </c>
    </row>
    <row r="12" spans="1:62" x14ac:dyDescent="0.3">
      <c r="D12" t="s">
        <v>81</v>
      </c>
      <c r="AI12" t="s">
        <v>70</v>
      </c>
    </row>
    <row r="13" spans="1:62" x14ac:dyDescent="0.3">
      <c r="D13" t="s">
        <v>15</v>
      </c>
      <c r="E13" t="s">
        <v>16</v>
      </c>
      <c r="F13" t="s">
        <v>17</v>
      </c>
      <c r="G13" t="s">
        <v>18</v>
      </c>
      <c r="H13" t="s">
        <v>19</v>
      </c>
      <c r="I13" t="s">
        <v>20</v>
      </c>
      <c r="J13" t="s">
        <v>21</v>
      </c>
      <c r="K13" t="s">
        <v>22</v>
      </c>
      <c r="L13" t="s">
        <v>23</v>
      </c>
      <c r="M13" t="s">
        <v>24</v>
      </c>
      <c r="N13" t="s">
        <v>25</v>
      </c>
      <c r="O13" t="s">
        <v>26</v>
      </c>
      <c r="P13" t="s">
        <v>27</v>
      </c>
      <c r="Q13" t="s">
        <v>28</v>
      </c>
      <c r="R13" t="s">
        <v>29</v>
      </c>
      <c r="S13" t="s">
        <v>30</v>
      </c>
      <c r="T13" t="s">
        <v>31</v>
      </c>
      <c r="U13" t="s">
        <v>32</v>
      </c>
      <c r="V13" t="s">
        <v>33</v>
      </c>
      <c r="W13" t="s">
        <v>34</v>
      </c>
      <c r="X13" t="s">
        <v>35</v>
      </c>
      <c r="Y13" t="s">
        <v>36</v>
      </c>
      <c r="Z13" t="s">
        <v>37</v>
      </c>
      <c r="AA13" t="s">
        <v>38</v>
      </c>
      <c r="AB13" t="s">
        <v>39</v>
      </c>
      <c r="AC13" t="s">
        <v>67</v>
      </c>
      <c r="AD13" t="s">
        <v>68</v>
      </c>
      <c r="AE13" t="s">
        <v>69</v>
      </c>
      <c r="AI13" t="s">
        <v>15</v>
      </c>
      <c r="AJ13" t="s">
        <v>16</v>
      </c>
      <c r="AK13" t="s">
        <v>17</v>
      </c>
      <c r="AL13" t="s">
        <v>18</v>
      </c>
      <c r="AM13" t="s">
        <v>19</v>
      </c>
      <c r="AN13" t="s">
        <v>20</v>
      </c>
      <c r="AO13" t="s">
        <v>21</v>
      </c>
      <c r="AP13" t="s">
        <v>22</v>
      </c>
      <c r="AQ13" t="s">
        <v>23</v>
      </c>
      <c r="AR13" t="s">
        <v>24</v>
      </c>
      <c r="AS13" t="s">
        <v>25</v>
      </c>
      <c r="AT13" t="s">
        <v>26</v>
      </c>
      <c r="AU13" t="s">
        <v>27</v>
      </c>
      <c r="AV13" t="s">
        <v>28</v>
      </c>
      <c r="AW13" t="s">
        <v>29</v>
      </c>
      <c r="AX13" t="s">
        <v>30</v>
      </c>
      <c r="AY13" t="s">
        <v>31</v>
      </c>
      <c r="AZ13" t="s">
        <v>32</v>
      </c>
      <c r="BA13" t="s">
        <v>33</v>
      </c>
      <c r="BB13" t="s">
        <v>34</v>
      </c>
      <c r="BC13" t="s">
        <v>35</v>
      </c>
      <c r="BD13" t="s">
        <v>36</v>
      </c>
      <c r="BE13" t="s">
        <v>37</v>
      </c>
      <c r="BF13" t="s">
        <v>38</v>
      </c>
      <c r="BG13" t="s">
        <v>39</v>
      </c>
      <c r="BH13" t="s">
        <v>67</v>
      </c>
      <c r="BI13" t="s">
        <v>68</v>
      </c>
      <c r="BJ13" t="s">
        <v>69</v>
      </c>
    </row>
    <row r="14" spans="1:62" x14ac:dyDescent="0.3">
      <c r="D14">
        <v>0</v>
      </c>
      <c r="AI14">
        <v>0</v>
      </c>
    </row>
    <row r="15" spans="1:62" x14ac:dyDescent="0.3">
      <c r="C15" t="s">
        <v>40</v>
      </c>
      <c r="D15">
        <f t="shared" ref="D15:D26" si="0">(D14+6000)-(0.00146*(D14+6000))</f>
        <v>5991.24</v>
      </c>
      <c r="E15">
        <f>(D26+6000)-(0.00146*(D26+6000))</f>
        <v>77207.476777371005</v>
      </c>
      <c r="F15">
        <f>(E26+6000)-(0.00146*(E26+6000))</f>
        <v>147185.97558558988</v>
      </c>
      <c r="G15">
        <f>(F26+6000)-(0.00146*(F26+6000))</f>
        <v>215948.24830663195</v>
      </c>
      <c r="H15">
        <f>(G26+6000)-(0.00125*(G26+6000))</f>
        <v>283854.49506174115</v>
      </c>
      <c r="I15">
        <f>(H26+6000)-(0.00125*(H26+6000))</f>
        <v>351043.50139415683</v>
      </c>
      <c r="J15">
        <f>(I26+6000)-(0.00125*(I26+6000))</f>
        <v>417231.5727086236</v>
      </c>
      <c r="K15">
        <f>(J26+6000)-(0.00125*(J26+6000))</f>
        <v>482433.62023786904</v>
      </c>
      <c r="L15">
        <f t="shared" ref="L15:S15" si="1">(K26+6000)-(0.00104*(K26+6000))</f>
        <v>547654.41041935736</v>
      </c>
      <c r="M15">
        <f t="shared" si="1"/>
        <v>612373.77401348657</v>
      </c>
      <c r="N15">
        <f t="shared" si="1"/>
        <v>676290.0440018723</v>
      </c>
      <c r="O15">
        <f t="shared" si="1"/>
        <v>739413.18586167251</v>
      </c>
      <c r="P15">
        <f t="shared" si="1"/>
        <v>801753.04140982148</v>
      </c>
      <c r="Q15">
        <f t="shared" si="1"/>
        <v>863319.33033751242</v>
      </c>
      <c r="R15">
        <f t="shared" si="1"/>
        <v>924121.65172563866</v>
      </c>
      <c r="S15">
        <f t="shared" si="1"/>
        <v>984169.48554143042</v>
      </c>
      <c r="T15">
        <f t="shared" ref="T15:AE15" si="2">(S26+6000)-(0.000833*(S26+6000))</f>
        <v>1045375.1643703309</v>
      </c>
      <c r="U15">
        <f t="shared" si="2"/>
        <v>1106584.6804871894</v>
      </c>
      <c r="V15">
        <f t="shared" si="2"/>
        <v>1167185.1417042378</v>
      </c>
      <c r="W15">
        <f t="shared" si="2"/>
        <v>1227182.6083188688</v>
      </c>
      <c r="X15">
        <f t="shared" si="2"/>
        <v>1286583.0803265159</v>
      </c>
      <c r="Y15">
        <f t="shared" si="2"/>
        <v>1345392.4980206764</v>
      </c>
      <c r="Z15">
        <f t="shared" si="2"/>
        <v>1403616.7425869647</v>
      </c>
      <c r="AA15">
        <f t="shared" si="2"/>
        <v>1461261.6366912567</v>
      </c>
      <c r="AB15">
        <f t="shared" si="2"/>
        <v>1518332.945061981</v>
      </c>
      <c r="AC15">
        <f t="shared" si="2"/>
        <v>1574836.3750666117</v>
      </c>
      <c r="AD15">
        <f t="shared" si="2"/>
        <v>1630777.5772824343</v>
      </c>
      <c r="AE15">
        <f t="shared" si="2"/>
        <v>1686162.1460616225</v>
      </c>
      <c r="AH15" t="s">
        <v>40</v>
      </c>
      <c r="AI15">
        <f t="shared" ref="AI15:AI26" si="3">(AI14+6000)-0</f>
        <v>6000</v>
      </c>
      <c r="AJ15">
        <f t="shared" ref="AJ15:BJ15" si="4">(AI26+6000)-0</f>
        <v>78000</v>
      </c>
      <c r="AK15">
        <f t="shared" si="4"/>
        <v>150000</v>
      </c>
      <c r="AL15">
        <f t="shared" si="4"/>
        <v>222000</v>
      </c>
      <c r="AM15">
        <f t="shared" si="4"/>
        <v>294000</v>
      </c>
      <c r="AN15">
        <f t="shared" si="4"/>
        <v>366000</v>
      </c>
      <c r="AO15">
        <f t="shared" si="4"/>
        <v>438000</v>
      </c>
      <c r="AP15">
        <f t="shared" si="4"/>
        <v>510000</v>
      </c>
      <c r="AQ15">
        <f t="shared" si="4"/>
        <v>582000</v>
      </c>
      <c r="AR15">
        <f t="shared" si="4"/>
        <v>654000</v>
      </c>
      <c r="AS15">
        <f t="shared" si="4"/>
        <v>726000</v>
      </c>
      <c r="AT15">
        <f t="shared" si="4"/>
        <v>798000</v>
      </c>
      <c r="AU15">
        <f t="shared" si="4"/>
        <v>870000</v>
      </c>
      <c r="AV15">
        <f t="shared" si="4"/>
        <v>942000</v>
      </c>
      <c r="AW15">
        <f t="shared" si="4"/>
        <v>1014000</v>
      </c>
      <c r="AX15">
        <f t="shared" si="4"/>
        <v>1086000</v>
      </c>
      <c r="AY15">
        <f t="shared" si="4"/>
        <v>1158000</v>
      </c>
      <c r="AZ15">
        <f t="shared" si="4"/>
        <v>1230000</v>
      </c>
      <c r="BA15">
        <f t="shared" si="4"/>
        <v>1302000</v>
      </c>
      <c r="BB15">
        <f t="shared" si="4"/>
        <v>1374000</v>
      </c>
      <c r="BC15">
        <f t="shared" si="4"/>
        <v>1446000</v>
      </c>
      <c r="BD15">
        <f t="shared" si="4"/>
        <v>1518000</v>
      </c>
      <c r="BE15">
        <f t="shared" si="4"/>
        <v>1590000</v>
      </c>
      <c r="BF15">
        <f t="shared" si="4"/>
        <v>1662000</v>
      </c>
      <c r="BG15">
        <f t="shared" si="4"/>
        <v>1734000</v>
      </c>
      <c r="BH15">
        <f t="shared" si="4"/>
        <v>1806000</v>
      </c>
      <c r="BI15">
        <f t="shared" si="4"/>
        <v>1878000</v>
      </c>
      <c r="BJ15">
        <f t="shared" si="4"/>
        <v>1950000</v>
      </c>
    </row>
    <row r="16" spans="1:62" x14ac:dyDescent="0.3">
      <c r="A16">
        <f>0.0175/12</f>
        <v>1.4583333333333334E-3</v>
      </c>
      <c r="B16">
        <v>1.75</v>
      </c>
      <c r="C16" t="s">
        <v>41</v>
      </c>
      <c r="D16">
        <f t="shared" si="0"/>
        <v>11973.732789600001</v>
      </c>
      <c r="E16">
        <f t="shared" ref="E16:G21" si="5">(E15+6000)-(0.00146*(E15+6000))</f>
        <v>83085.993861276045</v>
      </c>
      <c r="F16">
        <f t="shared" si="5"/>
        <v>152962.32406123492</v>
      </c>
      <c r="G16">
        <f t="shared" si="5"/>
        <v>221624.20386410426</v>
      </c>
      <c r="H16">
        <f t="shared" ref="H16:K18" si="6">(H15+6000)-(0.00125*(H15+6000))</f>
        <v>289492.17694291397</v>
      </c>
      <c r="I16">
        <f t="shared" si="6"/>
        <v>356597.19701741415</v>
      </c>
      <c r="J16">
        <f t="shared" si="6"/>
        <v>422702.53324273782</v>
      </c>
      <c r="K16">
        <f t="shared" si="6"/>
        <v>487823.07821257168</v>
      </c>
      <c r="L16">
        <f t="shared" ref="L16:S18" si="7">(L15+6000)-(0.00104*(L15+6000))</f>
        <v>553078.60983252118</v>
      </c>
      <c r="M16">
        <f t="shared" si="7"/>
        <v>617730.66528851259</v>
      </c>
      <c r="N16">
        <f t="shared" si="7"/>
        <v>681580.46235611034</v>
      </c>
      <c r="O16">
        <f t="shared" si="7"/>
        <v>744637.95614837634</v>
      </c>
      <c r="P16">
        <f t="shared" si="7"/>
        <v>806912.97824675532</v>
      </c>
      <c r="Q16">
        <f t="shared" si="7"/>
        <v>868415.2382339614</v>
      </c>
      <c r="R16">
        <f t="shared" si="7"/>
        <v>929154.32520784403</v>
      </c>
      <c r="S16">
        <f t="shared" si="7"/>
        <v>989139.70927646733</v>
      </c>
      <c r="T16">
        <f t="shared" ref="T16:T26" si="8">(T15+6000)-(0.000833*(T15+6000))</f>
        <v>1050499.3688584105</v>
      </c>
      <c r="U16">
        <f t="shared" ref="U16:U26" si="9">(U15+6000)-(0.000833*(U15+6000))</f>
        <v>1111657.8974483437</v>
      </c>
      <c r="V16">
        <f t="shared" ref="V16:V26" si="10">(V15+6000)-(0.000833*(V15+6000))</f>
        <v>1172207.8784811981</v>
      </c>
      <c r="W16">
        <f t="shared" ref="W16:W26" si="11">(W15+6000)-(0.000833*(W15+6000))</f>
        <v>1232155.3672061393</v>
      </c>
      <c r="X16">
        <f t="shared" ref="X16:X26" si="12">(X15+6000)-(0.000833*(X15+6000))</f>
        <v>1291506.358620604</v>
      </c>
      <c r="Y16">
        <f t="shared" ref="Y16:Y26" si="13">(Y15+6000)-(0.000833*(Y15+6000))</f>
        <v>1350266.7880698252</v>
      </c>
      <c r="Z16">
        <f t="shared" ref="Z16:Z26" si="14">(Z15+6000)-(0.000833*(Z15+6000))</f>
        <v>1408442.5318403898</v>
      </c>
      <c r="AA16">
        <f t="shared" ref="AA16:AA26" si="15">(AA15+6000)-(0.000833*(AA15+6000))</f>
        <v>1466039.4077478929</v>
      </c>
      <c r="AB16">
        <f t="shared" ref="AB16:AB26" si="16">(AB15+6000)-(0.000833*(AB15+6000))</f>
        <v>1523063.1757187443</v>
      </c>
      <c r="AC16">
        <f t="shared" ref="AC16:AC26" si="17">(AC15+6000)-(0.000833*(AC15+6000))</f>
        <v>1579519.5383661813</v>
      </c>
      <c r="AD16">
        <f t="shared" ref="AD16:AD26" si="18">(AD15+6000)-(0.000833*(AD15+6000))</f>
        <v>1635414.141560558</v>
      </c>
      <c r="AE16">
        <f t="shared" ref="AE16:AE26" si="19">(AE15+6000)-(0.000833*(AE15+6000))</f>
        <v>1690752.5749939531</v>
      </c>
      <c r="AH16" t="s">
        <v>41</v>
      </c>
      <c r="AI16">
        <f t="shared" si="3"/>
        <v>12000</v>
      </c>
      <c r="AJ16">
        <f t="shared" ref="AJ16:AJ26" si="20">(AJ15+6000)-0</f>
        <v>84000</v>
      </c>
      <c r="AK16">
        <f t="shared" ref="AK16:AK26" si="21">(AK15+6000)-0</f>
        <v>156000</v>
      </c>
      <c r="AL16">
        <f t="shared" ref="AL16:AL26" si="22">(AL15+6000)-0</f>
        <v>228000</v>
      </c>
      <c r="AM16">
        <f t="shared" ref="AM16:AM26" si="23">(AM15+6000)-0</f>
        <v>300000</v>
      </c>
      <c r="AN16">
        <f t="shared" ref="AN16:AN26" si="24">(AN15+6000)-0</f>
        <v>372000</v>
      </c>
      <c r="AO16">
        <f t="shared" ref="AO16:AO26" si="25">(AO15+6000)-0</f>
        <v>444000</v>
      </c>
      <c r="AP16">
        <f t="shared" ref="AP16:AP26" si="26">(AP15+6000)-0</f>
        <v>516000</v>
      </c>
      <c r="AQ16">
        <f t="shared" ref="AQ16:AQ26" si="27">(AQ15+6000)-0</f>
        <v>588000</v>
      </c>
      <c r="AR16">
        <f t="shared" ref="AR16:AR26" si="28">(AR15+6000)-0</f>
        <v>660000</v>
      </c>
      <c r="AS16">
        <f t="shared" ref="AS16:AS26" si="29">(AS15+6000)-0</f>
        <v>732000</v>
      </c>
      <c r="AT16">
        <f t="shared" ref="AT16:AT26" si="30">(AT15+6000)-0</f>
        <v>804000</v>
      </c>
      <c r="AU16">
        <f t="shared" ref="AU16:AU26" si="31">(AU15+6000)-0</f>
        <v>876000</v>
      </c>
      <c r="AV16">
        <f t="shared" ref="AV16:AV26" si="32">(AV15+6000)-0</f>
        <v>948000</v>
      </c>
      <c r="AW16">
        <f t="shared" ref="AW16:AW26" si="33">(AW15+6000)-0</f>
        <v>1020000</v>
      </c>
      <c r="AX16">
        <f t="shared" ref="AX16:AX26" si="34">(AX15+6000)-0</f>
        <v>1092000</v>
      </c>
      <c r="AY16">
        <f t="shared" ref="AY16:AY26" si="35">(AY15+6000)-0</f>
        <v>1164000</v>
      </c>
      <c r="AZ16">
        <f t="shared" ref="AZ16:AZ26" si="36">(AZ15+6000)-0</f>
        <v>1236000</v>
      </c>
      <c r="BA16">
        <f t="shared" ref="BA16:BA26" si="37">(BA15+6000)-0</f>
        <v>1308000</v>
      </c>
      <c r="BB16">
        <f t="shared" ref="BB16:BB26" si="38">(BB15+6000)-0</f>
        <v>1380000</v>
      </c>
      <c r="BC16">
        <f t="shared" ref="BC16:BC26" si="39">(BC15+6000)-0</f>
        <v>1452000</v>
      </c>
      <c r="BD16">
        <f t="shared" ref="BD16:BD26" si="40">(BD15+6000)-0</f>
        <v>1524000</v>
      </c>
      <c r="BE16">
        <f t="shared" ref="BE16:BE26" si="41">(BE15+6000)-0</f>
        <v>1596000</v>
      </c>
      <c r="BF16">
        <f t="shared" ref="BF16:BF26" si="42">(BF15+6000)-0</f>
        <v>1668000</v>
      </c>
      <c r="BG16">
        <f t="shared" ref="BG16:BG26" si="43">(BG15+6000)-0</f>
        <v>1740000</v>
      </c>
      <c r="BH16">
        <f t="shared" ref="BH16:BH26" si="44">(BH15+6000)-0</f>
        <v>1812000</v>
      </c>
      <c r="BI16">
        <f t="shared" ref="BI16:BI26" si="45">(BI15+6000)-0</f>
        <v>1884000</v>
      </c>
      <c r="BJ16">
        <f t="shared" ref="BJ16:BJ26" si="46">(BJ15+6000)-0</f>
        <v>1956000</v>
      </c>
    </row>
    <row r="17" spans="1:62" x14ac:dyDescent="0.3">
      <c r="A17">
        <f>0.015/12</f>
        <v>1.25E-3</v>
      </c>
      <c r="B17">
        <v>1.5</v>
      </c>
      <c r="C17" t="s">
        <v>42</v>
      </c>
      <c r="D17">
        <f t="shared" si="0"/>
        <v>17947.491139727183</v>
      </c>
      <c r="E17">
        <f t="shared" si="5"/>
        <v>88955.928310238582</v>
      </c>
      <c r="F17">
        <f t="shared" si="5"/>
        <v>158730.23906810553</v>
      </c>
      <c r="G17">
        <f t="shared" si="5"/>
        <v>227291.87252646266</v>
      </c>
      <c r="H17">
        <f t="shared" si="6"/>
        <v>295122.81172173534</v>
      </c>
      <c r="I17">
        <f t="shared" si="6"/>
        <v>362143.9505211424</v>
      </c>
      <c r="J17">
        <f t="shared" si="6"/>
        <v>428166.65507618437</v>
      </c>
      <c r="K17">
        <f t="shared" si="6"/>
        <v>493205.79936480598</v>
      </c>
      <c r="L17">
        <f t="shared" si="7"/>
        <v>558497.1680782953</v>
      </c>
      <c r="M17">
        <f t="shared" si="7"/>
        <v>623081.98539661255</v>
      </c>
      <c r="N17">
        <f t="shared" si="7"/>
        <v>686865.37867526</v>
      </c>
      <c r="O17">
        <f t="shared" si="7"/>
        <v>749857.29267398198</v>
      </c>
      <c r="P17">
        <f t="shared" si="7"/>
        <v>812067.54874937865</v>
      </c>
      <c r="Q17">
        <f t="shared" si="7"/>
        <v>873505.84638619807</v>
      </c>
      <c r="R17">
        <f t="shared" si="7"/>
        <v>934181.76470962784</v>
      </c>
      <c r="S17">
        <f t="shared" si="7"/>
        <v>994104.76397881983</v>
      </c>
      <c r="T17">
        <f t="shared" si="8"/>
        <v>1055619.3048841516</v>
      </c>
      <c r="U17">
        <f t="shared" si="9"/>
        <v>1116726.8884197692</v>
      </c>
      <c r="V17">
        <f t="shared" si="10"/>
        <v>1177226.4313184232</v>
      </c>
      <c r="W17">
        <f t="shared" si="11"/>
        <v>1237123.9837852565</v>
      </c>
      <c r="X17">
        <f t="shared" si="12"/>
        <v>1296425.535823873</v>
      </c>
      <c r="Y17">
        <f t="shared" si="13"/>
        <v>1355137.017835363</v>
      </c>
      <c r="Z17">
        <f t="shared" si="14"/>
        <v>1413264.3012113669</v>
      </c>
      <c r="AA17">
        <f t="shared" si="15"/>
        <v>1470813.198921239</v>
      </c>
      <c r="AB17">
        <f t="shared" si="16"/>
        <v>1527789.4660933705</v>
      </c>
      <c r="AC17">
        <f t="shared" si="17"/>
        <v>1584198.8005907224</v>
      </c>
      <c r="AD17">
        <f t="shared" si="18"/>
        <v>1640046.8435806381</v>
      </c>
      <c r="AE17">
        <f t="shared" si="19"/>
        <v>1695339.1800989832</v>
      </c>
      <c r="AH17" t="s">
        <v>42</v>
      </c>
      <c r="AI17">
        <f t="shared" si="3"/>
        <v>18000</v>
      </c>
      <c r="AJ17">
        <f t="shared" si="20"/>
        <v>90000</v>
      </c>
      <c r="AK17">
        <f t="shared" si="21"/>
        <v>162000</v>
      </c>
      <c r="AL17">
        <f t="shared" si="22"/>
        <v>234000</v>
      </c>
      <c r="AM17">
        <f t="shared" si="23"/>
        <v>306000</v>
      </c>
      <c r="AN17">
        <f t="shared" si="24"/>
        <v>378000</v>
      </c>
      <c r="AO17">
        <f t="shared" si="25"/>
        <v>450000</v>
      </c>
      <c r="AP17">
        <f t="shared" si="26"/>
        <v>522000</v>
      </c>
      <c r="AQ17">
        <f t="shared" si="27"/>
        <v>594000</v>
      </c>
      <c r="AR17">
        <f t="shared" si="28"/>
        <v>666000</v>
      </c>
      <c r="AS17">
        <f t="shared" si="29"/>
        <v>738000</v>
      </c>
      <c r="AT17">
        <f t="shared" si="30"/>
        <v>810000</v>
      </c>
      <c r="AU17">
        <f t="shared" si="31"/>
        <v>882000</v>
      </c>
      <c r="AV17">
        <f t="shared" si="32"/>
        <v>954000</v>
      </c>
      <c r="AW17">
        <f t="shared" si="33"/>
        <v>1026000</v>
      </c>
      <c r="AX17">
        <f t="shared" si="34"/>
        <v>1098000</v>
      </c>
      <c r="AY17">
        <f t="shared" si="35"/>
        <v>1170000</v>
      </c>
      <c r="AZ17">
        <f t="shared" si="36"/>
        <v>1242000</v>
      </c>
      <c r="BA17">
        <f t="shared" si="37"/>
        <v>1314000</v>
      </c>
      <c r="BB17">
        <f t="shared" si="38"/>
        <v>1386000</v>
      </c>
      <c r="BC17">
        <f t="shared" si="39"/>
        <v>1458000</v>
      </c>
      <c r="BD17">
        <f t="shared" si="40"/>
        <v>1530000</v>
      </c>
      <c r="BE17">
        <f t="shared" si="41"/>
        <v>1602000</v>
      </c>
      <c r="BF17">
        <f t="shared" si="42"/>
        <v>1674000</v>
      </c>
      <c r="BG17">
        <f t="shared" si="43"/>
        <v>1746000</v>
      </c>
      <c r="BH17">
        <f t="shared" si="44"/>
        <v>1818000</v>
      </c>
      <c r="BI17">
        <f t="shared" si="45"/>
        <v>1890000</v>
      </c>
      <c r="BJ17">
        <f t="shared" si="46"/>
        <v>1962000</v>
      </c>
    </row>
    <row r="18" spans="1:62" x14ac:dyDescent="0.3">
      <c r="A18">
        <f>0.0125/12</f>
        <v>1.0416666666666667E-3</v>
      </c>
      <c r="B18">
        <v>1.25</v>
      </c>
      <c r="C18" t="s">
        <v>43</v>
      </c>
      <c r="D18">
        <f t="shared" si="0"/>
        <v>23912.527802663182</v>
      </c>
      <c r="E18">
        <f t="shared" si="5"/>
        <v>94817.292654905628</v>
      </c>
      <c r="F18">
        <f t="shared" si="5"/>
        <v>164489.7329190661</v>
      </c>
      <c r="G18">
        <f t="shared" si="5"/>
        <v>232951.26639257403</v>
      </c>
      <c r="H18">
        <f t="shared" si="6"/>
        <v>300746.40820708318</v>
      </c>
      <c r="I18">
        <f t="shared" si="6"/>
        <v>367683.77058299095</v>
      </c>
      <c r="J18">
        <f t="shared" si="6"/>
        <v>433623.94675733912</v>
      </c>
      <c r="K18">
        <f t="shared" si="6"/>
        <v>498581.79211559996</v>
      </c>
      <c r="L18">
        <f t="shared" si="7"/>
        <v>563910.09102349391</v>
      </c>
      <c r="M18">
        <f t="shared" si="7"/>
        <v>628427.74013180006</v>
      </c>
      <c r="N18">
        <f t="shared" si="7"/>
        <v>692144.79868143774</v>
      </c>
      <c r="O18">
        <f t="shared" si="7"/>
        <v>755071.20108960103</v>
      </c>
      <c r="P18">
        <f t="shared" si="7"/>
        <v>817216.75849867926</v>
      </c>
      <c r="Q18">
        <f t="shared" si="7"/>
        <v>878591.16030595638</v>
      </c>
      <c r="R18">
        <f t="shared" si="7"/>
        <v>939203.97567432979</v>
      </c>
      <c r="S18">
        <f t="shared" si="7"/>
        <v>999064.65502428182</v>
      </c>
      <c r="T18">
        <f t="shared" si="8"/>
        <v>1060734.9760031831</v>
      </c>
      <c r="U18">
        <f t="shared" si="9"/>
        <v>1121791.6569217155</v>
      </c>
      <c r="V18">
        <f t="shared" si="10"/>
        <v>1182240.8037011351</v>
      </c>
      <c r="W18">
        <f t="shared" si="11"/>
        <v>1242088.4615067635</v>
      </c>
      <c r="X18">
        <f t="shared" si="12"/>
        <v>1301340.6153525317</v>
      </c>
      <c r="Y18">
        <f t="shared" si="13"/>
        <v>1360003.1906995061</v>
      </c>
      <c r="Z18">
        <f t="shared" si="14"/>
        <v>1418082.0540484579</v>
      </c>
      <c r="AA18">
        <f t="shared" si="15"/>
        <v>1475583.0135265377</v>
      </c>
      <c r="AB18">
        <f t="shared" si="16"/>
        <v>1532511.8194681148</v>
      </c>
      <c r="AC18">
        <f t="shared" si="17"/>
        <v>1588874.1649898302</v>
      </c>
      <c r="AD18">
        <f t="shared" si="18"/>
        <v>1644675.6865599353</v>
      </c>
      <c r="AE18">
        <f t="shared" si="19"/>
        <v>1699921.9645619607</v>
      </c>
      <c r="AH18" t="s">
        <v>43</v>
      </c>
      <c r="AI18">
        <f t="shared" si="3"/>
        <v>24000</v>
      </c>
      <c r="AJ18">
        <f t="shared" si="20"/>
        <v>96000</v>
      </c>
      <c r="AK18">
        <f t="shared" si="21"/>
        <v>168000</v>
      </c>
      <c r="AL18">
        <f t="shared" si="22"/>
        <v>240000</v>
      </c>
      <c r="AM18">
        <f t="shared" si="23"/>
        <v>312000</v>
      </c>
      <c r="AN18">
        <f t="shared" si="24"/>
        <v>384000</v>
      </c>
      <c r="AO18">
        <f t="shared" si="25"/>
        <v>456000</v>
      </c>
      <c r="AP18">
        <f t="shared" si="26"/>
        <v>528000</v>
      </c>
      <c r="AQ18">
        <f t="shared" si="27"/>
        <v>600000</v>
      </c>
      <c r="AR18">
        <f t="shared" si="28"/>
        <v>672000</v>
      </c>
      <c r="AS18">
        <f t="shared" si="29"/>
        <v>744000</v>
      </c>
      <c r="AT18">
        <f t="shared" si="30"/>
        <v>816000</v>
      </c>
      <c r="AU18">
        <f t="shared" si="31"/>
        <v>888000</v>
      </c>
      <c r="AV18">
        <f t="shared" si="32"/>
        <v>960000</v>
      </c>
      <c r="AW18">
        <f t="shared" si="33"/>
        <v>1032000</v>
      </c>
      <c r="AX18">
        <f t="shared" si="34"/>
        <v>1104000</v>
      </c>
      <c r="AY18">
        <f t="shared" si="35"/>
        <v>1176000</v>
      </c>
      <c r="AZ18">
        <f t="shared" si="36"/>
        <v>1248000</v>
      </c>
      <c r="BA18">
        <f t="shared" si="37"/>
        <v>1320000</v>
      </c>
      <c r="BB18">
        <f t="shared" si="38"/>
        <v>1392000</v>
      </c>
      <c r="BC18">
        <f t="shared" si="39"/>
        <v>1464000</v>
      </c>
      <c r="BD18">
        <f t="shared" si="40"/>
        <v>1536000</v>
      </c>
      <c r="BE18">
        <f t="shared" si="41"/>
        <v>1608000</v>
      </c>
      <c r="BF18">
        <f t="shared" si="42"/>
        <v>1680000</v>
      </c>
      <c r="BG18">
        <f t="shared" si="43"/>
        <v>1752000</v>
      </c>
      <c r="BH18">
        <f t="shared" si="44"/>
        <v>1824000</v>
      </c>
      <c r="BI18">
        <f t="shared" si="45"/>
        <v>1896000</v>
      </c>
      <c r="BJ18">
        <f t="shared" si="46"/>
        <v>1968000</v>
      </c>
    </row>
    <row r="19" spans="1:62" x14ac:dyDescent="0.3">
      <c r="A19">
        <f>0.01/12</f>
        <v>8.3333333333333339E-4</v>
      </c>
      <c r="B19">
        <v>1</v>
      </c>
      <c r="C19" t="s">
        <v>42</v>
      </c>
      <c r="D19">
        <f t="shared" si="0"/>
        <v>29868.855512071295</v>
      </c>
      <c r="E19">
        <f t="shared" si="5"/>
        <v>100670.09940762946</v>
      </c>
      <c r="F19">
        <f t="shared" si="5"/>
        <v>170240.81790900425</v>
      </c>
      <c r="G19">
        <f t="shared" si="5"/>
        <v>238602.39754364087</v>
      </c>
      <c r="H19">
        <f t="shared" ref="H19:J26" si="47">(H18+6000)-(0.00125*(H18+6000))</f>
        <v>306362.97519682435</v>
      </c>
      <c r="I19">
        <f t="shared" si="47"/>
        <v>373216.66586976219</v>
      </c>
      <c r="J19">
        <f t="shared" si="47"/>
        <v>439074.41682389245</v>
      </c>
      <c r="K19">
        <f t="shared" ref="K19:R26" si="48">(K18+6000)-(0.00104*(K18+6000))</f>
        <v>504057.02705179976</v>
      </c>
      <c r="L19">
        <f t="shared" si="48"/>
        <v>569317.38452882948</v>
      </c>
      <c r="M19">
        <f t="shared" si="48"/>
        <v>633767.93528206297</v>
      </c>
      <c r="N19">
        <f t="shared" si="48"/>
        <v>697418.72809080908</v>
      </c>
      <c r="O19">
        <f t="shared" si="48"/>
        <v>760279.68704046786</v>
      </c>
      <c r="P19">
        <f t="shared" si="48"/>
        <v>822360.61306984059</v>
      </c>
      <c r="Q19">
        <f t="shared" si="48"/>
        <v>883671.1854992382</v>
      </c>
      <c r="R19">
        <f t="shared" si="48"/>
        <v>944220.96353962854</v>
      </c>
      <c r="S19">
        <f t="shared" ref="S19:S26" si="49">(S18+6000)-(0.000833*(S18+6000))</f>
        <v>1004227.4361666465</v>
      </c>
      <c r="T19">
        <f t="shared" si="8"/>
        <v>1065846.3857681723</v>
      </c>
      <c r="U19">
        <f t="shared" si="9"/>
        <v>1126852.2064714998</v>
      </c>
      <c r="V19">
        <f t="shared" si="10"/>
        <v>1187250.9991116521</v>
      </c>
      <c r="W19">
        <f t="shared" si="11"/>
        <v>1247048.8038183283</v>
      </c>
      <c r="X19">
        <f t="shared" si="12"/>
        <v>1306251.6006199431</v>
      </c>
      <c r="Y19">
        <f t="shared" si="13"/>
        <v>1364865.3100416535</v>
      </c>
      <c r="Z19">
        <f t="shared" si="14"/>
        <v>1422895.7936974354</v>
      </c>
      <c r="AA19">
        <f t="shared" si="15"/>
        <v>1480348.8548762701</v>
      </c>
      <c r="AB19">
        <f t="shared" si="16"/>
        <v>1537230.2391224978</v>
      </c>
      <c r="AC19">
        <f t="shared" si="17"/>
        <v>1593545.6348103937</v>
      </c>
      <c r="AD19">
        <f t="shared" si="18"/>
        <v>1649300.673713031</v>
      </c>
      <c r="AE19">
        <f t="shared" si="19"/>
        <v>1704500.9315654805</v>
      </c>
      <c r="AH19" t="s">
        <v>42</v>
      </c>
      <c r="AI19">
        <f t="shared" si="3"/>
        <v>30000</v>
      </c>
      <c r="AJ19">
        <f t="shared" si="20"/>
        <v>102000</v>
      </c>
      <c r="AK19">
        <f t="shared" si="21"/>
        <v>174000</v>
      </c>
      <c r="AL19">
        <f t="shared" si="22"/>
        <v>246000</v>
      </c>
      <c r="AM19">
        <f t="shared" si="23"/>
        <v>318000</v>
      </c>
      <c r="AN19">
        <f t="shared" si="24"/>
        <v>390000</v>
      </c>
      <c r="AO19">
        <f t="shared" si="25"/>
        <v>462000</v>
      </c>
      <c r="AP19">
        <f t="shared" si="26"/>
        <v>534000</v>
      </c>
      <c r="AQ19">
        <f t="shared" si="27"/>
        <v>606000</v>
      </c>
      <c r="AR19">
        <f t="shared" si="28"/>
        <v>678000</v>
      </c>
      <c r="AS19">
        <f t="shared" si="29"/>
        <v>750000</v>
      </c>
      <c r="AT19">
        <f t="shared" si="30"/>
        <v>822000</v>
      </c>
      <c r="AU19">
        <f t="shared" si="31"/>
        <v>894000</v>
      </c>
      <c r="AV19">
        <f t="shared" si="32"/>
        <v>966000</v>
      </c>
      <c r="AW19">
        <f t="shared" si="33"/>
        <v>1038000</v>
      </c>
      <c r="AX19">
        <f t="shared" si="34"/>
        <v>1110000</v>
      </c>
      <c r="AY19">
        <f t="shared" si="35"/>
        <v>1182000</v>
      </c>
      <c r="AZ19">
        <f t="shared" si="36"/>
        <v>1254000</v>
      </c>
      <c r="BA19">
        <f t="shared" si="37"/>
        <v>1326000</v>
      </c>
      <c r="BB19">
        <f t="shared" si="38"/>
        <v>1398000</v>
      </c>
      <c r="BC19">
        <f t="shared" si="39"/>
        <v>1470000</v>
      </c>
      <c r="BD19">
        <f t="shared" si="40"/>
        <v>1542000</v>
      </c>
      <c r="BE19">
        <f t="shared" si="41"/>
        <v>1614000</v>
      </c>
      <c r="BF19">
        <f t="shared" si="42"/>
        <v>1686000</v>
      </c>
      <c r="BG19">
        <f t="shared" si="43"/>
        <v>1758000</v>
      </c>
      <c r="BH19">
        <f t="shared" si="44"/>
        <v>1830000</v>
      </c>
      <c r="BI19">
        <f t="shared" si="45"/>
        <v>1902000</v>
      </c>
      <c r="BJ19">
        <f t="shared" si="46"/>
        <v>1974000</v>
      </c>
    </row>
    <row r="20" spans="1:62" x14ac:dyDescent="0.3">
      <c r="C20" t="s">
        <v>40</v>
      </c>
      <c r="D20">
        <f t="shared" si="0"/>
        <v>35816.486983023678</v>
      </c>
      <c r="E20">
        <f t="shared" si="5"/>
        <v>106514.36106249432</v>
      </c>
      <c r="F20">
        <f t="shared" si="5"/>
        <v>175983.50631485711</v>
      </c>
      <c r="G20">
        <f t="shared" si="5"/>
        <v>244245.27804322715</v>
      </c>
      <c r="H20">
        <f t="shared" si="47"/>
        <v>311972.52147782833</v>
      </c>
      <c r="I20">
        <f t="shared" si="47"/>
        <v>378742.64503742498</v>
      </c>
      <c r="J20">
        <f t="shared" si="47"/>
        <v>444518.07380286261</v>
      </c>
      <c r="K20">
        <f t="shared" si="48"/>
        <v>509526.56774366589</v>
      </c>
      <c r="L20">
        <f t="shared" si="48"/>
        <v>574719.05444891949</v>
      </c>
      <c r="M20">
        <f t="shared" si="48"/>
        <v>639102.57662936964</v>
      </c>
      <c r="N20">
        <f t="shared" si="48"/>
        <v>702687.17261359468</v>
      </c>
      <c r="O20">
        <f t="shared" si="48"/>
        <v>765482.75616594579</v>
      </c>
      <c r="P20">
        <f t="shared" si="48"/>
        <v>827499.11803224799</v>
      </c>
      <c r="Q20">
        <f t="shared" si="48"/>
        <v>888745.92746631894</v>
      </c>
      <c r="R20">
        <f t="shared" si="48"/>
        <v>949232.7337375473</v>
      </c>
      <c r="S20">
        <f t="shared" si="49"/>
        <v>1009385.9167123197</v>
      </c>
      <c r="T20">
        <f t="shared" si="8"/>
        <v>1070953.5377288274</v>
      </c>
      <c r="U20">
        <f t="shared" si="9"/>
        <v>1131908.540583509</v>
      </c>
      <c r="V20">
        <f t="shared" si="10"/>
        <v>1192257.021029392</v>
      </c>
      <c r="W20">
        <f t="shared" si="11"/>
        <v>1252005.0141647477</v>
      </c>
      <c r="X20">
        <f t="shared" si="12"/>
        <v>1311158.4950366267</v>
      </c>
      <c r="Y20">
        <f t="shared" si="13"/>
        <v>1369723.3792383887</v>
      </c>
      <c r="Z20">
        <f t="shared" si="14"/>
        <v>1427705.5235012854</v>
      </c>
      <c r="AA20">
        <f t="shared" si="15"/>
        <v>1485110.7262801582</v>
      </c>
      <c r="AB20">
        <f t="shared" si="16"/>
        <v>1541944.7283333088</v>
      </c>
      <c r="AC20">
        <f t="shared" si="17"/>
        <v>1598213.2132965967</v>
      </c>
      <c r="AD20">
        <f t="shared" si="18"/>
        <v>1653921.808251828</v>
      </c>
      <c r="AE20">
        <f t="shared" si="19"/>
        <v>1709076.0842894865</v>
      </c>
      <c r="AH20" t="s">
        <v>40</v>
      </c>
      <c r="AI20">
        <f t="shared" si="3"/>
        <v>36000</v>
      </c>
      <c r="AJ20">
        <f t="shared" si="20"/>
        <v>108000</v>
      </c>
      <c r="AK20">
        <f t="shared" si="21"/>
        <v>180000</v>
      </c>
      <c r="AL20">
        <f t="shared" si="22"/>
        <v>252000</v>
      </c>
      <c r="AM20">
        <f t="shared" si="23"/>
        <v>324000</v>
      </c>
      <c r="AN20">
        <f t="shared" si="24"/>
        <v>396000</v>
      </c>
      <c r="AO20">
        <f t="shared" si="25"/>
        <v>468000</v>
      </c>
      <c r="AP20">
        <f t="shared" si="26"/>
        <v>540000</v>
      </c>
      <c r="AQ20">
        <f t="shared" si="27"/>
        <v>612000</v>
      </c>
      <c r="AR20">
        <f t="shared" si="28"/>
        <v>684000</v>
      </c>
      <c r="AS20">
        <f t="shared" si="29"/>
        <v>756000</v>
      </c>
      <c r="AT20">
        <f t="shared" si="30"/>
        <v>828000</v>
      </c>
      <c r="AU20">
        <f t="shared" si="31"/>
        <v>900000</v>
      </c>
      <c r="AV20">
        <f t="shared" si="32"/>
        <v>972000</v>
      </c>
      <c r="AW20">
        <f t="shared" si="33"/>
        <v>1044000</v>
      </c>
      <c r="AX20">
        <f t="shared" si="34"/>
        <v>1116000</v>
      </c>
      <c r="AY20">
        <f t="shared" si="35"/>
        <v>1188000</v>
      </c>
      <c r="AZ20">
        <f t="shared" si="36"/>
        <v>1260000</v>
      </c>
      <c r="BA20">
        <f t="shared" si="37"/>
        <v>1332000</v>
      </c>
      <c r="BB20">
        <f t="shared" si="38"/>
        <v>1404000</v>
      </c>
      <c r="BC20">
        <f t="shared" si="39"/>
        <v>1476000</v>
      </c>
      <c r="BD20">
        <f t="shared" si="40"/>
        <v>1548000</v>
      </c>
      <c r="BE20">
        <f t="shared" si="41"/>
        <v>1620000</v>
      </c>
      <c r="BF20">
        <f t="shared" si="42"/>
        <v>1692000</v>
      </c>
      <c r="BG20">
        <f t="shared" si="43"/>
        <v>1764000</v>
      </c>
      <c r="BH20">
        <f t="shared" si="44"/>
        <v>1836000</v>
      </c>
      <c r="BI20">
        <f t="shared" si="45"/>
        <v>1908000</v>
      </c>
      <c r="BJ20">
        <f t="shared" si="46"/>
        <v>1980000</v>
      </c>
    </row>
    <row r="21" spans="1:62" x14ac:dyDescent="0.3">
      <c r="C21" t="s">
        <v>40</v>
      </c>
      <c r="D21">
        <f t="shared" si="0"/>
        <v>41755.434912028461</v>
      </c>
      <c r="E21">
        <f t="shared" si="5"/>
        <v>112350.09009534308</v>
      </c>
      <c r="F21">
        <f t="shared" si="5"/>
        <v>181717.81039563741</v>
      </c>
      <c r="G21">
        <f t="shared" si="5"/>
        <v>249879.91993728405</v>
      </c>
      <c r="H21">
        <f t="shared" si="47"/>
        <v>317575.05582598102</v>
      </c>
      <c r="I21">
        <f t="shared" si="47"/>
        <v>384261.71673112822</v>
      </c>
      <c r="J21">
        <f t="shared" si="47"/>
        <v>449954.92621060903</v>
      </c>
      <c r="K21">
        <f t="shared" si="48"/>
        <v>514990.42011321249</v>
      </c>
      <c r="L21">
        <f t="shared" si="48"/>
        <v>580115.10663229262</v>
      </c>
      <c r="M21">
        <f t="shared" si="48"/>
        <v>644431.6699496751</v>
      </c>
      <c r="N21">
        <f t="shared" si="48"/>
        <v>707950.13795407652</v>
      </c>
      <c r="O21">
        <f t="shared" si="48"/>
        <v>770680.41409953323</v>
      </c>
      <c r="P21">
        <f t="shared" si="48"/>
        <v>832632.27894949447</v>
      </c>
      <c r="Q21">
        <f t="shared" si="48"/>
        <v>893815.39170175395</v>
      </c>
      <c r="R21">
        <f t="shared" si="48"/>
        <v>954239.2916944602</v>
      </c>
      <c r="S21">
        <f t="shared" si="49"/>
        <v>1014540.1002436983</v>
      </c>
      <c r="T21">
        <f t="shared" si="8"/>
        <v>1076056.4354318993</v>
      </c>
      <c r="U21">
        <f t="shared" si="9"/>
        <v>1136960.6627692028</v>
      </c>
      <c r="V21">
        <f t="shared" si="10"/>
        <v>1197258.8729308746</v>
      </c>
      <c r="W21">
        <f t="shared" si="11"/>
        <v>1256957.0959879484</v>
      </c>
      <c r="X21">
        <f t="shared" si="12"/>
        <v>1316061.3020102612</v>
      </c>
      <c r="Y21">
        <f t="shared" si="13"/>
        <v>1374577.4016634831</v>
      </c>
      <c r="Z21">
        <f t="shared" si="14"/>
        <v>1432511.2468002087</v>
      </c>
      <c r="AA21">
        <f t="shared" si="15"/>
        <v>1489868.6310451669</v>
      </c>
      <c r="AB21">
        <f t="shared" si="16"/>
        <v>1546655.2903746071</v>
      </c>
      <c r="AC21">
        <f t="shared" si="17"/>
        <v>1602876.9036899207</v>
      </c>
      <c r="AD21">
        <f t="shared" si="18"/>
        <v>1658539.0933855542</v>
      </c>
      <c r="AE21">
        <f t="shared" si="19"/>
        <v>1713647.4259112733</v>
      </c>
      <c r="AH21" t="s">
        <v>40</v>
      </c>
      <c r="AI21">
        <f t="shared" si="3"/>
        <v>42000</v>
      </c>
      <c r="AJ21">
        <f t="shared" si="20"/>
        <v>114000</v>
      </c>
      <c r="AK21">
        <f t="shared" si="21"/>
        <v>186000</v>
      </c>
      <c r="AL21">
        <f t="shared" si="22"/>
        <v>258000</v>
      </c>
      <c r="AM21">
        <f t="shared" si="23"/>
        <v>330000</v>
      </c>
      <c r="AN21">
        <f t="shared" si="24"/>
        <v>402000</v>
      </c>
      <c r="AO21">
        <f t="shared" si="25"/>
        <v>474000</v>
      </c>
      <c r="AP21">
        <f t="shared" si="26"/>
        <v>546000</v>
      </c>
      <c r="AQ21">
        <f t="shared" si="27"/>
        <v>618000</v>
      </c>
      <c r="AR21">
        <f t="shared" si="28"/>
        <v>690000</v>
      </c>
      <c r="AS21">
        <f t="shared" si="29"/>
        <v>762000</v>
      </c>
      <c r="AT21">
        <f t="shared" si="30"/>
        <v>834000</v>
      </c>
      <c r="AU21">
        <f t="shared" si="31"/>
        <v>906000</v>
      </c>
      <c r="AV21">
        <f t="shared" si="32"/>
        <v>978000</v>
      </c>
      <c r="AW21">
        <f t="shared" si="33"/>
        <v>1050000</v>
      </c>
      <c r="AX21">
        <f t="shared" si="34"/>
        <v>1122000</v>
      </c>
      <c r="AY21">
        <f t="shared" si="35"/>
        <v>1194000</v>
      </c>
      <c r="AZ21">
        <f t="shared" si="36"/>
        <v>1266000</v>
      </c>
      <c r="BA21">
        <f t="shared" si="37"/>
        <v>1338000</v>
      </c>
      <c r="BB21">
        <f t="shared" si="38"/>
        <v>1410000</v>
      </c>
      <c r="BC21">
        <f t="shared" si="39"/>
        <v>1482000</v>
      </c>
      <c r="BD21">
        <f t="shared" si="40"/>
        <v>1554000</v>
      </c>
      <c r="BE21">
        <f t="shared" si="41"/>
        <v>1626000</v>
      </c>
      <c r="BF21">
        <f t="shared" si="42"/>
        <v>1698000</v>
      </c>
      <c r="BG21">
        <f t="shared" si="43"/>
        <v>1770000</v>
      </c>
      <c r="BH21">
        <f t="shared" si="44"/>
        <v>1842000</v>
      </c>
      <c r="BI21">
        <f t="shared" si="45"/>
        <v>1914000</v>
      </c>
      <c r="BJ21">
        <f t="shared" si="46"/>
        <v>1986000</v>
      </c>
    </row>
    <row r="22" spans="1:62" x14ac:dyDescent="0.3">
      <c r="C22" t="s">
        <v>43</v>
      </c>
      <c r="D22">
        <f t="shared" si="0"/>
        <v>47685.711977056897</v>
      </c>
      <c r="E22">
        <f t="shared" ref="E22:F26" si="50">(E21+6000)-(0.00146*(E21+6000))</f>
        <v>118177.29896380389</v>
      </c>
      <c r="F22">
        <f t="shared" si="50"/>
        <v>187443.74239245977</v>
      </c>
      <c r="G22">
        <f>(G21+6000)-(0.00125*(G21+6000))</f>
        <v>255560.07003736246</v>
      </c>
      <c r="H22">
        <f t="shared" si="47"/>
        <v>323170.58700619853</v>
      </c>
      <c r="I22">
        <f t="shared" si="47"/>
        <v>389773.88958521432</v>
      </c>
      <c r="J22">
        <f t="shared" si="47"/>
        <v>455384.98255284579</v>
      </c>
      <c r="K22">
        <f t="shared" si="48"/>
        <v>520448.59007629473</v>
      </c>
      <c r="L22">
        <f t="shared" si="48"/>
        <v>585505.546921395</v>
      </c>
      <c r="M22">
        <f t="shared" si="48"/>
        <v>649755.22101292748</v>
      </c>
      <c r="N22">
        <f t="shared" si="48"/>
        <v>713207.62981060427</v>
      </c>
      <c r="O22">
        <f t="shared" si="48"/>
        <v>775872.66646886966</v>
      </c>
      <c r="P22">
        <f t="shared" si="48"/>
        <v>837760.10137938696</v>
      </c>
      <c r="Q22">
        <f t="shared" si="48"/>
        <v>898879.58369438408</v>
      </c>
      <c r="R22">
        <f t="shared" si="48"/>
        <v>959240.64283109794</v>
      </c>
      <c r="S22">
        <f t="shared" si="49"/>
        <v>1019689.9903401954</v>
      </c>
      <c r="T22">
        <f t="shared" si="8"/>
        <v>1081155.0824211845</v>
      </c>
      <c r="U22">
        <f t="shared" si="9"/>
        <v>1142008.5765371162</v>
      </c>
      <c r="V22">
        <f t="shared" si="10"/>
        <v>1202256.5582897232</v>
      </c>
      <c r="W22">
        <f t="shared" si="11"/>
        <v>1261905.0527269903</v>
      </c>
      <c r="X22">
        <f t="shared" si="12"/>
        <v>1320960.0249456866</v>
      </c>
      <c r="Y22">
        <f t="shared" si="13"/>
        <v>1379427.3806878973</v>
      </c>
      <c r="Z22">
        <f t="shared" si="14"/>
        <v>1437312.9669316241</v>
      </c>
      <c r="AA22">
        <f t="shared" si="15"/>
        <v>1494622.5724755062</v>
      </c>
      <c r="AB22">
        <f t="shared" si="16"/>
        <v>1551361.9285177251</v>
      </c>
      <c r="AC22">
        <f t="shared" si="17"/>
        <v>1607536.7092291471</v>
      </c>
      <c r="AD22">
        <f t="shared" si="18"/>
        <v>1663152.5323207639</v>
      </c>
      <c r="AE22">
        <f t="shared" si="19"/>
        <v>1718214.9596054892</v>
      </c>
      <c r="AH22" t="s">
        <v>43</v>
      </c>
      <c r="AI22">
        <f t="shared" si="3"/>
        <v>48000</v>
      </c>
      <c r="AJ22">
        <f t="shared" si="20"/>
        <v>120000</v>
      </c>
      <c r="AK22">
        <f t="shared" si="21"/>
        <v>192000</v>
      </c>
      <c r="AL22">
        <f t="shared" si="22"/>
        <v>264000</v>
      </c>
      <c r="AM22">
        <f t="shared" si="23"/>
        <v>336000</v>
      </c>
      <c r="AN22">
        <f t="shared" si="24"/>
        <v>408000</v>
      </c>
      <c r="AO22">
        <f t="shared" si="25"/>
        <v>480000</v>
      </c>
      <c r="AP22">
        <f t="shared" si="26"/>
        <v>552000</v>
      </c>
      <c r="AQ22">
        <f t="shared" si="27"/>
        <v>624000</v>
      </c>
      <c r="AR22">
        <f t="shared" si="28"/>
        <v>696000</v>
      </c>
      <c r="AS22">
        <f t="shared" si="29"/>
        <v>768000</v>
      </c>
      <c r="AT22">
        <f t="shared" si="30"/>
        <v>840000</v>
      </c>
      <c r="AU22">
        <f t="shared" si="31"/>
        <v>912000</v>
      </c>
      <c r="AV22">
        <f t="shared" si="32"/>
        <v>984000</v>
      </c>
      <c r="AW22">
        <f t="shared" si="33"/>
        <v>1056000</v>
      </c>
      <c r="AX22">
        <f t="shared" si="34"/>
        <v>1128000</v>
      </c>
      <c r="AY22">
        <f t="shared" si="35"/>
        <v>1200000</v>
      </c>
      <c r="AZ22">
        <f t="shared" si="36"/>
        <v>1272000</v>
      </c>
      <c r="BA22">
        <f t="shared" si="37"/>
        <v>1344000</v>
      </c>
      <c r="BB22">
        <f t="shared" si="38"/>
        <v>1416000</v>
      </c>
      <c r="BC22">
        <f t="shared" si="39"/>
        <v>1488000</v>
      </c>
      <c r="BD22">
        <f t="shared" si="40"/>
        <v>1560000</v>
      </c>
      <c r="BE22">
        <f t="shared" si="41"/>
        <v>1632000</v>
      </c>
      <c r="BF22">
        <f t="shared" si="42"/>
        <v>1704000</v>
      </c>
      <c r="BG22">
        <f t="shared" si="43"/>
        <v>1776000</v>
      </c>
      <c r="BH22">
        <f t="shared" si="44"/>
        <v>1848000</v>
      </c>
      <c r="BI22">
        <f t="shared" si="45"/>
        <v>1920000</v>
      </c>
      <c r="BJ22">
        <f t="shared" si="46"/>
        <v>1992000</v>
      </c>
    </row>
    <row r="23" spans="1:62" x14ac:dyDescent="0.3">
      <c r="C23" t="s">
        <v>44</v>
      </c>
      <c r="D23">
        <f t="shared" si="0"/>
        <v>53607.330837570393</v>
      </c>
      <c r="E23">
        <f t="shared" si="50"/>
        <v>123996.00010731674</v>
      </c>
      <c r="F23">
        <f t="shared" si="50"/>
        <v>193161.31452856679</v>
      </c>
      <c r="G23">
        <f>(G22+6000)-(0.00125*(G22+6000))</f>
        <v>261233.11994981577</v>
      </c>
      <c r="H23">
        <f t="shared" si="47"/>
        <v>328759.12377244077</v>
      </c>
      <c r="I23">
        <f t="shared" si="47"/>
        <v>395279.1722232328</v>
      </c>
      <c r="J23">
        <f t="shared" si="47"/>
        <v>460808.25132465473</v>
      </c>
      <c r="K23">
        <f t="shared" si="48"/>
        <v>525901.08354261541</v>
      </c>
      <c r="L23">
        <f t="shared" si="48"/>
        <v>590890.38115259679</v>
      </c>
      <c r="M23">
        <f t="shared" si="48"/>
        <v>655073.23558307404</v>
      </c>
      <c r="N23">
        <f t="shared" si="48"/>
        <v>718459.65387560125</v>
      </c>
      <c r="O23">
        <f t="shared" si="48"/>
        <v>781059.51889574202</v>
      </c>
      <c r="P23">
        <f t="shared" si="48"/>
        <v>842882.59087395237</v>
      </c>
      <c r="Q23">
        <f t="shared" si="48"/>
        <v>903938.5089273419</v>
      </c>
      <c r="R23">
        <f t="shared" si="48"/>
        <v>964236.79256255354</v>
      </c>
      <c r="S23">
        <f t="shared" si="49"/>
        <v>1024835.590578242</v>
      </c>
      <c r="T23">
        <f t="shared" si="8"/>
        <v>1086249.4822375276</v>
      </c>
      <c r="U23">
        <f t="shared" si="9"/>
        <v>1147052.2853928609</v>
      </c>
      <c r="V23">
        <f t="shared" si="10"/>
        <v>1207250.0805766678</v>
      </c>
      <c r="W23">
        <f t="shared" si="11"/>
        <v>1266848.8878180687</v>
      </c>
      <c r="X23">
        <f t="shared" si="12"/>
        <v>1325854.6672449068</v>
      </c>
      <c r="Y23">
        <f t="shared" si="13"/>
        <v>1384273.3196797844</v>
      </c>
      <c r="Z23">
        <f t="shared" si="14"/>
        <v>1442110.68723017</v>
      </c>
      <c r="AA23">
        <f t="shared" si="15"/>
        <v>1499372.5538726342</v>
      </c>
      <c r="AB23">
        <f t="shared" si="16"/>
        <v>1556064.6460312698</v>
      </c>
      <c r="AC23">
        <f t="shared" si="17"/>
        <v>1612192.6331503592</v>
      </c>
      <c r="AD23">
        <f t="shared" si="18"/>
        <v>1667762.1282613408</v>
      </c>
      <c r="AE23">
        <f t="shared" si="19"/>
        <v>1722778.6885441379</v>
      </c>
      <c r="AH23" t="s">
        <v>44</v>
      </c>
      <c r="AI23">
        <f t="shared" si="3"/>
        <v>54000</v>
      </c>
      <c r="AJ23">
        <f t="shared" si="20"/>
        <v>126000</v>
      </c>
      <c r="AK23">
        <f t="shared" si="21"/>
        <v>198000</v>
      </c>
      <c r="AL23">
        <f t="shared" si="22"/>
        <v>270000</v>
      </c>
      <c r="AM23">
        <f t="shared" si="23"/>
        <v>342000</v>
      </c>
      <c r="AN23">
        <f t="shared" si="24"/>
        <v>414000</v>
      </c>
      <c r="AO23">
        <f t="shared" si="25"/>
        <v>486000</v>
      </c>
      <c r="AP23">
        <f t="shared" si="26"/>
        <v>558000</v>
      </c>
      <c r="AQ23">
        <f t="shared" si="27"/>
        <v>630000</v>
      </c>
      <c r="AR23">
        <f t="shared" si="28"/>
        <v>702000</v>
      </c>
      <c r="AS23">
        <f t="shared" si="29"/>
        <v>774000</v>
      </c>
      <c r="AT23">
        <f t="shared" si="30"/>
        <v>846000</v>
      </c>
      <c r="AU23">
        <f t="shared" si="31"/>
        <v>918000</v>
      </c>
      <c r="AV23">
        <f t="shared" si="32"/>
        <v>990000</v>
      </c>
      <c r="AW23">
        <f t="shared" si="33"/>
        <v>1062000</v>
      </c>
      <c r="AX23">
        <f t="shared" si="34"/>
        <v>1134000</v>
      </c>
      <c r="AY23">
        <f t="shared" si="35"/>
        <v>1206000</v>
      </c>
      <c r="AZ23">
        <f t="shared" si="36"/>
        <v>1278000</v>
      </c>
      <c r="BA23">
        <f t="shared" si="37"/>
        <v>1350000</v>
      </c>
      <c r="BB23">
        <f t="shared" si="38"/>
        <v>1422000</v>
      </c>
      <c r="BC23">
        <f t="shared" si="39"/>
        <v>1494000</v>
      </c>
      <c r="BD23">
        <f t="shared" si="40"/>
        <v>1566000</v>
      </c>
      <c r="BE23">
        <f t="shared" si="41"/>
        <v>1638000</v>
      </c>
      <c r="BF23">
        <f t="shared" si="42"/>
        <v>1710000</v>
      </c>
      <c r="BG23">
        <f t="shared" si="43"/>
        <v>1782000</v>
      </c>
      <c r="BH23">
        <f t="shared" si="44"/>
        <v>1854000</v>
      </c>
      <c r="BI23">
        <f t="shared" si="45"/>
        <v>1926000</v>
      </c>
      <c r="BJ23">
        <f t="shared" si="46"/>
        <v>1998000</v>
      </c>
    </row>
    <row r="24" spans="1:62" x14ac:dyDescent="0.3">
      <c r="C24" t="s">
        <v>45</v>
      </c>
      <c r="D24">
        <f t="shared" si="0"/>
        <v>59520.304134547543</v>
      </c>
      <c r="E24">
        <f t="shared" si="50"/>
        <v>129806.20594716005</v>
      </c>
      <c r="F24">
        <f t="shared" si="50"/>
        <v>198870.53900935507</v>
      </c>
      <c r="G24">
        <f>(G23+6000)-(0.00125*(G23+6000))</f>
        <v>266899.0785498785</v>
      </c>
      <c r="H24">
        <f t="shared" si="47"/>
        <v>334340.67486772523</v>
      </c>
      <c r="I24">
        <f t="shared" si="47"/>
        <v>400777.57325795374</v>
      </c>
      <c r="J24">
        <f t="shared" si="47"/>
        <v>466224.7410104989</v>
      </c>
      <c r="K24">
        <f t="shared" si="48"/>
        <v>531347.90641573106</v>
      </c>
      <c r="L24">
        <f t="shared" si="48"/>
        <v>596269.61515619804</v>
      </c>
      <c r="M24">
        <f t="shared" si="48"/>
        <v>660385.7194180676</v>
      </c>
      <c r="N24">
        <f t="shared" si="48"/>
        <v>723706.21583557059</v>
      </c>
      <c r="O24">
        <f t="shared" si="48"/>
        <v>786240.9769960905</v>
      </c>
      <c r="P24">
        <f t="shared" si="48"/>
        <v>847999.75297944341</v>
      </c>
      <c r="Q24">
        <f t="shared" si="48"/>
        <v>908992.17287805746</v>
      </c>
      <c r="R24">
        <f t="shared" si="48"/>
        <v>969227.74629828846</v>
      </c>
      <c r="S24">
        <f t="shared" si="49"/>
        <v>1029976.9045312903</v>
      </c>
      <c r="T24">
        <f t="shared" si="8"/>
        <v>1091339.6384188237</v>
      </c>
      <c r="U24">
        <f t="shared" si="9"/>
        <v>1152091.7928391285</v>
      </c>
      <c r="V24">
        <f t="shared" si="10"/>
        <v>1212239.4432595475</v>
      </c>
      <c r="W24">
        <f t="shared" si="11"/>
        <v>1271788.6046945162</v>
      </c>
      <c r="X24">
        <f t="shared" si="12"/>
        <v>1330745.2323070918</v>
      </c>
      <c r="Y24">
        <f t="shared" si="13"/>
        <v>1389115.2220044911</v>
      </c>
      <c r="Z24">
        <f t="shared" si="14"/>
        <v>1446904.4110277072</v>
      </c>
      <c r="AA24">
        <f t="shared" si="15"/>
        <v>1504118.5785352583</v>
      </c>
      <c r="AB24">
        <f t="shared" si="16"/>
        <v>1560763.4461811257</v>
      </c>
      <c r="AC24">
        <f t="shared" si="17"/>
        <v>1616844.678686945</v>
      </c>
      <c r="AD24">
        <f t="shared" si="18"/>
        <v>1672367.8844084991</v>
      </c>
      <c r="AE24">
        <f t="shared" si="19"/>
        <v>1727338.6158965805</v>
      </c>
      <c r="AH24" t="s">
        <v>45</v>
      </c>
      <c r="AI24">
        <f t="shared" si="3"/>
        <v>60000</v>
      </c>
      <c r="AJ24">
        <f t="shared" si="20"/>
        <v>132000</v>
      </c>
      <c r="AK24">
        <f t="shared" si="21"/>
        <v>204000</v>
      </c>
      <c r="AL24">
        <f t="shared" si="22"/>
        <v>276000</v>
      </c>
      <c r="AM24">
        <f t="shared" si="23"/>
        <v>348000</v>
      </c>
      <c r="AN24">
        <f t="shared" si="24"/>
        <v>420000</v>
      </c>
      <c r="AO24">
        <f t="shared" si="25"/>
        <v>492000</v>
      </c>
      <c r="AP24">
        <f t="shared" si="26"/>
        <v>564000</v>
      </c>
      <c r="AQ24">
        <f t="shared" si="27"/>
        <v>636000</v>
      </c>
      <c r="AR24">
        <f t="shared" si="28"/>
        <v>708000</v>
      </c>
      <c r="AS24">
        <f t="shared" si="29"/>
        <v>780000</v>
      </c>
      <c r="AT24">
        <f t="shared" si="30"/>
        <v>852000</v>
      </c>
      <c r="AU24">
        <f t="shared" si="31"/>
        <v>924000</v>
      </c>
      <c r="AV24">
        <f t="shared" si="32"/>
        <v>996000</v>
      </c>
      <c r="AW24">
        <f t="shared" si="33"/>
        <v>1068000</v>
      </c>
      <c r="AX24">
        <f t="shared" si="34"/>
        <v>1140000</v>
      </c>
      <c r="AY24">
        <f t="shared" si="35"/>
        <v>1212000</v>
      </c>
      <c r="AZ24">
        <f t="shared" si="36"/>
        <v>1284000</v>
      </c>
      <c r="BA24">
        <f t="shared" si="37"/>
        <v>1356000</v>
      </c>
      <c r="BB24">
        <f t="shared" si="38"/>
        <v>1428000</v>
      </c>
      <c r="BC24">
        <f t="shared" si="39"/>
        <v>1500000</v>
      </c>
      <c r="BD24">
        <f t="shared" si="40"/>
        <v>1572000</v>
      </c>
      <c r="BE24">
        <f t="shared" si="41"/>
        <v>1644000</v>
      </c>
      <c r="BF24">
        <f t="shared" si="42"/>
        <v>1716000</v>
      </c>
      <c r="BG24">
        <f t="shared" si="43"/>
        <v>1788000</v>
      </c>
      <c r="BH24">
        <f t="shared" si="44"/>
        <v>1860000</v>
      </c>
      <c r="BI24">
        <f t="shared" si="45"/>
        <v>1932000</v>
      </c>
      <c r="BJ24">
        <f t="shared" si="46"/>
        <v>2004000</v>
      </c>
    </row>
    <row r="25" spans="1:62" x14ac:dyDescent="0.3">
      <c r="C25" t="s">
        <v>46</v>
      </c>
      <c r="D25">
        <f t="shared" si="0"/>
        <v>65424.644490511106</v>
      </c>
      <c r="E25">
        <f t="shared" si="50"/>
        <v>135607.9288864772</v>
      </c>
      <c r="F25">
        <f t="shared" si="50"/>
        <v>204571.42802240141</v>
      </c>
      <c r="G25">
        <f>(G24+6000)-(0.00125*(G24+6000))</f>
        <v>272557.95470169117</v>
      </c>
      <c r="H25">
        <f t="shared" si="47"/>
        <v>339915.24902414059</v>
      </c>
      <c r="I25">
        <f t="shared" si="47"/>
        <v>406269.10129138129</v>
      </c>
      <c r="J25">
        <f t="shared" si="47"/>
        <v>471634.46008423576</v>
      </c>
      <c r="K25">
        <f t="shared" si="48"/>
        <v>536789.06459305866</v>
      </c>
      <c r="L25">
        <f t="shared" si="48"/>
        <v>601643.25475643564</v>
      </c>
      <c r="M25">
        <f t="shared" si="48"/>
        <v>665692.67826987279</v>
      </c>
      <c r="N25">
        <f t="shared" si="48"/>
        <v>728947.32137110154</v>
      </c>
      <c r="O25">
        <f t="shared" si="48"/>
        <v>791417.04638001451</v>
      </c>
      <c r="P25">
        <f t="shared" si="48"/>
        <v>853111.59323634475</v>
      </c>
      <c r="Q25">
        <f t="shared" si="48"/>
        <v>914040.58101826429</v>
      </c>
      <c r="R25">
        <f t="shared" si="48"/>
        <v>974213.50944213825</v>
      </c>
      <c r="S25">
        <f t="shared" si="49"/>
        <v>1035113.9357698157</v>
      </c>
      <c r="T25">
        <f t="shared" si="8"/>
        <v>1096425.5545000208</v>
      </c>
      <c r="U25">
        <f t="shared" si="9"/>
        <v>1157127.1023756936</v>
      </c>
      <c r="V25">
        <f t="shared" si="10"/>
        <v>1217224.6498033123</v>
      </c>
      <c r="W25">
        <f t="shared" si="11"/>
        <v>1276724.2067868055</v>
      </c>
      <c r="X25">
        <f t="shared" si="12"/>
        <v>1335631.72352858</v>
      </c>
      <c r="Y25">
        <f t="shared" si="13"/>
        <v>1393953.0910245613</v>
      </c>
      <c r="Z25">
        <f t="shared" si="14"/>
        <v>1451694.141653321</v>
      </c>
      <c r="AA25">
        <f t="shared" si="15"/>
        <v>1508860.6497593385</v>
      </c>
      <c r="AB25">
        <f t="shared" si="16"/>
        <v>1565458.3322304569</v>
      </c>
      <c r="AC25">
        <f t="shared" si="17"/>
        <v>1621492.8490695988</v>
      </c>
      <c r="AD25">
        <f t="shared" si="18"/>
        <v>1676969.8039607869</v>
      </c>
      <c r="AE25">
        <f t="shared" si="19"/>
        <v>1731894.7448295387</v>
      </c>
      <c r="AH25" t="s">
        <v>46</v>
      </c>
      <c r="AI25">
        <f t="shared" si="3"/>
        <v>66000</v>
      </c>
      <c r="AJ25">
        <f t="shared" si="20"/>
        <v>138000</v>
      </c>
      <c r="AK25">
        <f t="shared" si="21"/>
        <v>210000</v>
      </c>
      <c r="AL25">
        <f t="shared" si="22"/>
        <v>282000</v>
      </c>
      <c r="AM25">
        <f t="shared" si="23"/>
        <v>354000</v>
      </c>
      <c r="AN25">
        <f t="shared" si="24"/>
        <v>426000</v>
      </c>
      <c r="AO25">
        <f t="shared" si="25"/>
        <v>498000</v>
      </c>
      <c r="AP25">
        <f t="shared" si="26"/>
        <v>570000</v>
      </c>
      <c r="AQ25">
        <f t="shared" si="27"/>
        <v>642000</v>
      </c>
      <c r="AR25">
        <f t="shared" si="28"/>
        <v>714000</v>
      </c>
      <c r="AS25">
        <f t="shared" si="29"/>
        <v>786000</v>
      </c>
      <c r="AT25">
        <f t="shared" si="30"/>
        <v>858000</v>
      </c>
      <c r="AU25">
        <f t="shared" si="31"/>
        <v>930000</v>
      </c>
      <c r="AV25">
        <f t="shared" si="32"/>
        <v>1002000</v>
      </c>
      <c r="AW25">
        <f t="shared" si="33"/>
        <v>1074000</v>
      </c>
      <c r="AX25">
        <f t="shared" si="34"/>
        <v>1146000</v>
      </c>
      <c r="AY25">
        <f t="shared" si="35"/>
        <v>1218000</v>
      </c>
      <c r="AZ25">
        <f t="shared" si="36"/>
        <v>1290000</v>
      </c>
      <c r="BA25">
        <f t="shared" si="37"/>
        <v>1362000</v>
      </c>
      <c r="BB25">
        <f t="shared" si="38"/>
        <v>1434000</v>
      </c>
      <c r="BC25">
        <f t="shared" si="39"/>
        <v>1506000</v>
      </c>
      <c r="BD25">
        <f t="shared" si="40"/>
        <v>1578000</v>
      </c>
      <c r="BE25">
        <f t="shared" si="41"/>
        <v>1650000</v>
      </c>
      <c r="BF25">
        <f t="shared" si="42"/>
        <v>1722000</v>
      </c>
      <c r="BG25">
        <f t="shared" si="43"/>
        <v>1794000</v>
      </c>
      <c r="BH25">
        <f t="shared" si="44"/>
        <v>1866000</v>
      </c>
      <c r="BI25">
        <f t="shared" si="45"/>
        <v>1938000</v>
      </c>
      <c r="BJ25">
        <f t="shared" si="46"/>
        <v>2010000</v>
      </c>
    </row>
    <row r="26" spans="1:62" x14ac:dyDescent="0.3">
      <c r="C26" t="s">
        <v>47</v>
      </c>
      <c r="D26">
        <f t="shared" si="0"/>
        <v>71320.364509554958</v>
      </c>
      <c r="E26">
        <f t="shared" si="50"/>
        <v>141401.18131030293</v>
      </c>
      <c r="F26">
        <f t="shared" si="50"/>
        <v>210263.99373748869</v>
      </c>
      <c r="G26">
        <f>(G25+6000)-(0.00125*(G25+6000))</f>
        <v>278209.75725831406</v>
      </c>
      <c r="H26">
        <f t="shared" si="47"/>
        <v>345482.85496286041</v>
      </c>
      <c r="I26">
        <f t="shared" si="47"/>
        <v>411753.76491476706</v>
      </c>
      <c r="J26">
        <f t="shared" si="47"/>
        <v>477037.41700913047</v>
      </c>
      <c r="K26">
        <f t="shared" si="48"/>
        <v>542224.56396588183</v>
      </c>
      <c r="L26">
        <f t="shared" si="48"/>
        <v>607011.30577148893</v>
      </c>
      <c r="M26">
        <f t="shared" si="48"/>
        <v>670994.11788447213</v>
      </c>
      <c r="N26">
        <f t="shared" si="48"/>
        <v>734182.97615687561</v>
      </c>
      <c r="O26">
        <f t="shared" si="48"/>
        <v>796587.73265177931</v>
      </c>
      <c r="P26">
        <f t="shared" si="48"/>
        <v>858218.11717937898</v>
      </c>
      <c r="Q26">
        <f t="shared" si="48"/>
        <v>919083.73881400528</v>
      </c>
      <c r="R26">
        <f t="shared" si="48"/>
        <v>979194.08739231841</v>
      </c>
      <c r="S26">
        <f t="shared" si="49"/>
        <v>1040246.6878613194</v>
      </c>
      <c r="T26">
        <f t="shared" si="8"/>
        <v>1101507.2340131223</v>
      </c>
      <c r="U26">
        <f t="shared" si="9"/>
        <v>1162158.2174994147</v>
      </c>
      <c r="V26">
        <f t="shared" si="10"/>
        <v>1222205.703670026</v>
      </c>
      <c r="W26" s="3">
        <f t="shared" si="11"/>
        <v>1281655.6975225522</v>
      </c>
      <c r="X26">
        <f t="shared" si="12"/>
        <v>1340514.1443028806</v>
      </c>
      <c r="Y26">
        <f t="shared" si="13"/>
        <v>1398786.9300997378</v>
      </c>
      <c r="Z26">
        <f t="shared" si="14"/>
        <v>1456479.8824333237</v>
      </c>
      <c r="AA26">
        <f t="shared" si="15"/>
        <v>1513598.7708380891</v>
      </c>
      <c r="AB26" s="6">
        <f t="shared" si="16"/>
        <v>1570149.3074397088</v>
      </c>
      <c r="AC26">
        <f t="shared" si="17"/>
        <v>1626137.1475263238</v>
      </c>
      <c r="AD26">
        <f t="shared" si="18"/>
        <v>1681567.8901140876</v>
      </c>
      <c r="AE26">
        <f t="shared" si="19"/>
        <v>1736447.0785070958</v>
      </c>
      <c r="AH26" t="s">
        <v>47</v>
      </c>
      <c r="AI26">
        <f t="shared" si="3"/>
        <v>72000</v>
      </c>
      <c r="AJ26">
        <f t="shared" si="20"/>
        <v>144000</v>
      </c>
      <c r="AK26">
        <f t="shared" si="21"/>
        <v>216000</v>
      </c>
      <c r="AL26">
        <f t="shared" si="22"/>
        <v>288000</v>
      </c>
      <c r="AM26">
        <f t="shared" si="23"/>
        <v>360000</v>
      </c>
      <c r="AN26">
        <f t="shared" si="24"/>
        <v>432000</v>
      </c>
      <c r="AO26">
        <f t="shared" si="25"/>
        <v>504000</v>
      </c>
      <c r="AP26">
        <f t="shared" si="26"/>
        <v>576000</v>
      </c>
      <c r="AQ26">
        <f t="shared" si="27"/>
        <v>648000</v>
      </c>
      <c r="AR26">
        <f t="shared" si="28"/>
        <v>720000</v>
      </c>
      <c r="AS26">
        <f t="shared" si="29"/>
        <v>792000</v>
      </c>
      <c r="AT26">
        <f t="shared" si="30"/>
        <v>864000</v>
      </c>
      <c r="AU26">
        <f t="shared" si="31"/>
        <v>936000</v>
      </c>
      <c r="AV26">
        <f t="shared" si="32"/>
        <v>1008000</v>
      </c>
      <c r="AW26">
        <f t="shared" si="33"/>
        <v>1080000</v>
      </c>
      <c r="AX26">
        <f t="shared" si="34"/>
        <v>1152000</v>
      </c>
      <c r="AY26">
        <f t="shared" si="35"/>
        <v>1224000</v>
      </c>
      <c r="AZ26">
        <f t="shared" si="36"/>
        <v>1296000</v>
      </c>
      <c r="BA26">
        <f t="shared" si="37"/>
        <v>1368000</v>
      </c>
      <c r="BB26" s="3">
        <f t="shared" si="38"/>
        <v>1440000</v>
      </c>
      <c r="BC26">
        <f t="shared" si="39"/>
        <v>1512000</v>
      </c>
      <c r="BD26">
        <f t="shared" si="40"/>
        <v>1584000</v>
      </c>
      <c r="BE26">
        <f t="shared" si="41"/>
        <v>1656000</v>
      </c>
      <c r="BF26">
        <f t="shared" si="42"/>
        <v>1728000</v>
      </c>
      <c r="BG26" s="3">
        <f t="shared" si="43"/>
        <v>1800000</v>
      </c>
      <c r="BH26">
        <f t="shared" si="44"/>
        <v>1872000</v>
      </c>
      <c r="BI26">
        <f t="shared" si="45"/>
        <v>1944000</v>
      </c>
      <c r="BJ26">
        <f t="shared" si="46"/>
        <v>2016000</v>
      </c>
    </row>
    <row r="28" spans="1:62" x14ac:dyDescent="0.3">
      <c r="Z28" s="2"/>
      <c r="AA28" s="2" t="s">
        <v>87</v>
      </c>
      <c r="AB28" s="5">
        <f>6000*12*25</f>
        <v>1800000</v>
      </c>
      <c r="BF28" s="2" t="s">
        <v>87</v>
      </c>
      <c r="BG28" s="5">
        <f>6000*12*25</f>
        <v>1800000</v>
      </c>
    </row>
    <row r="29" spans="1:62" x14ac:dyDescent="0.3">
      <c r="AA29" s="2" t="s">
        <v>84</v>
      </c>
      <c r="AB29" s="5">
        <f>AB26</f>
        <v>1570149.3074397088</v>
      </c>
      <c r="BF29" s="2" t="s">
        <v>84</v>
      </c>
      <c r="BG29" s="5">
        <f>BG26</f>
        <v>1800000</v>
      </c>
    </row>
    <row r="30" spans="1:62" x14ac:dyDescent="0.3">
      <c r="AA30" s="2" t="s">
        <v>85</v>
      </c>
      <c r="AB30" s="5">
        <f>AB28-AB29</f>
        <v>229850.69256029115</v>
      </c>
      <c r="BF30" s="2" t="s">
        <v>85</v>
      </c>
      <c r="BG30" s="5">
        <f>BG28-BG29</f>
        <v>0</v>
      </c>
    </row>
    <row r="31" spans="1:62" x14ac:dyDescent="0.3">
      <c r="AA31" s="2" t="s">
        <v>86</v>
      </c>
      <c r="AB31" s="5">
        <f>AB30/12</f>
        <v>19154.224380024261</v>
      </c>
      <c r="BF31" s="2" t="s">
        <v>88</v>
      </c>
      <c r="BG31" s="5">
        <f>BG30/12</f>
        <v>0</v>
      </c>
    </row>
    <row r="32" spans="1:62" x14ac:dyDescent="0.3">
      <c r="D32" t="s">
        <v>52</v>
      </c>
      <c r="AI32" t="s">
        <v>52</v>
      </c>
      <c r="AJ32" t="s">
        <v>66</v>
      </c>
    </row>
    <row r="33" spans="1:62" x14ac:dyDescent="0.3">
      <c r="D33" t="s">
        <v>14</v>
      </c>
      <c r="AI33" t="s">
        <v>14</v>
      </c>
    </row>
    <row r="34" spans="1:62" x14ac:dyDescent="0.3">
      <c r="D34" t="s">
        <v>79</v>
      </c>
      <c r="AI34" t="s">
        <v>79</v>
      </c>
    </row>
    <row r="35" spans="1:62" x14ac:dyDescent="0.3">
      <c r="D35" t="s">
        <v>15</v>
      </c>
      <c r="E35" t="s">
        <v>16</v>
      </c>
      <c r="F35" t="s">
        <v>17</v>
      </c>
      <c r="G35" t="s">
        <v>18</v>
      </c>
      <c r="H35" t="s">
        <v>19</v>
      </c>
      <c r="I35" t="s">
        <v>20</v>
      </c>
      <c r="J35" t="s">
        <v>21</v>
      </c>
      <c r="K35" t="s">
        <v>22</v>
      </c>
      <c r="L35" t="s">
        <v>23</v>
      </c>
      <c r="M35" t="s">
        <v>24</v>
      </c>
      <c r="N35" t="s">
        <v>25</v>
      </c>
      <c r="O35" t="s">
        <v>26</v>
      </c>
      <c r="P35" t="s">
        <v>27</v>
      </c>
      <c r="Q35" t="s">
        <v>28</v>
      </c>
      <c r="R35" t="s">
        <v>29</v>
      </c>
      <c r="S35" t="s">
        <v>30</v>
      </c>
      <c r="T35" t="s">
        <v>31</v>
      </c>
      <c r="U35" t="s">
        <v>32</v>
      </c>
      <c r="V35" t="s">
        <v>33</v>
      </c>
      <c r="W35" t="s">
        <v>34</v>
      </c>
      <c r="X35" t="s">
        <v>35</v>
      </c>
      <c r="Y35" t="s">
        <v>36</v>
      </c>
      <c r="Z35" t="s">
        <v>37</v>
      </c>
      <c r="AA35" t="s">
        <v>38</v>
      </c>
      <c r="AB35" t="s">
        <v>39</v>
      </c>
      <c r="AC35" t="s">
        <v>67</v>
      </c>
      <c r="AD35" t="s">
        <v>68</v>
      </c>
      <c r="AE35" t="s">
        <v>69</v>
      </c>
      <c r="AI35" t="s">
        <v>15</v>
      </c>
      <c r="AJ35" t="s">
        <v>16</v>
      </c>
      <c r="AK35" t="s">
        <v>17</v>
      </c>
      <c r="AL35" t="s">
        <v>18</v>
      </c>
      <c r="AM35" t="s">
        <v>19</v>
      </c>
      <c r="AN35" t="s">
        <v>20</v>
      </c>
      <c r="AO35" t="s">
        <v>21</v>
      </c>
      <c r="AP35" t="s">
        <v>22</v>
      </c>
      <c r="AQ35" t="s">
        <v>23</v>
      </c>
      <c r="AR35" t="s">
        <v>24</v>
      </c>
      <c r="AS35" t="s">
        <v>25</v>
      </c>
      <c r="AT35" t="s">
        <v>26</v>
      </c>
      <c r="AU35" t="s">
        <v>27</v>
      </c>
      <c r="AV35" t="s">
        <v>28</v>
      </c>
      <c r="AW35" t="s">
        <v>29</v>
      </c>
      <c r="AX35" t="s">
        <v>30</v>
      </c>
      <c r="AY35" t="s">
        <v>31</v>
      </c>
      <c r="AZ35" t="s">
        <v>32</v>
      </c>
      <c r="BA35" t="s">
        <v>33</v>
      </c>
      <c r="BB35" t="s">
        <v>34</v>
      </c>
      <c r="BC35" t="s">
        <v>35</v>
      </c>
      <c r="BD35" t="s">
        <v>36</v>
      </c>
      <c r="BE35" t="s">
        <v>37</v>
      </c>
      <c r="BF35" t="s">
        <v>38</v>
      </c>
      <c r="BG35" t="s">
        <v>39</v>
      </c>
      <c r="BH35" t="s">
        <v>67</v>
      </c>
      <c r="BI35" t="s">
        <v>68</v>
      </c>
      <c r="BJ35" t="s">
        <v>69</v>
      </c>
    </row>
    <row r="36" spans="1:62" x14ac:dyDescent="0.3">
      <c r="D36">
        <v>0</v>
      </c>
      <c r="AI36">
        <v>0</v>
      </c>
    </row>
    <row r="37" spans="1:62" x14ac:dyDescent="0.3">
      <c r="D37">
        <f t="shared" ref="D37:D48" si="51">(D36+6000)*1.00328-(0.00146*(D36+6000))</f>
        <v>6010.9199999999992</v>
      </c>
      <c r="E37">
        <f>(D48+6000)*1.00328-(0.00146*(D48+6000))</f>
        <v>79000.990621335528</v>
      </c>
      <c r="F37">
        <f>(E48+6000)*1.00328-(0.00146*(E48+6000))</f>
        <v>153601.21856070485</v>
      </c>
      <c r="G37">
        <f>(F48+6000)*1.00328-(0.00146*(F48+6000))</f>
        <v>229847.12380824849</v>
      </c>
      <c r="H37">
        <f>(G48+6000)*1.00328-(0.00125*(G48+6000))</f>
        <v>308310.5276893499</v>
      </c>
      <c r="I37">
        <f>(H48+6000)*1.00328-(0.00125*(H48+6000))</f>
        <v>388862.54375269049</v>
      </c>
      <c r="J37">
        <f>(I48+6000)*1.00328-(0.00125*(I48+6000))</f>
        <v>471398.86434309871</v>
      </c>
      <c r="K37">
        <f>(J48+6000)*1.00328-(0.00104*(J48+6000))</f>
        <v>556865.72836338391</v>
      </c>
      <c r="L37">
        <f>(K48+6000)*1.00328-(0.00104*(K48+6000))</f>
        <v>645077.05421286111</v>
      </c>
      <c r="M37">
        <f>(L48+6000)*1.00328-(0.00125*(L48+6000))</f>
        <v>735534.78254494001</v>
      </c>
      <c r="N37">
        <f>(M48+6000)*1.00328-(0.00104*(M48+6000))</f>
        <v>828287.88472417276</v>
      </c>
      <c r="O37">
        <f>(N48+6000)*1.00328-(0.00104*(N48+6000))</f>
        <v>923885.59726520942</v>
      </c>
      <c r="P37">
        <f t="shared" ref="P37:AE37" si="52">(O48+6000)*1.00328-(0.000833*(O48+6000))</f>
        <v>1022714.5690530402</v>
      </c>
      <c r="Q37">
        <f t="shared" si="52"/>
        <v>1126308.5808806422</v>
      </c>
      <c r="R37">
        <f t="shared" si="52"/>
        <v>1232985.8029265653</v>
      </c>
      <c r="S37">
        <f t="shared" si="52"/>
        <v>1342837.9990397287</v>
      </c>
      <c r="T37">
        <f t="shared" si="52"/>
        <v>1455959.6641847966</v>
      </c>
      <c r="U37">
        <f t="shared" si="52"/>
        <v>1572448.1057268358</v>
      </c>
      <c r="V37">
        <f t="shared" si="52"/>
        <v>1692403.5271352043</v>
      </c>
      <c r="W37">
        <f t="shared" si="52"/>
        <v>1815929.1141786743</v>
      </c>
      <c r="X37">
        <f t="shared" si="52"/>
        <v>1943131.1236859283</v>
      </c>
      <c r="Y37">
        <f t="shared" si="52"/>
        <v>2074118.9749477843</v>
      </c>
      <c r="Z37">
        <f t="shared" si="52"/>
        <v>2209005.3438397762</v>
      </c>
      <c r="AA37">
        <f t="shared" si="52"/>
        <v>2347906.2597460491</v>
      </c>
      <c r="AB37">
        <f t="shared" si="52"/>
        <v>2490941.2053679489</v>
      </c>
      <c r="AC37">
        <f t="shared" si="52"/>
        <v>2638233.2195031545</v>
      </c>
      <c r="AD37">
        <f t="shared" si="52"/>
        <v>2789909.002883771</v>
      </c>
      <c r="AE37">
        <f t="shared" si="52"/>
        <v>2946099.0271644224</v>
      </c>
      <c r="AI37">
        <f t="shared" ref="AI37:AI48" si="53">(AI36+6000)*1.00328-0</f>
        <v>6019.6799999999994</v>
      </c>
      <c r="AJ37">
        <f t="shared" ref="AJ37:BJ37" si="54">(AI48+6000)*1.00328-0</f>
        <v>79814.589679810277</v>
      </c>
      <c r="AK37">
        <f t="shared" si="54"/>
        <v>156567.04254430579</v>
      </c>
      <c r="AL37">
        <f t="shared" si="54"/>
        <v>236395.57064030695</v>
      </c>
      <c r="AM37">
        <f t="shared" si="54"/>
        <v>319423.45652722061</v>
      </c>
      <c r="AN37">
        <f t="shared" si="54"/>
        <v>405778.92366749054</v>
      </c>
      <c r="AO37">
        <f t="shared" si="54"/>
        <v>495595.3344474936</v>
      </c>
      <c r="AP37">
        <f t="shared" si="54"/>
        <v>589011.39613469131</v>
      </c>
      <c r="AQ37">
        <f t="shared" si="54"/>
        <v>686171.37508910813</v>
      </c>
      <c r="AR37">
        <f t="shared" si="54"/>
        <v>787225.31955994864</v>
      </c>
      <c r="AS37">
        <f t="shared" si="54"/>
        <v>892329.2914114322</v>
      </c>
      <c r="AT37">
        <f t="shared" si="54"/>
        <v>1001645.607135704</v>
      </c>
      <c r="AU37">
        <f t="shared" si="54"/>
        <v>1115343.0885250333</v>
      </c>
      <c r="AV37">
        <f t="shared" si="54"/>
        <v>1233597.323390421</v>
      </c>
      <c r="AW37">
        <f t="shared" si="54"/>
        <v>1356590.9367292533</v>
      </c>
      <c r="AX37">
        <f t="shared" si="54"/>
        <v>1484513.8727607809</v>
      </c>
      <c r="AY37">
        <f t="shared" si="54"/>
        <v>1617563.6882649786</v>
      </c>
      <c r="AZ37">
        <f t="shared" si="54"/>
        <v>1755945.8576778052</v>
      </c>
      <c r="BA37">
        <f t="shared" si="54"/>
        <v>1899874.0904140328</v>
      </c>
      <c r="BB37">
        <f t="shared" si="54"/>
        <v>2049570.6609076986</v>
      </c>
      <c r="BC37">
        <f t="shared" si="54"/>
        <v>2205266.7518798821</v>
      </c>
      <c r="BD37">
        <f t="shared" si="54"/>
        <v>2367202.8113639154</v>
      </c>
      <c r="BE37">
        <f t="shared" si="54"/>
        <v>2535628.9240394202</v>
      </c>
      <c r="BF37">
        <f t="shared" si="54"/>
        <v>2710805.1974486099</v>
      </c>
      <c r="BG37">
        <f t="shared" si="54"/>
        <v>2893002.1636913284</v>
      </c>
      <c r="BH37">
        <f t="shared" si="54"/>
        <v>3082501.1972191692</v>
      </c>
      <c r="BI37">
        <f t="shared" si="54"/>
        <v>3279594.9493738962</v>
      </c>
      <c r="BJ37">
        <f t="shared" si="54"/>
        <v>3484587.8003412434</v>
      </c>
    </row>
    <row r="38" spans="1:62" x14ac:dyDescent="0.3">
      <c r="D38">
        <f t="shared" si="51"/>
        <v>12032.779874399997</v>
      </c>
      <c r="E38">
        <f t="shared" ref="E38:G40" si="55">(E37+6000)*1.00328-(0.00146*(E37+6000))</f>
        <v>85155.692424266352</v>
      </c>
      <c r="F38">
        <f t="shared" si="55"/>
        <v>159891.69277848533</v>
      </c>
      <c r="G38">
        <f t="shared" si="55"/>
        <v>236276.3655735795</v>
      </c>
      <c r="H38">
        <f t="shared" ref="H38:J41" si="56">(H37+6000)*1.00328-(0.00125*(H37+6000))</f>
        <v>314948.57806055929</v>
      </c>
      <c r="I38">
        <f t="shared" si="56"/>
        <v>395664.11471650843</v>
      </c>
      <c r="J38">
        <f t="shared" si="56"/>
        <v>478367.98403771518</v>
      </c>
      <c r="K38">
        <f t="shared" ref="K38:K48" si="57">(K37+6000)*1.00328-(0.00104*(K37+6000))</f>
        <v>564126.54759491782</v>
      </c>
      <c r="L38">
        <f t="shared" ref="L38:L48" si="58">(L37+6000)*1.00328-(0.00104*(L37+6000))</f>
        <v>652535.46681429795</v>
      </c>
      <c r="M38">
        <f>(M37+6000)*1.00328-(0.00125*(M37+6000))</f>
        <v>743040.09815350629</v>
      </c>
      <c r="N38">
        <f t="shared" ref="N38:N46" si="59">(N37+6000)*1.00328-(0.00104*(N37+6000))</f>
        <v>836156.68958595488</v>
      </c>
      <c r="O38">
        <f t="shared" ref="O38:O46" si="60">(O37+6000)*1.00328-(0.00104*(O37+6000))</f>
        <v>931968.54100308346</v>
      </c>
      <c r="P38">
        <f t="shared" ref="P38:P48" si="61">(P37+6000)*1.00328-(0.000833*(P37+6000))</f>
        <v>1031231.833603513</v>
      </c>
      <c r="Q38">
        <f t="shared" ref="Q38:Q48" si="62">(Q37+6000)*1.00328-(0.000833*(Q37+6000))</f>
        <v>1135079.3399780572</v>
      </c>
      <c r="R38">
        <f t="shared" ref="R38:R48" si="63">(R37+6000)*1.00328-(0.000833*(R37+6000))</f>
        <v>1242017.6011863265</v>
      </c>
      <c r="S38">
        <f t="shared" ref="S38:S48" si="64">(S37+6000)*1.00328-(0.000833*(S37+6000))</f>
        <v>1352138.6056233789</v>
      </c>
      <c r="T38">
        <f t="shared" ref="T38:T48" si="65">(T37+6000)*1.00328-(0.000833*(T37+6000))</f>
        <v>1465537.0794830569</v>
      </c>
      <c r="U38">
        <f t="shared" ref="U38:U48" si="66">(U37+6000)*1.00328-(0.000833*(U37+6000))</f>
        <v>1582310.5682415494</v>
      </c>
      <c r="V38">
        <f t="shared" ref="V38:V48" si="67">(V37+6000)*1.00328-(0.000833*(V37+6000))</f>
        <v>1702559.5205661042</v>
      </c>
      <c r="W38">
        <f t="shared" ref="W38:W48" si="68">(W37+6000)*1.00328-(0.000833*(W37+6000))</f>
        <v>1826387.3747210694</v>
      </c>
      <c r="X38">
        <f t="shared" ref="X38:X48" si="69">(X37+6000)*1.00328-(0.000833*(X37+6000))</f>
        <v>1953900.6475455877</v>
      </c>
      <c r="Y38">
        <f t="shared" ref="Y38:Y48" si="70">(Y37+6000)*1.00328-(0.000833*(Y37+6000))</f>
        <v>2085209.0260794815</v>
      </c>
      <c r="Z38">
        <f t="shared" ref="Z38:Z48" si="71">(Z37+6000)*1.00328-(0.000833*(Z37+6000))</f>
        <v>2220425.4619161519</v>
      </c>
      <c r="AA38">
        <f t="shared" ref="AA38:AA48" si="72">(AA37+6000)*1.00328-(0.000833*(AA37+6000))</f>
        <v>2359666.2683636472</v>
      </c>
      <c r="AB38">
        <f t="shared" ref="AB38:AB48" si="73">(AB37+6000)*1.00328-(0.000833*(AB37+6000))</f>
        <v>2503051.2204974843</v>
      </c>
      <c r="AC38">
        <f t="shared" ref="AC38:AC48" si="74">(AC37+6000)*1.00328-(0.000833*(AC37+6000))</f>
        <v>2650703.6581912786</v>
      </c>
      <c r="AD38">
        <f t="shared" ref="AD38:AD48" si="75">(AD37+6000)*1.00328-(0.000833*(AD37+6000))</f>
        <v>2802750.5922138272</v>
      </c>
      <c r="AE38">
        <f t="shared" ref="AE38:AE48" si="76">(AE37+6000)*1.00328-(0.000833*(AE37+6000))</f>
        <v>2959322.8134838934</v>
      </c>
      <c r="AI38">
        <f t="shared" si="53"/>
        <v>12059.104550399999</v>
      </c>
      <c r="AJ38">
        <f t="shared" ref="AJ38:AJ48" si="77">(AJ37+6000)*1.00328-0</f>
        <v>86096.061533960048</v>
      </c>
      <c r="AK38">
        <f t="shared" ref="AK38:AK48" si="78">(AK37+6000)*1.00328-0</f>
        <v>163100.2624438511</v>
      </c>
      <c r="AL38">
        <f t="shared" ref="AL38:AL48" si="79">(AL37+6000)*1.00328-0</f>
        <v>243190.62811200714</v>
      </c>
      <c r="AM38">
        <f t="shared" ref="AM38:AM48" si="80">(AM37+6000)*1.00328-0</f>
        <v>326490.84546462988</v>
      </c>
      <c r="AN38">
        <f t="shared" ref="AN38:AN48" si="81">(AN37+6000)*1.00328-0</f>
        <v>413129.55853711988</v>
      </c>
      <c r="AO38">
        <f t="shared" ref="AO38:AO48" si="82">(AO37+6000)*1.00328-0</f>
        <v>503240.56714448135</v>
      </c>
      <c r="AP38">
        <f t="shared" ref="AP38:AP48" si="83">(AP37+6000)*1.00328-0</f>
        <v>596963.03351401305</v>
      </c>
      <c r="AQ38">
        <f t="shared" ref="AQ38:AQ48" si="84">(AQ37+6000)*1.00328-0</f>
        <v>694441.6971994004</v>
      </c>
      <c r="AR38">
        <f t="shared" ref="AR38:AR48" si="85">(AR37+6000)*1.00328-0</f>
        <v>795827.09860810521</v>
      </c>
      <c r="AS38">
        <f t="shared" ref="AS38:AS48" si="86">(AS37+6000)*1.00328-0</f>
        <v>901275.81148726167</v>
      </c>
      <c r="AT38">
        <f t="shared" ref="AT38:AT48" si="87">(AT37+6000)*1.00328-0</f>
        <v>1010950.684727109</v>
      </c>
      <c r="AU38">
        <f t="shared" ref="AU38:AU48" si="88">(AU37+6000)*1.00328-0</f>
        <v>1125021.0938553954</v>
      </c>
      <c r="AV38">
        <f t="shared" ref="AV38:AV48" si="89">(AV37+6000)*1.00328-0</f>
        <v>1243663.2026111416</v>
      </c>
      <c r="AW38">
        <f t="shared" ref="AW38:AW48" si="90">(AW37+6000)*1.00328-0</f>
        <v>1367060.2350017251</v>
      </c>
      <c r="AX38">
        <f t="shared" ref="AX38:AX48" si="91">(AX37+6000)*1.00328-0</f>
        <v>1495402.7582634361</v>
      </c>
      <c r="AY38">
        <f t="shared" ref="AY38:AY48" si="92">(AY37+6000)*1.00328-0</f>
        <v>1628888.9771624876</v>
      </c>
      <c r="AZ38">
        <f t="shared" ref="AZ38:AZ48" si="93">(AZ37+6000)*1.00328-0</f>
        <v>1767725.0400909884</v>
      </c>
      <c r="BA38">
        <f t="shared" ref="BA38:BA48" si="94">(BA37+6000)*1.00328-0</f>
        <v>1912125.3574305908</v>
      </c>
      <c r="BB38">
        <f t="shared" ref="BB38:BB48" si="95">(BB37+6000)*1.00328-0</f>
        <v>2062312.9326754757</v>
      </c>
      <c r="BC38">
        <f t="shared" ref="BC38:BC48" si="96">(BC37+6000)*1.00328-0</f>
        <v>2218519.706826048</v>
      </c>
      <c r="BD38">
        <f t="shared" ref="BD38:BD48" si="97">(BD37+6000)*1.00328-0</f>
        <v>2380986.9165851888</v>
      </c>
      <c r="BE38">
        <f t="shared" ref="BE38:BE48" si="98">(BE37+6000)*1.00328-0</f>
        <v>2549965.4669102696</v>
      </c>
      <c r="BF38">
        <f t="shared" ref="BF38:BF48" si="99">(BF37+6000)*1.00328-0</f>
        <v>2725716.3184962412</v>
      </c>
      <c r="BG38">
        <f t="shared" ref="BG38:BG48" si="100">(BG37+6000)*1.00328-0</f>
        <v>2908510.8907882357</v>
      </c>
      <c r="BH38">
        <f t="shared" ref="BH38:BH48" si="101">(BH37+6000)*1.00328-0</f>
        <v>3098631.4811460478</v>
      </c>
      <c r="BI38">
        <f t="shared" ref="BI38:BI48" si="102">(BI37+6000)*1.00328-0</f>
        <v>3296371.7008078424</v>
      </c>
      <c r="BJ38">
        <f t="shared" ref="BJ38:BJ48" si="103">(BJ37+6000)*1.00328-0</f>
        <v>3502036.9283263623</v>
      </c>
    </row>
    <row r="39" spans="1:62" x14ac:dyDescent="0.3">
      <c r="A39">
        <f>0.0175/12</f>
        <v>1.4583333333333334E-3</v>
      </c>
      <c r="B39">
        <v>1.75</v>
      </c>
      <c r="D39">
        <f t="shared" si="51"/>
        <v>18065.599533771405</v>
      </c>
      <c r="E39">
        <f t="shared" si="55"/>
        <v>91321.595784478515</v>
      </c>
      <c r="F39">
        <f t="shared" si="55"/>
        <v>166193.61565934218</v>
      </c>
      <c r="G39">
        <f t="shared" si="55"/>
        <v>242717.3085589234</v>
      </c>
      <c r="H39">
        <f t="shared" si="56"/>
        <v>321600.10367402219</v>
      </c>
      <c r="I39">
        <f t="shared" si="56"/>
        <v>402479.4928693829</v>
      </c>
      <c r="J39">
        <f t="shared" si="56"/>
        <v>485351.25104531174</v>
      </c>
      <c r="K39">
        <f t="shared" si="57"/>
        <v>571403.63106153044</v>
      </c>
      <c r="L39">
        <f t="shared" si="58"/>
        <v>660010.58625996194</v>
      </c>
      <c r="M39">
        <f>(M38+6000)*1.00328-(0.00125*(M38+6000))</f>
        <v>750560.64955275785</v>
      </c>
      <c r="N39">
        <f t="shared" si="59"/>
        <v>844043.12057062739</v>
      </c>
      <c r="O39">
        <f t="shared" si="60"/>
        <v>940069.59053493035</v>
      </c>
      <c r="P39">
        <f t="shared" si="61"/>
        <v>1039769.9399003406</v>
      </c>
      <c r="Q39">
        <f t="shared" si="62"/>
        <v>1143871.5611229835</v>
      </c>
      <c r="R39">
        <f t="shared" si="63"/>
        <v>1251071.5002564292</v>
      </c>
      <c r="S39">
        <f t="shared" si="64"/>
        <v>1361461.9707913394</v>
      </c>
      <c r="T39">
        <f t="shared" si="65"/>
        <v>1475137.9307165521</v>
      </c>
      <c r="U39">
        <f t="shared" si="66"/>
        <v>1592197.1642020363</v>
      </c>
      <c r="V39">
        <f t="shared" si="67"/>
        <v>1712740.3657129293</v>
      </c>
      <c r="W39">
        <f t="shared" si="68"/>
        <v>1836871.2266270118</v>
      </c>
      <c r="X39">
        <f t="shared" si="69"/>
        <v>1964696.5244301318</v>
      </c>
      <c r="Y39">
        <f t="shared" si="70"/>
        <v>2096326.2145662976</v>
      </c>
      <c r="Z39">
        <f t="shared" si="71"/>
        <v>2231873.5250214608</v>
      </c>
      <c r="AA39">
        <f t="shared" si="72"/>
        <v>2371455.0537223327</v>
      </c>
      <c r="AB39">
        <f t="shared" si="73"/>
        <v>2515190.8688340415</v>
      </c>
      <c r="AC39">
        <f t="shared" si="74"/>
        <v>2663204.6120428727</v>
      </c>
      <c r="AD39">
        <f t="shared" si="75"/>
        <v>2815623.6049129739</v>
      </c>
      <c r="AE39">
        <f t="shared" si="76"/>
        <v>2972578.9584084884</v>
      </c>
      <c r="AI39">
        <f t="shared" si="53"/>
        <v>18118.338413325309</v>
      </c>
      <c r="AJ39">
        <f t="shared" si="77"/>
        <v>92398.136615791431</v>
      </c>
      <c r="AK39">
        <f t="shared" si="78"/>
        <v>169654.91130466692</v>
      </c>
      <c r="AL39">
        <f t="shared" si="79"/>
        <v>250007.9733722145</v>
      </c>
      <c r="AM39">
        <f t="shared" si="80"/>
        <v>333581.41543775384</v>
      </c>
      <c r="AN39">
        <f t="shared" si="81"/>
        <v>420504.30348912161</v>
      </c>
      <c r="AO39">
        <f t="shared" si="82"/>
        <v>510910.87620471523</v>
      </c>
      <c r="AP39">
        <f t="shared" si="83"/>
        <v>604940.75226393901</v>
      </c>
      <c r="AQ39">
        <f t="shared" si="84"/>
        <v>702739.14596621436</v>
      </c>
      <c r="AR39">
        <f t="shared" si="85"/>
        <v>804457.09149153973</v>
      </c>
      <c r="AS39">
        <f t="shared" si="86"/>
        <v>910251.67614893988</v>
      </c>
      <c r="AT39">
        <f t="shared" si="87"/>
        <v>1020286.2829730139</v>
      </c>
      <c r="AU39">
        <f t="shared" si="88"/>
        <v>1134730.8430432412</v>
      </c>
      <c r="AV39">
        <f t="shared" si="89"/>
        <v>1253762.097915706</v>
      </c>
      <c r="AW39">
        <f t="shared" si="90"/>
        <v>1377563.8725725308</v>
      </c>
      <c r="AX39">
        <f t="shared" si="91"/>
        <v>1506327.3593105401</v>
      </c>
      <c r="AY39">
        <f t="shared" si="92"/>
        <v>1640251.4130075804</v>
      </c>
      <c r="AZ39">
        <f t="shared" si="93"/>
        <v>1779542.8582224867</v>
      </c>
      <c r="BA39">
        <f t="shared" si="94"/>
        <v>1924416.8086029631</v>
      </c>
      <c r="BB39">
        <f t="shared" si="95"/>
        <v>2075096.9990946511</v>
      </c>
      <c r="BC39">
        <f t="shared" si="96"/>
        <v>2231816.1314644371</v>
      </c>
      <c r="BD39">
        <f t="shared" si="97"/>
        <v>2394816.2336715879</v>
      </c>
      <c r="BE39">
        <f t="shared" si="98"/>
        <v>2564349.0336417351</v>
      </c>
      <c r="BF39">
        <f t="shared" si="99"/>
        <v>2740676.3480209089</v>
      </c>
      <c r="BG39">
        <f t="shared" si="100"/>
        <v>2924070.4865100211</v>
      </c>
      <c r="BH39">
        <f t="shared" si="101"/>
        <v>3114814.6724042068</v>
      </c>
      <c r="BI39">
        <f t="shared" si="102"/>
        <v>3313203.4799864921</v>
      </c>
      <c r="BJ39">
        <f t="shared" si="103"/>
        <v>3519543.2894512727</v>
      </c>
    </row>
    <row r="40" spans="1:62" x14ac:dyDescent="0.3">
      <c r="A40">
        <f>0.015/12</f>
        <v>1.25E-3</v>
      </c>
      <c r="B40">
        <v>1.5</v>
      </c>
      <c r="D40">
        <f t="shared" si="51"/>
        <v>24109.398924922865</v>
      </c>
      <c r="E40">
        <f t="shared" si="55"/>
        <v>97498.721088806255</v>
      </c>
      <c r="F40">
        <f t="shared" si="55"/>
        <v>172507.00803984216</v>
      </c>
      <c r="G40">
        <f t="shared" si="55"/>
        <v>249169.97406050065</v>
      </c>
      <c r="H40">
        <f t="shared" si="56"/>
        <v>328265.13188448042</v>
      </c>
      <c r="I40">
        <f t="shared" si="56"/>
        <v>409308.70623990777</v>
      </c>
      <c r="J40">
        <f t="shared" si="56"/>
        <v>492348.69408493373</v>
      </c>
      <c r="K40">
        <f t="shared" si="57"/>
        <v>578697.01519510825</v>
      </c>
      <c r="L40">
        <f t="shared" si="58"/>
        <v>667502.44997318415</v>
      </c>
      <c r="M40">
        <f t="shared" ref="M40:M48" si="104">(M39+6000)*1.00328-(0.00104*(M39+6000))</f>
        <v>758255.34540775593</v>
      </c>
      <c r="N40">
        <f t="shared" si="59"/>
        <v>851947.21716070548</v>
      </c>
      <c r="O40">
        <f t="shared" si="60"/>
        <v>948188.78641772852</v>
      </c>
      <c r="P40">
        <f t="shared" si="61"/>
        <v>1048328.9389432766</v>
      </c>
      <c r="Q40">
        <f t="shared" si="62"/>
        <v>1152685.2968330511</v>
      </c>
      <c r="R40">
        <f t="shared" si="63"/>
        <v>1260147.5542175567</v>
      </c>
      <c r="S40">
        <f t="shared" si="64"/>
        <v>1370808.1502338659</v>
      </c>
      <c r="T40">
        <f t="shared" si="65"/>
        <v>1484762.2752330154</v>
      </c>
      <c r="U40">
        <f t="shared" si="66"/>
        <v>1602107.9526628386</v>
      </c>
      <c r="V40">
        <f t="shared" si="67"/>
        <v>1722946.1233878289</v>
      </c>
      <c r="W40">
        <f t="shared" si="68"/>
        <v>1847380.7325185682</v>
      </c>
      <c r="X40">
        <f t="shared" si="69"/>
        <v>1975518.8188254123</v>
      </c>
      <c r="Y40">
        <f t="shared" si="70"/>
        <v>2107470.6068133414</v>
      </c>
      <c r="Z40">
        <f t="shared" si="71"/>
        <v>2243349.601537188</v>
      </c>
      <c r="AA40">
        <f t="shared" si="72"/>
        <v>2383272.6862387909</v>
      </c>
      <c r="AB40">
        <f t="shared" si="73"/>
        <v>2527360.2228900781</v>
      </c>
      <c r="AC40">
        <f t="shared" si="74"/>
        <v>2675736.1557285413</v>
      </c>
      <c r="AD40">
        <f t="shared" si="75"/>
        <v>2828528.1178741958</v>
      </c>
      <c r="AE40">
        <f t="shared" si="76"/>
        <v>2985867.5411197143</v>
      </c>
      <c r="AI40">
        <f t="shared" si="53"/>
        <v>24197.446563321017</v>
      </c>
      <c r="AJ40">
        <f t="shared" si="77"/>
        <v>98720.882503891218</v>
      </c>
      <c r="AK40">
        <f t="shared" si="78"/>
        <v>176231.05941374623</v>
      </c>
      <c r="AL40">
        <f t="shared" si="79"/>
        <v>256847.67952487536</v>
      </c>
      <c r="AM40">
        <f t="shared" si="80"/>
        <v>340695.24248038966</v>
      </c>
      <c r="AN40">
        <f t="shared" si="81"/>
        <v>427903.23760456592</v>
      </c>
      <c r="AO40">
        <f t="shared" si="82"/>
        <v>518606.3438786667</v>
      </c>
      <c r="AP40">
        <f t="shared" si="83"/>
        <v>612944.6379313647</v>
      </c>
      <c r="AQ40">
        <f t="shared" si="84"/>
        <v>711063.81036498351</v>
      </c>
      <c r="AR40">
        <f t="shared" si="85"/>
        <v>813115.39075163193</v>
      </c>
      <c r="AS40">
        <f t="shared" si="86"/>
        <v>919256.98164670833</v>
      </c>
      <c r="AT40">
        <f t="shared" si="87"/>
        <v>1029652.5019811654</v>
      </c>
      <c r="AU40">
        <f t="shared" si="88"/>
        <v>1144472.440208423</v>
      </c>
      <c r="AV40">
        <f t="shared" si="89"/>
        <v>1263894.1175968694</v>
      </c>
      <c r="AW40">
        <f t="shared" si="90"/>
        <v>1388101.9620745685</v>
      </c>
      <c r="AX40">
        <f t="shared" si="91"/>
        <v>1517287.7930490787</v>
      </c>
      <c r="AY40">
        <f t="shared" si="92"/>
        <v>1651651.1176422453</v>
      </c>
      <c r="AZ40">
        <f t="shared" si="93"/>
        <v>1791399.4387974564</v>
      </c>
      <c r="BA40">
        <f t="shared" si="94"/>
        <v>1936748.5757351806</v>
      </c>
      <c r="BB40">
        <f t="shared" si="95"/>
        <v>2087922.9972516815</v>
      </c>
      <c r="BC40">
        <f t="shared" si="96"/>
        <v>2245156.1683756402</v>
      </c>
      <c r="BD40">
        <f t="shared" si="97"/>
        <v>2408690.9109180304</v>
      </c>
      <c r="BE40">
        <f t="shared" si="98"/>
        <v>2578779.7784720799</v>
      </c>
      <c r="BF40">
        <f t="shared" si="99"/>
        <v>2755685.4464424173</v>
      </c>
      <c r="BG40">
        <f t="shared" si="100"/>
        <v>2939681.117705774</v>
      </c>
      <c r="BH40">
        <f t="shared" si="101"/>
        <v>3131050.9445296926</v>
      </c>
      <c r="BI40">
        <f t="shared" si="102"/>
        <v>3330090.4674008475</v>
      </c>
      <c r="BJ40">
        <f t="shared" si="103"/>
        <v>3537107.0714406725</v>
      </c>
    </row>
    <row r="41" spans="1:62" x14ac:dyDescent="0.3">
      <c r="A41">
        <f>0.0125/12</f>
        <v>1.0416666666666667E-3</v>
      </c>
      <c r="B41">
        <v>1.25</v>
      </c>
      <c r="D41">
        <f t="shared" si="51"/>
        <v>30164.198030966225</v>
      </c>
      <c r="E41">
        <f t="shared" ref="E41:F48" si="105">(E40+6000)*1.00328-(0.00146*(E40+6000))</f>
        <v>103687.08876118789</v>
      </c>
      <c r="F41">
        <f t="shared" si="105"/>
        <v>178831.89079447466</v>
      </c>
      <c r="G41">
        <f t="shared" ref="G41:G48" si="106">(G40+6000)*1.00328-(0.00125*(G40+6000))</f>
        <v>255687.96910784347</v>
      </c>
      <c r="H41">
        <f t="shared" si="56"/>
        <v>334943.6901022059</v>
      </c>
      <c r="I41">
        <f t="shared" si="56"/>
        <v>416151.78291357477</v>
      </c>
      <c r="J41">
        <f t="shared" si="56"/>
        <v>499360.34193392616</v>
      </c>
      <c r="K41">
        <f t="shared" si="57"/>
        <v>586006.73650914524</v>
      </c>
      <c r="L41">
        <f t="shared" si="58"/>
        <v>675011.09546112409</v>
      </c>
      <c r="M41">
        <f t="shared" si="104"/>
        <v>765967.27738146926</v>
      </c>
      <c r="N41">
        <f t="shared" si="59"/>
        <v>859869.0189271454</v>
      </c>
      <c r="O41">
        <f t="shared" si="60"/>
        <v>956326.16929930425</v>
      </c>
      <c r="P41">
        <f t="shared" si="61"/>
        <v>1056908.8818568708</v>
      </c>
      <c r="Q41">
        <f t="shared" si="62"/>
        <v>1161520.5997544015</v>
      </c>
      <c r="R41">
        <f t="shared" si="63"/>
        <v>1269245.817282727</v>
      </c>
      <c r="S41">
        <f t="shared" si="64"/>
        <v>1380177.1997774881</v>
      </c>
      <c r="T41">
        <f t="shared" si="65"/>
        <v>1494410.1705205105</v>
      </c>
      <c r="U41">
        <f t="shared" si="66"/>
        <v>1612042.9928230045</v>
      </c>
      <c r="V41">
        <f t="shared" si="67"/>
        <v>1733176.8545517588</v>
      </c>
      <c r="W41">
        <f t="shared" si="68"/>
        <v>1857915.955171041</v>
      </c>
      <c r="X41">
        <f t="shared" si="69"/>
        <v>1986367.5953750778</v>
      </c>
      <c r="Y41">
        <f t="shared" si="70"/>
        <v>2118642.2693882138</v>
      </c>
      <c r="Z41">
        <f t="shared" si="71"/>
        <v>2254853.7600121493</v>
      </c>
      <c r="AA41">
        <f t="shared" si="72"/>
        <v>2395119.2365020169</v>
      </c>
      <c r="AB41">
        <f t="shared" si="73"/>
        <v>2539559.35535549</v>
      </c>
      <c r="AC41">
        <f t="shared" si="74"/>
        <v>2688298.3641016092</v>
      </c>
      <c r="AD41">
        <f t="shared" si="75"/>
        <v>2841464.2081786338</v>
      </c>
      <c r="AE41">
        <f t="shared" si="76"/>
        <v>2999188.6409928342</v>
      </c>
      <c r="AI41">
        <f t="shared" si="53"/>
        <v>30296.494188048709</v>
      </c>
      <c r="AJ41">
        <f t="shared" si="77"/>
        <v>105064.36699850397</v>
      </c>
      <c r="AK41">
        <f t="shared" si="78"/>
        <v>182828.7772886233</v>
      </c>
      <c r="AL41">
        <f t="shared" si="79"/>
        <v>263709.81991371693</v>
      </c>
      <c r="AM41">
        <f t="shared" si="80"/>
        <v>347832.4028757253</v>
      </c>
      <c r="AN41">
        <f t="shared" si="81"/>
        <v>435326.44022390887</v>
      </c>
      <c r="AO41">
        <f t="shared" si="82"/>
        <v>526327.05268658861</v>
      </c>
      <c r="AP41">
        <f t="shared" si="83"/>
        <v>620974.77634377952</v>
      </c>
      <c r="AQ41">
        <f t="shared" si="84"/>
        <v>719415.77966298058</v>
      </c>
      <c r="AR41">
        <f t="shared" si="85"/>
        <v>821802.08923329727</v>
      </c>
      <c r="AS41">
        <f t="shared" si="86"/>
        <v>928291.82454650954</v>
      </c>
      <c r="AT41">
        <f t="shared" si="87"/>
        <v>1039049.4421876635</v>
      </c>
      <c r="AU41">
        <f t="shared" si="88"/>
        <v>1154245.9898123066</v>
      </c>
      <c r="AV41">
        <f t="shared" si="89"/>
        <v>1274059.370302587</v>
      </c>
      <c r="AW41">
        <f t="shared" si="90"/>
        <v>1398674.6165101731</v>
      </c>
      <c r="AX41">
        <f t="shared" si="91"/>
        <v>1528284.1770102796</v>
      </c>
      <c r="AY41">
        <f t="shared" si="92"/>
        <v>1663088.2133081118</v>
      </c>
      <c r="AZ41">
        <f t="shared" si="93"/>
        <v>1803294.9089567121</v>
      </c>
      <c r="BA41">
        <f t="shared" si="94"/>
        <v>1949120.7910635918</v>
      </c>
      <c r="BB41">
        <f t="shared" si="95"/>
        <v>2100791.0646826671</v>
      </c>
      <c r="BC41">
        <f t="shared" si="96"/>
        <v>2258539.9606079124</v>
      </c>
      <c r="BD41">
        <f t="shared" si="97"/>
        <v>2422611.0971058416</v>
      </c>
      <c r="BE41">
        <f t="shared" si="98"/>
        <v>2593257.8561454681</v>
      </c>
      <c r="BF41">
        <f t="shared" si="99"/>
        <v>2770743.7747067483</v>
      </c>
      <c r="BG41">
        <f t="shared" si="100"/>
        <v>2955342.9517718488</v>
      </c>
      <c r="BH41">
        <f t="shared" si="101"/>
        <v>3147340.47162775</v>
      </c>
      <c r="BI41">
        <f t="shared" si="102"/>
        <v>3347032.8441339219</v>
      </c>
      <c r="BJ41">
        <f t="shared" si="103"/>
        <v>3554728.4626349979</v>
      </c>
    </row>
    <row r="42" spans="1:62" x14ac:dyDescent="0.3">
      <c r="A42">
        <f>0.01/12</f>
        <v>8.3333333333333339E-4</v>
      </c>
      <c r="B42">
        <v>1</v>
      </c>
      <c r="D42">
        <f t="shared" si="51"/>
        <v>36230.016871382584</v>
      </c>
      <c r="E42">
        <f t="shared" si="105"/>
        <v>109886.71926273326</v>
      </c>
      <c r="F42">
        <f t="shared" si="105"/>
        <v>185168.28483572058</v>
      </c>
      <c r="G42">
        <f t="shared" si="106"/>
        <v>262219.19568513241</v>
      </c>
      <c r="H42">
        <f t="shared" ref="H42:I48" si="107">(H41+6000)*1.00328-(0.00125*(H41+6000))</f>
        <v>341635.80579311337</v>
      </c>
      <c r="I42">
        <f t="shared" si="107"/>
        <v>423008.75103288935</v>
      </c>
      <c r="J42">
        <f t="shared" ref="J42:J48" si="108">(J41+6000)*1.00328-(0.00104*(J41+6000))</f>
        <v>506492.34909985808</v>
      </c>
      <c r="K42">
        <f t="shared" si="57"/>
        <v>593332.83159892575</v>
      </c>
      <c r="L42">
        <f t="shared" si="58"/>
        <v>682536.56031495694</v>
      </c>
      <c r="M42">
        <f t="shared" si="104"/>
        <v>773696.48408280371</v>
      </c>
      <c r="N42">
        <f t="shared" si="59"/>
        <v>867808.56552954216</v>
      </c>
      <c r="O42">
        <f t="shared" si="60"/>
        <v>964481.77991853468</v>
      </c>
      <c r="P42">
        <f t="shared" si="61"/>
        <v>1065509.8198907746</v>
      </c>
      <c r="Q42">
        <f t="shared" si="62"/>
        <v>1170377.5226620005</v>
      </c>
      <c r="R42">
        <f t="shared" si="63"/>
        <v>1278366.3437976176</v>
      </c>
      <c r="S42">
        <f t="shared" si="64"/>
        <v>1389569.1753853436</v>
      </c>
      <c r="T42">
        <f t="shared" si="65"/>
        <v>1504081.6742077742</v>
      </c>
      <c r="U42">
        <f t="shared" si="66"/>
        <v>1622002.3440264424</v>
      </c>
      <c r="V42">
        <f t="shared" si="67"/>
        <v>1743432.6203148467</v>
      </c>
      <c r="W42">
        <f t="shared" si="68"/>
        <v>1868476.9575133445</v>
      </c>
      <c r="X42">
        <f t="shared" si="69"/>
        <v>1997242.9188809604</v>
      </c>
      <c r="Y42">
        <f t="shared" si="70"/>
        <v>2129841.2690214063</v>
      </c>
      <c r="Z42">
        <f t="shared" si="71"/>
        <v>2266386.0691628992</v>
      </c>
      <c r="AA42">
        <f t="shared" si="72"/>
        <v>2406994.775273737</v>
      </c>
      <c r="AB42">
        <f t="shared" si="73"/>
        <v>2551788.3390980447</v>
      </c>
      <c r="AC42">
        <f t="shared" si="74"/>
        <v>2700891.3121985653</v>
      </c>
      <c r="AD42">
        <f t="shared" si="75"/>
        <v>2854431.9530960466</v>
      </c>
      <c r="AE42">
        <f t="shared" si="76"/>
        <v>3012542.3375973436</v>
      </c>
      <c r="AI42">
        <f t="shared" si="53"/>
        <v>36415.546688985509</v>
      </c>
      <c r="AJ42">
        <f t="shared" si="77"/>
        <v>111428.65812225906</v>
      </c>
      <c r="AK42">
        <f t="shared" si="78"/>
        <v>189448.13567812997</v>
      </c>
      <c r="AL42">
        <f t="shared" si="79"/>
        <v>270594.46812303393</v>
      </c>
      <c r="AM42">
        <f t="shared" si="80"/>
        <v>354992.97315715766</v>
      </c>
      <c r="AN42">
        <f t="shared" si="81"/>
        <v>442773.99094784324</v>
      </c>
      <c r="AO42">
        <f t="shared" si="82"/>
        <v>534073.0854194006</v>
      </c>
      <c r="AP42">
        <f t="shared" si="83"/>
        <v>629031.25361018709</v>
      </c>
      <c r="AQ42">
        <f t="shared" si="84"/>
        <v>727795.14342027507</v>
      </c>
      <c r="AR42">
        <f t="shared" si="85"/>
        <v>830517.28008598241</v>
      </c>
      <c r="AS42">
        <f t="shared" si="86"/>
        <v>937356.30173102207</v>
      </c>
      <c r="AT42">
        <f t="shared" si="87"/>
        <v>1048477.204358039</v>
      </c>
      <c r="AU42">
        <f t="shared" si="88"/>
        <v>1164051.5966588908</v>
      </c>
      <c r="AV42">
        <f t="shared" si="89"/>
        <v>1284257.9650371794</v>
      </c>
      <c r="AW42">
        <f t="shared" si="90"/>
        <v>1409281.9492523263</v>
      </c>
      <c r="AX42">
        <f t="shared" si="91"/>
        <v>1539316.6291108732</v>
      </c>
      <c r="AY42">
        <f t="shared" si="92"/>
        <v>1674562.8226477623</v>
      </c>
      <c r="AZ42">
        <f t="shared" si="93"/>
        <v>1815229.3962580899</v>
      </c>
      <c r="BA42">
        <f t="shared" si="94"/>
        <v>1961533.5872582803</v>
      </c>
      <c r="BB42">
        <f t="shared" si="95"/>
        <v>2113701.3393748263</v>
      </c>
      <c r="BC42">
        <f t="shared" si="96"/>
        <v>2271967.6516787061</v>
      </c>
      <c r="BD42">
        <f t="shared" si="97"/>
        <v>2436576.9415043485</v>
      </c>
      <c r="BE42">
        <f t="shared" si="98"/>
        <v>2607783.4219136252</v>
      </c>
      <c r="BF42">
        <f t="shared" si="99"/>
        <v>2785851.4942877865</v>
      </c>
      <c r="BG42">
        <f t="shared" si="100"/>
        <v>2971056.1566536603</v>
      </c>
      <c r="BH42">
        <f t="shared" si="101"/>
        <v>3163683.4283746886</v>
      </c>
      <c r="BI42">
        <f t="shared" si="102"/>
        <v>3364030.791862681</v>
      </c>
      <c r="BJ42">
        <f t="shared" si="103"/>
        <v>3572407.6519924407</v>
      </c>
    </row>
    <row r="43" spans="1:62" x14ac:dyDescent="0.3">
      <c r="D43">
        <f t="shared" si="51"/>
        <v>42306.8755020885</v>
      </c>
      <c r="E43">
        <f t="shared" si="105"/>
        <v>116097.63309179142</v>
      </c>
      <c r="F43">
        <f t="shared" si="105"/>
        <v>191516.2111141216</v>
      </c>
      <c r="G43">
        <f t="shared" si="106"/>
        <v>268763.68065237324</v>
      </c>
      <c r="H43">
        <f t="shared" si="107"/>
        <v>348341.50647887337</v>
      </c>
      <c r="I43">
        <f t="shared" si="107"/>
        <v>429879.63879748614</v>
      </c>
      <c r="J43">
        <f t="shared" si="108"/>
        <v>513640.33196184173</v>
      </c>
      <c r="K43">
        <f t="shared" si="57"/>
        <v>600675.33714170731</v>
      </c>
      <c r="L43">
        <f t="shared" si="58"/>
        <v>690078.88221006247</v>
      </c>
      <c r="M43">
        <f t="shared" si="104"/>
        <v>781443.00420714915</v>
      </c>
      <c r="N43">
        <f t="shared" si="59"/>
        <v>875765.89671632834</v>
      </c>
      <c r="O43">
        <f t="shared" si="60"/>
        <v>972655.65910555213</v>
      </c>
      <c r="P43">
        <f t="shared" si="61"/>
        <v>1074131.8044200472</v>
      </c>
      <c r="Q43">
        <f t="shared" si="62"/>
        <v>1179256.1184599544</v>
      </c>
      <c r="R43">
        <f t="shared" si="63"/>
        <v>1287509.1882408904</v>
      </c>
      <c r="S43">
        <f t="shared" si="64"/>
        <v>1398984.1331575115</v>
      </c>
      <c r="T43">
        <f t="shared" si="65"/>
        <v>1513776.8440645607</v>
      </c>
      <c r="U43">
        <f t="shared" si="66"/>
        <v>1631986.0657622751</v>
      </c>
      <c r="V43">
        <f t="shared" si="67"/>
        <v>1753713.481936757</v>
      </c>
      <c r="W43">
        <f t="shared" si="68"/>
        <v>1879063.8026283795</v>
      </c>
      <c r="X43">
        <f t="shared" si="69"/>
        <v>2008144.854303462</v>
      </c>
      <c r="Y43">
        <f t="shared" si="70"/>
        <v>2141067.6726067015</v>
      </c>
      <c r="Z43">
        <f t="shared" si="71"/>
        <v>2277946.5978741404</v>
      </c>
      <c r="AA43">
        <f t="shared" si="72"/>
        <v>2418899.3734888318</v>
      </c>
      <c r="AB43">
        <f t="shared" si="73"/>
        <v>2564047.2471638173</v>
      </c>
      <c r="AC43">
        <f t="shared" si="74"/>
        <v>2713515.0752395149</v>
      </c>
      <c r="AD43">
        <f t="shared" si="75"/>
        <v>2867431.4300852721</v>
      </c>
      <c r="AE43">
        <f t="shared" si="76"/>
        <v>3025928.7106974442</v>
      </c>
      <c r="AI43">
        <f t="shared" si="53"/>
        <v>42554.669682125379</v>
      </c>
      <c r="AJ43">
        <f t="shared" si="77"/>
        <v>117813.82412090007</v>
      </c>
      <c r="AK43">
        <f t="shared" si="78"/>
        <v>196089.20556315422</v>
      </c>
      <c r="AL43">
        <f t="shared" si="79"/>
        <v>277501.69797847746</v>
      </c>
      <c r="AM43">
        <f t="shared" si="80"/>
        <v>362177.03010911314</v>
      </c>
      <c r="AN43">
        <f t="shared" si="81"/>
        <v>450245.96963815216</v>
      </c>
      <c r="AO43">
        <f t="shared" si="82"/>
        <v>541844.52513957617</v>
      </c>
      <c r="AP43">
        <f t="shared" si="83"/>
        <v>637114.15612202848</v>
      </c>
      <c r="AQ43">
        <f t="shared" si="84"/>
        <v>736201.99149069353</v>
      </c>
      <c r="AR43">
        <f t="shared" si="85"/>
        <v>839261.05676466436</v>
      </c>
      <c r="AS43">
        <f t="shared" si="86"/>
        <v>946450.5104006998</v>
      </c>
      <c r="AT43">
        <f t="shared" si="87"/>
        <v>1057935.8895883332</v>
      </c>
      <c r="AU43">
        <f t="shared" si="88"/>
        <v>1173889.3658959318</v>
      </c>
      <c r="AV43">
        <f t="shared" si="89"/>
        <v>1294490.0111625013</v>
      </c>
      <c r="AW43">
        <f t="shared" si="90"/>
        <v>1419924.0740458739</v>
      </c>
      <c r="AX43">
        <f t="shared" si="91"/>
        <v>1550385.2676543568</v>
      </c>
      <c r="AY43">
        <f t="shared" si="92"/>
        <v>1686075.0687060468</v>
      </c>
      <c r="AZ43">
        <f t="shared" si="93"/>
        <v>1827203.0286778163</v>
      </c>
      <c r="BA43">
        <f t="shared" si="94"/>
        <v>1973987.0974244874</v>
      </c>
      <c r="BB43">
        <f t="shared" si="95"/>
        <v>2126653.9597679758</v>
      </c>
      <c r="BC43">
        <f t="shared" si="96"/>
        <v>2285439.3855762123</v>
      </c>
      <c r="BD43">
        <f t="shared" si="97"/>
        <v>2450588.5938724829</v>
      </c>
      <c r="BE43">
        <f t="shared" si="98"/>
        <v>2622356.6315375017</v>
      </c>
      <c r="BF43">
        <f t="shared" si="99"/>
        <v>2801008.7671890506</v>
      </c>
      <c r="BG43">
        <f t="shared" si="100"/>
        <v>2986820.9008474844</v>
      </c>
      <c r="BH43">
        <f t="shared" si="101"/>
        <v>3180079.9900197573</v>
      </c>
      <c r="BI43">
        <f t="shared" si="102"/>
        <v>3381084.4928599903</v>
      </c>
      <c r="BJ43">
        <f t="shared" si="103"/>
        <v>3590144.8290909757</v>
      </c>
    </row>
    <row r="44" spans="1:62" x14ac:dyDescent="0.3">
      <c r="D44">
        <f t="shared" si="51"/>
        <v>48394.794015502302</v>
      </c>
      <c r="E44">
        <f t="shared" si="105"/>
        <v>122319.85078401848</v>
      </c>
      <c r="F44">
        <f t="shared" si="105"/>
        <v>197875.6906183493</v>
      </c>
      <c r="G44">
        <f t="shared" si="106"/>
        <v>275321.4509240975</v>
      </c>
      <c r="H44">
        <f t="shared" si="107"/>
        <v>355060.81973702542</v>
      </c>
      <c r="I44">
        <f t="shared" si="107"/>
        <v>436764.47446424502</v>
      </c>
      <c r="J44">
        <f t="shared" si="108"/>
        <v>520804.32630543626</v>
      </c>
      <c r="K44">
        <f t="shared" si="57"/>
        <v>608034.28989690472</v>
      </c>
      <c r="L44">
        <f t="shared" si="58"/>
        <v>697638.09890621295</v>
      </c>
      <c r="M44">
        <f t="shared" si="104"/>
        <v>789206.87653657317</v>
      </c>
      <c r="N44">
        <f t="shared" si="59"/>
        <v>883741.05232497293</v>
      </c>
      <c r="O44">
        <f t="shared" si="60"/>
        <v>980847.84778194851</v>
      </c>
      <c r="P44">
        <f t="shared" si="61"/>
        <v>1082774.8869454628</v>
      </c>
      <c r="Q44">
        <f t="shared" si="62"/>
        <v>1188156.4401818258</v>
      </c>
      <c r="R44">
        <f t="shared" si="63"/>
        <v>1296674.4052245158</v>
      </c>
      <c r="S44">
        <f t="shared" si="64"/>
        <v>1408422.1293313478</v>
      </c>
      <c r="T44">
        <f t="shared" si="65"/>
        <v>1523495.7380019866</v>
      </c>
      <c r="U44">
        <f t="shared" si="66"/>
        <v>1641994.2176651952</v>
      </c>
      <c r="V44">
        <f t="shared" si="67"/>
        <v>1764019.5008270561</v>
      </c>
      <c r="W44">
        <f t="shared" si="68"/>
        <v>1889676.5537534112</v>
      </c>
      <c r="X44">
        <f t="shared" si="69"/>
        <v>2019073.4667619425</v>
      </c>
      <c r="Y44">
        <f t="shared" si="70"/>
        <v>2152321.5472015701</v>
      </c>
      <c r="Z44">
        <f t="shared" si="71"/>
        <v>2289535.4151991382</v>
      </c>
      <c r="AA44">
        <f t="shared" si="72"/>
        <v>2430833.1022557588</v>
      </c>
      <c r="AB44">
        <f t="shared" si="73"/>
        <v>2576336.1527776271</v>
      </c>
      <c r="AC44">
        <f t="shared" si="74"/>
        <v>2726169.7286286256</v>
      </c>
      <c r="AD44">
        <f t="shared" si="75"/>
        <v>2880462.7167946906</v>
      </c>
      <c r="AE44">
        <f t="shared" si="76"/>
        <v>3039347.8402525205</v>
      </c>
      <c r="AI44">
        <f t="shared" si="53"/>
        <v>48713.92899868275</v>
      </c>
      <c r="AJ44">
        <f t="shared" si="77"/>
        <v>124219.93346401662</v>
      </c>
      <c r="AK44">
        <f t="shared" si="78"/>
        <v>202752.05815740136</v>
      </c>
      <c r="AL44">
        <f t="shared" si="79"/>
        <v>284431.58354784688</v>
      </c>
      <c r="AM44">
        <f t="shared" si="80"/>
        <v>369384.650767871</v>
      </c>
      <c r="AN44">
        <f t="shared" si="81"/>
        <v>457742.4564185653</v>
      </c>
      <c r="AO44">
        <f t="shared" si="82"/>
        <v>549641.45518203394</v>
      </c>
      <c r="AP44">
        <f t="shared" si="83"/>
        <v>645223.57055410871</v>
      </c>
      <c r="AQ44">
        <f t="shared" si="84"/>
        <v>744636.41402278293</v>
      </c>
      <c r="AR44">
        <f t="shared" si="85"/>
        <v>848033.51303085242</v>
      </c>
      <c r="AS44">
        <f t="shared" si="86"/>
        <v>955574.54807481403</v>
      </c>
      <c r="AT44">
        <f t="shared" si="87"/>
        <v>1067425.5993061829</v>
      </c>
      <c r="AU44">
        <f t="shared" si="88"/>
        <v>1183759.4030160704</v>
      </c>
      <c r="AV44">
        <f t="shared" si="89"/>
        <v>1304755.6183991143</v>
      </c>
      <c r="AW44">
        <f t="shared" si="90"/>
        <v>1430601.1050087444</v>
      </c>
      <c r="AX44">
        <f t="shared" si="91"/>
        <v>1561490.211332263</v>
      </c>
      <c r="AY44">
        <f t="shared" si="92"/>
        <v>1697625.0749314025</v>
      </c>
      <c r="AZ44">
        <f t="shared" si="93"/>
        <v>1839215.9346118795</v>
      </c>
      <c r="BA44">
        <f t="shared" si="94"/>
        <v>1986481.4551040395</v>
      </c>
      <c r="BB44">
        <f t="shared" si="95"/>
        <v>2139649.0647560148</v>
      </c>
      <c r="BC44">
        <f t="shared" si="96"/>
        <v>2298955.3067609021</v>
      </c>
      <c r="BD44">
        <f t="shared" si="97"/>
        <v>2464646.2044603843</v>
      </c>
      <c r="BE44">
        <f t="shared" si="98"/>
        <v>2636977.6412889445</v>
      </c>
      <c r="BF44">
        <f t="shared" si="99"/>
        <v>2816215.7559454306</v>
      </c>
      <c r="BG44">
        <f t="shared" si="100"/>
        <v>3002637.353402264</v>
      </c>
      <c r="BH44">
        <f t="shared" si="101"/>
        <v>3196530.3323870217</v>
      </c>
      <c r="BI44">
        <f t="shared" si="102"/>
        <v>3398194.1299965708</v>
      </c>
      <c r="BJ44">
        <f t="shared" si="103"/>
        <v>3607940.1841303939</v>
      </c>
    </row>
    <row r="45" spans="1:62" x14ac:dyDescent="0.3">
      <c r="D45">
        <f t="shared" si="51"/>
        <v>54493.792540610513</v>
      </c>
      <c r="E45">
        <f t="shared" si="105"/>
        <v>128553.39291244539</v>
      </c>
      <c r="F45">
        <f t="shared" si="105"/>
        <v>204246.74437527469</v>
      </c>
      <c r="G45">
        <f t="shared" si="106"/>
        <v>281892.53346947342</v>
      </c>
      <c r="H45">
        <f t="shared" si="107"/>
        <v>361793.77320109156</v>
      </c>
      <c r="I45">
        <f t="shared" si="107"/>
        <v>443663.28634740738</v>
      </c>
      <c r="J45">
        <f t="shared" si="108"/>
        <v>527984.36799636041</v>
      </c>
      <c r="K45">
        <f t="shared" si="57"/>
        <v>615409.72670627374</v>
      </c>
      <c r="L45">
        <f t="shared" si="58"/>
        <v>705214.24824776291</v>
      </c>
      <c r="M45">
        <f t="shared" si="104"/>
        <v>796988.13994001504</v>
      </c>
      <c r="N45">
        <f t="shared" si="59"/>
        <v>891734.07228218089</v>
      </c>
      <c r="O45">
        <f t="shared" si="60"/>
        <v>989058.38696098002</v>
      </c>
      <c r="P45">
        <f t="shared" si="61"/>
        <v>1091439.1190938184</v>
      </c>
      <c r="Q45">
        <f t="shared" si="62"/>
        <v>1197078.5409909508</v>
      </c>
      <c r="R45">
        <f t="shared" si="63"/>
        <v>1305862.0494941003</v>
      </c>
      <c r="S45">
        <f t="shared" si="64"/>
        <v>1417883.2202818214</v>
      </c>
      <c r="T45">
        <f t="shared" si="65"/>
        <v>1533238.4140728775</v>
      </c>
      <c r="U45">
        <f t="shared" si="66"/>
        <v>1652026.8595158218</v>
      </c>
      <c r="V45">
        <f t="shared" si="67"/>
        <v>1774350.7385455798</v>
      </c>
      <c r="W45">
        <f t="shared" si="68"/>
        <v>1900315.2742804457</v>
      </c>
      <c r="X45">
        <f t="shared" si="69"/>
        <v>2030028.8215351088</v>
      </c>
      <c r="Y45">
        <f t="shared" si="70"/>
        <v>2163602.9600275722</v>
      </c>
      <c r="Z45">
        <f t="shared" si="71"/>
        <v>2301152.5903601302</v>
      </c>
      <c r="AA45">
        <f t="shared" si="72"/>
        <v>2442796.0328569789</v>
      </c>
      <c r="AB45">
        <f t="shared" si="73"/>
        <v>2588655.1293434738</v>
      </c>
      <c r="AC45">
        <f t="shared" si="74"/>
        <v>2738855.3479545796</v>
      </c>
      <c r="AD45">
        <f t="shared" si="75"/>
        <v>2893525.8910626867</v>
      </c>
      <c r="AE45">
        <f t="shared" si="76"/>
        <v>3052799.8064176184</v>
      </c>
      <c r="AI45">
        <f t="shared" si="53"/>
        <v>54893.390685798426</v>
      </c>
      <c r="AJ45">
        <f t="shared" si="77"/>
        <v>130647.05484577859</v>
      </c>
      <c r="AK45">
        <f t="shared" si="78"/>
        <v>209436.76490815764</v>
      </c>
      <c r="AL45">
        <f t="shared" si="79"/>
        <v>291384.19914188382</v>
      </c>
      <c r="AM45">
        <f t="shared" si="80"/>
        <v>376615.91242238961</v>
      </c>
      <c r="AN45">
        <f t="shared" si="81"/>
        <v>465263.53167561814</v>
      </c>
      <c r="AO45">
        <f t="shared" si="82"/>
        <v>557463.95915503101</v>
      </c>
      <c r="AP45">
        <f t="shared" si="83"/>
        <v>653359.58386552613</v>
      </c>
      <c r="AQ45">
        <f t="shared" si="84"/>
        <v>753098.5014607776</v>
      </c>
      <c r="AR45">
        <f t="shared" si="85"/>
        <v>856834.74295359361</v>
      </c>
      <c r="AS45">
        <f t="shared" si="86"/>
        <v>964728.51259249938</v>
      </c>
      <c r="AT45">
        <f t="shared" si="87"/>
        <v>1076946.4352719071</v>
      </c>
      <c r="AU45">
        <f t="shared" si="88"/>
        <v>1193661.8138579631</v>
      </c>
      <c r="AV45">
        <f t="shared" si="89"/>
        <v>1315054.8968274633</v>
      </c>
      <c r="AW45">
        <f t="shared" si="90"/>
        <v>1441313.1566331731</v>
      </c>
      <c r="AX45">
        <f t="shared" si="91"/>
        <v>1572631.5792254326</v>
      </c>
      <c r="AY45">
        <f t="shared" si="92"/>
        <v>1709212.9651771775</v>
      </c>
      <c r="AZ45">
        <f t="shared" si="93"/>
        <v>1851268.2428774063</v>
      </c>
      <c r="BA45">
        <f t="shared" si="94"/>
        <v>1999016.7942767807</v>
      </c>
      <c r="BB45">
        <f t="shared" si="95"/>
        <v>2152686.7936884146</v>
      </c>
      <c r="BC45">
        <f t="shared" si="96"/>
        <v>2312515.5601670775</v>
      </c>
      <c r="BD45">
        <f t="shared" si="97"/>
        <v>2478749.9240110144</v>
      </c>
      <c r="BE45">
        <f t="shared" si="98"/>
        <v>2651646.6079523722</v>
      </c>
      <c r="BF45">
        <f t="shared" si="99"/>
        <v>2831472.6236249316</v>
      </c>
      <c r="BG45">
        <f t="shared" si="100"/>
        <v>3018505.6839214233</v>
      </c>
      <c r="BH45">
        <f t="shared" si="101"/>
        <v>3213034.631877251</v>
      </c>
      <c r="BI45">
        <f t="shared" si="102"/>
        <v>3415359.8867429593</v>
      </c>
      <c r="BJ45">
        <f t="shared" si="103"/>
        <v>3625793.9079343416</v>
      </c>
    </row>
    <row r="46" spans="1:62" x14ac:dyDescent="0.3">
      <c r="D46">
        <f t="shared" si="51"/>
        <v>60603.891243034421</v>
      </c>
      <c r="E46">
        <f t="shared" si="105"/>
        <v>134798.28008754601</v>
      </c>
      <c r="F46">
        <f t="shared" si="105"/>
        <v>210629.39345003769</v>
      </c>
      <c r="G46">
        <f t="shared" si="106"/>
        <v>288476.95531241642</v>
      </c>
      <c r="H46">
        <f t="shared" si="107"/>
        <v>368540.39456068975</v>
      </c>
      <c r="I46">
        <f t="shared" si="107"/>
        <v>450576.10281869257</v>
      </c>
      <c r="J46">
        <f t="shared" si="108"/>
        <v>535180.49298067216</v>
      </c>
      <c r="K46">
        <f t="shared" si="57"/>
        <v>622801.68449409574</v>
      </c>
      <c r="L46">
        <f t="shared" si="58"/>
        <v>712807.36816383782</v>
      </c>
      <c r="M46">
        <f t="shared" si="104"/>
        <v>804786.83337348059</v>
      </c>
      <c r="N46">
        <f t="shared" si="59"/>
        <v>899744.996604093</v>
      </c>
      <c r="O46">
        <f t="shared" si="60"/>
        <v>997287.31774777267</v>
      </c>
      <c r="P46">
        <f t="shared" si="61"/>
        <v>1100124.5526182407</v>
      </c>
      <c r="Q46">
        <f t="shared" si="62"/>
        <v>1206022.4741807554</v>
      </c>
      <c r="R46">
        <f t="shared" si="63"/>
        <v>1315072.1759292122</v>
      </c>
      <c r="S46">
        <f t="shared" si="64"/>
        <v>1427367.4625218511</v>
      </c>
      <c r="T46">
        <f t="shared" si="65"/>
        <v>1543004.9304721139</v>
      </c>
      <c r="U46">
        <f t="shared" si="66"/>
        <v>1662084.051241057</v>
      </c>
      <c r="V46">
        <f t="shared" si="67"/>
        <v>1784707.2568028008</v>
      </c>
      <c r="W46">
        <f t="shared" si="68"/>
        <v>1910980.0277566097</v>
      </c>
      <c r="X46">
        <f t="shared" si="69"/>
        <v>2041010.9840614053</v>
      </c>
      <c r="Y46">
        <f t="shared" si="70"/>
        <v>2174911.9784707595</v>
      </c>
      <c r="Z46">
        <f t="shared" si="71"/>
        <v>2312798.1927487412</v>
      </c>
      <c r="AA46">
        <f t="shared" si="72"/>
        <v>2454788.2367493799</v>
      </c>
      <c r="AB46">
        <f t="shared" si="73"/>
        <v>2601004.2504449771</v>
      </c>
      <c r="AC46">
        <f t="shared" si="74"/>
        <v>2751572.008991024</v>
      </c>
      <c r="AD46">
        <f t="shared" si="75"/>
        <v>2906621.0309181171</v>
      </c>
      <c r="AE46">
        <f t="shared" si="76"/>
        <v>3066284.689543922</v>
      </c>
      <c r="AI46">
        <f t="shared" si="53"/>
        <v>61093.121007247842</v>
      </c>
      <c r="AJ46">
        <f t="shared" si="77"/>
        <v>137095.25718567273</v>
      </c>
      <c r="AK46">
        <f t="shared" si="78"/>
        <v>216143.39749705637</v>
      </c>
      <c r="AL46">
        <f t="shared" si="79"/>
        <v>298359.61931506917</v>
      </c>
      <c r="AM46">
        <f t="shared" si="80"/>
        <v>383870.892615135</v>
      </c>
      <c r="AN46">
        <f t="shared" si="81"/>
        <v>472809.27605951414</v>
      </c>
      <c r="AO46">
        <f t="shared" si="82"/>
        <v>565312.12094105943</v>
      </c>
      <c r="AP46">
        <f t="shared" si="83"/>
        <v>661522.28330060502</v>
      </c>
      <c r="AQ46">
        <f t="shared" si="84"/>
        <v>761588.34454556892</v>
      </c>
      <c r="AR46">
        <f t="shared" si="85"/>
        <v>865664.84091048141</v>
      </c>
      <c r="AS46">
        <f t="shared" si="86"/>
        <v>973912.50211380271</v>
      </c>
      <c r="AT46">
        <f t="shared" si="87"/>
        <v>1086498.4995795989</v>
      </c>
      <c r="AU46">
        <f t="shared" si="88"/>
        <v>1203596.7046074171</v>
      </c>
      <c r="AV46">
        <f t="shared" si="89"/>
        <v>1325387.9568890573</v>
      </c>
      <c r="AW46">
        <f t="shared" si="90"/>
        <v>1452060.3437869297</v>
      </c>
      <c r="AX46">
        <f t="shared" si="91"/>
        <v>1583809.490805292</v>
      </c>
      <c r="AY46">
        <f t="shared" si="92"/>
        <v>1720838.8637029584</v>
      </c>
      <c r="AZ46">
        <f t="shared" si="93"/>
        <v>1863360.082714044</v>
      </c>
      <c r="BA46">
        <f t="shared" si="94"/>
        <v>2011593.2493620084</v>
      </c>
      <c r="BB46">
        <f t="shared" si="95"/>
        <v>2165767.2863717126</v>
      </c>
      <c r="BC46">
        <f t="shared" si="96"/>
        <v>2326120.2912044255</v>
      </c>
      <c r="BD46">
        <f t="shared" si="97"/>
        <v>2492899.9037617706</v>
      </c>
      <c r="BE46">
        <f t="shared" si="98"/>
        <v>2666363.6888264557</v>
      </c>
      <c r="BF46">
        <f t="shared" si="99"/>
        <v>2846779.533830421</v>
      </c>
      <c r="BG46">
        <f t="shared" si="100"/>
        <v>3034426.0625646855</v>
      </c>
      <c r="BH46">
        <f t="shared" si="101"/>
        <v>3229593.0654698084</v>
      </c>
      <c r="BI46">
        <f t="shared" si="102"/>
        <v>3432581.9471714762</v>
      </c>
      <c r="BJ46">
        <f t="shared" si="103"/>
        <v>3643706.1919523659</v>
      </c>
    </row>
    <row r="47" spans="1:62" x14ac:dyDescent="0.3">
      <c r="D47">
        <f t="shared" si="51"/>
        <v>66725.110325096743</v>
      </c>
      <c r="E47">
        <f t="shared" si="105"/>
        <v>141054.53295730532</v>
      </c>
      <c r="F47">
        <f t="shared" si="105"/>
        <v>217023.65894611675</v>
      </c>
      <c r="G47">
        <f t="shared" si="106"/>
        <v>295074.74353170063</v>
      </c>
      <c r="H47">
        <f t="shared" si="107"/>
        <v>375300.71156164794</v>
      </c>
      <c r="I47">
        <f t="shared" si="107"/>
        <v>457502.9523074145</v>
      </c>
      <c r="J47">
        <f t="shared" si="108"/>
        <v>542392.73728494882</v>
      </c>
      <c r="K47">
        <f t="shared" si="57"/>
        <v>630210.20026736252</v>
      </c>
      <c r="L47">
        <f t="shared" si="58"/>
        <v>720417.49666852481</v>
      </c>
      <c r="M47">
        <f t="shared" si="104"/>
        <v>812602.9958802372</v>
      </c>
      <c r="N47">
        <f>(N46+6000)*1.00328-(0.00104*(N46+6000))</f>
        <v>907773.86539648613</v>
      </c>
      <c r="O47">
        <f>(O46+6000)*1.00328-(0.000833*(O46+6000))</f>
        <v>1005742.3618143013</v>
      </c>
      <c r="P47">
        <f t="shared" si="61"/>
        <v>1108831.2393984974</v>
      </c>
      <c r="Q47">
        <f t="shared" si="62"/>
        <v>1214988.2931750757</v>
      </c>
      <c r="R47">
        <f t="shared" si="63"/>
        <v>1324304.8395437109</v>
      </c>
      <c r="S47">
        <f t="shared" si="64"/>
        <v>1436874.9127026419</v>
      </c>
      <c r="T47">
        <f t="shared" si="65"/>
        <v>1552795.3455369791</v>
      </c>
      <c r="U47">
        <f t="shared" si="66"/>
        <v>1672165.8529144437</v>
      </c>
      <c r="V47">
        <f t="shared" si="67"/>
        <v>1795089.1174601971</v>
      </c>
      <c r="W47">
        <f t="shared" si="68"/>
        <v>1921670.87788453</v>
      </c>
      <c r="X47">
        <f t="shared" si="69"/>
        <v>2052020.0199394035</v>
      </c>
      <c r="Y47">
        <f t="shared" si="70"/>
        <v>2186248.6700820774</v>
      </c>
      <c r="Z47">
        <f t="shared" si="71"/>
        <v>2324472.2919263975</v>
      </c>
      <c r="AA47">
        <f t="shared" si="72"/>
        <v>2466809.7855647057</v>
      </c>
      <c r="AB47">
        <f t="shared" si="73"/>
        <v>2613383.5898458157</v>
      </c>
      <c r="AC47">
        <f t="shared" si="74"/>
        <v>2764319.7876970246</v>
      </c>
      <c r="AD47">
        <f t="shared" si="75"/>
        <v>2919748.2145807734</v>
      </c>
      <c r="AE47">
        <f t="shared" si="76"/>
        <v>3079802.5701792361</v>
      </c>
      <c r="AI47">
        <f t="shared" si="53"/>
        <v>67313.186444151608</v>
      </c>
      <c r="AJ47">
        <f t="shared" si="77"/>
        <v>143564.60962924172</v>
      </c>
      <c r="AK47">
        <f t="shared" si="78"/>
        <v>222872.02784084671</v>
      </c>
      <c r="AL47">
        <f t="shared" si="79"/>
        <v>305357.91886642261</v>
      </c>
      <c r="AM47">
        <f t="shared" si="80"/>
        <v>391149.66914291261</v>
      </c>
      <c r="AN47">
        <f t="shared" si="81"/>
        <v>480379.77048498933</v>
      </c>
      <c r="AO47">
        <f t="shared" si="82"/>
        <v>573186.02469774603</v>
      </c>
      <c r="AP47">
        <f t="shared" si="83"/>
        <v>669711.75638983096</v>
      </c>
      <c r="AQ47">
        <f t="shared" si="84"/>
        <v>770106.03431567829</v>
      </c>
      <c r="AR47">
        <f t="shared" si="85"/>
        <v>874523.90158866777</v>
      </c>
      <c r="AS47">
        <f t="shared" si="86"/>
        <v>983126.61512073595</v>
      </c>
      <c r="AT47">
        <f t="shared" si="87"/>
        <v>1096081.89465822</v>
      </c>
      <c r="AU47">
        <f t="shared" si="88"/>
        <v>1213564.1817985293</v>
      </c>
      <c r="AV47">
        <f t="shared" si="89"/>
        <v>1335754.9093876532</v>
      </c>
      <c r="AW47">
        <f t="shared" si="90"/>
        <v>1462842.7817145507</v>
      </c>
      <c r="AX47">
        <f t="shared" si="91"/>
        <v>1595024.0659351333</v>
      </c>
      <c r="AY47">
        <f t="shared" si="92"/>
        <v>1732502.895175904</v>
      </c>
      <c r="AZ47">
        <f t="shared" si="93"/>
        <v>1875491.583785346</v>
      </c>
      <c r="BA47">
        <f t="shared" si="94"/>
        <v>2024210.9552199156</v>
      </c>
      <c r="BB47">
        <f t="shared" si="95"/>
        <v>2178890.6830710117</v>
      </c>
      <c r="BC47">
        <f t="shared" si="96"/>
        <v>2339769.645759576</v>
      </c>
      <c r="BD47">
        <f t="shared" si="97"/>
        <v>2507096.295446109</v>
      </c>
      <c r="BE47">
        <f t="shared" si="98"/>
        <v>2681129.0417258064</v>
      </c>
      <c r="BF47">
        <f t="shared" si="99"/>
        <v>2862136.6507013845</v>
      </c>
      <c r="BG47">
        <f t="shared" si="100"/>
        <v>3050398.6600498976</v>
      </c>
      <c r="BH47">
        <f t="shared" si="101"/>
        <v>3246205.810724549</v>
      </c>
      <c r="BI47">
        <f t="shared" si="102"/>
        <v>3449860.4959581983</v>
      </c>
      <c r="BJ47">
        <f t="shared" si="103"/>
        <v>3661677.2282619695</v>
      </c>
    </row>
    <row r="48" spans="1:62" x14ac:dyDescent="0.3">
      <c r="D48">
        <f t="shared" si="51"/>
        <v>72857.470025888426</v>
      </c>
      <c r="E48">
        <f t="shared" si="105"/>
        <v>147322.1722072876</v>
      </c>
      <c r="F48">
        <f t="shared" si="105"/>
        <v>223429.56200539868</v>
      </c>
      <c r="G48">
        <f t="shared" si="106"/>
        <v>301685.92526106996</v>
      </c>
      <c r="H48">
        <f t="shared" si="107"/>
        <v>382074.75200611807</v>
      </c>
      <c r="I48">
        <f t="shared" si="107"/>
        <v>464443.86330059852</v>
      </c>
      <c r="J48">
        <f t="shared" si="108"/>
        <v>549621.13701646705</v>
      </c>
      <c r="K48">
        <f t="shared" si="57"/>
        <v>637635.31111596141</v>
      </c>
      <c r="L48">
        <f t="shared" si="58"/>
        <v>728044.67186106218</v>
      </c>
      <c r="M48">
        <f t="shared" si="104"/>
        <v>820436.66659100889</v>
      </c>
      <c r="N48">
        <f>(N47+6000)*1.00328-(0.00104*(N47+6000))</f>
        <v>915820.71885497426</v>
      </c>
      <c r="O48">
        <f>(O47+6000)*1.00328-(0.000833*(O47+6000))</f>
        <v>1014218.0953736609</v>
      </c>
      <c r="P48">
        <f t="shared" si="61"/>
        <v>1117559.2314413055</v>
      </c>
      <c r="Q48">
        <f t="shared" si="62"/>
        <v>1223976.051528475</v>
      </c>
      <c r="R48">
        <f t="shared" si="63"/>
        <v>1333560.0954860742</v>
      </c>
      <c r="S48">
        <f t="shared" si="64"/>
        <v>1446405.6276140253</v>
      </c>
      <c r="T48">
        <f t="shared" si="65"/>
        <v>1562609.7177475078</v>
      </c>
      <c r="U48">
        <f t="shared" si="66"/>
        <v>1682272.3247565252</v>
      </c>
      <c r="V48">
        <f t="shared" si="67"/>
        <v>1805496.382530622</v>
      </c>
      <c r="W48" s="3">
        <f t="shared" si="68"/>
        <v>1932387.8885227134</v>
      </c>
      <c r="X48">
        <f t="shared" si="69"/>
        <v>2063055.9949281951</v>
      </c>
      <c r="Y48">
        <f t="shared" si="70"/>
        <v>2197613.1025777683</v>
      </c>
      <c r="Z48">
        <f t="shared" si="71"/>
        <v>2336174.9576247414</v>
      </c>
      <c r="AA48">
        <f t="shared" si="72"/>
        <v>2478860.7511099828</v>
      </c>
      <c r="AB48" s="3">
        <f t="shared" si="73"/>
        <v>2625793.221490168</v>
      </c>
      <c r="AC48">
        <f t="shared" si="74"/>
        <v>2777098.760217519</v>
      </c>
      <c r="AD48">
        <f t="shared" si="75"/>
        <v>2932907.5204618527</v>
      </c>
      <c r="AE48">
        <f t="shared" si="76"/>
        <v>3093353.5290684644</v>
      </c>
      <c r="AI48">
        <f t="shared" si="53"/>
        <v>73553.653695688423</v>
      </c>
      <c r="AJ48">
        <f t="shared" si="77"/>
        <v>150055.18154882564</v>
      </c>
      <c r="AK48">
        <f t="shared" si="78"/>
        <v>229622.72809216467</v>
      </c>
      <c r="AL48">
        <f t="shared" si="79"/>
        <v>312379.17284030444</v>
      </c>
      <c r="AM48">
        <f t="shared" si="80"/>
        <v>398452.32005770132</v>
      </c>
      <c r="AN48">
        <f t="shared" si="81"/>
        <v>487975.09613218007</v>
      </c>
      <c r="AO48">
        <f t="shared" si="82"/>
        <v>581085.75485875458</v>
      </c>
      <c r="AP48">
        <f t="shared" si="83"/>
        <v>677928.09095078963</v>
      </c>
      <c r="AQ48">
        <f t="shared" si="84"/>
        <v>778651.66210823366</v>
      </c>
      <c r="AR48">
        <f t="shared" si="85"/>
        <v>883412.01998587861</v>
      </c>
      <c r="AS48">
        <f t="shared" si="86"/>
        <v>992370.95041833189</v>
      </c>
      <c r="AT48">
        <f t="shared" si="87"/>
        <v>1105696.7232726989</v>
      </c>
      <c r="AU48">
        <f t="shared" si="88"/>
        <v>1223564.3523148284</v>
      </c>
      <c r="AV48">
        <f t="shared" si="89"/>
        <v>1346155.8654904447</v>
      </c>
      <c r="AW48">
        <f t="shared" si="90"/>
        <v>1473660.5860385743</v>
      </c>
      <c r="AX48">
        <f t="shared" si="91"/>
        <v>1606275.4248714005</v>
      </c>
      <c r="AY48">
        <f t="shared" si="92"/>
        <v>1744205.1846720809</v>
      </c>
      <c r="AZ48">
        <f t="shared" si="93"/>
        <v>1887662.876180162</v>
      </c>
      <c r="BA48">
        <f t="shared" si="94"/>
        <v>2036870.0471530368</v>
      </c>
      <c r="BB48" s="3">
        <f t="shared" si="95"/>
        <v>2192057.1245114845</v>
      </c>
      <c r="BC48">
        <f t="shared" si="96"/>
        <v>2353463.7701976672</v>
      </c>
      <c r="BD48">
        <f t="shared" si="97"/>
        <v>2521339.2512951721</v>
      </c>
      <c r="BE48">
        <f t="shared" si="98"/>
        <v>2695942.8249826669</v>
      </c>
      <c r="BF48">
        <f t="shared" si="99"/>
        <v>2877544.138915685</v>
      </c>
      <c r="BG48" s="3">
        <f t="shared" si="100"/>
        <v>3066423.6476548612</v>
      </c>
      <c r="BH48">
        <f t="shared" si="101"/>
        <v>3262873.0457837256</v>
      </c>
      <c r="BI48">
        <f t="shared" si="102"/>
        <v>3467195.7183849411</v>
      </c>
      <c r="BJ48">
        <f t="shared" si="103"/>
        <v>3679707.2095706686</v>
      </c>
    </row>
    <row r="51" spans="1:62" x14ac:dyDescent="0.3">
      <c r="D51" t="s">
        <v>55</v>
      </c>
      <c r="AI51" t="s">
        <v>55</v>
      </c>
      <c r="AJ51" t="s">
        <v>66</v>
      </c>
    </row>
    <row r="52" spans="1:62" x14ac:dyDescent="0.3">
      <c r="D52" t="s">
        <v>56</v>
      </c>
      <c r="AI52" t="s">
        <v>56</v>
      </c>
    </row>
    <row r="53" spans="1:62" x14ac:dyDescent="0.3">
      <c r="D53" t="s">
        <v>79</v>
      </c>
      <c r="AI53" t="s">
        <v>79</v>
      </c>
    </row>
    <row r="54" spans="1:62" x14ac:dyDescent="0.3">
      <c r="D54" t="s">
        <v>15</v>
      </c>
      <c r="E54" t="s">
        <v>16</v>
      </c>
      <c r="F54" t="s">
        <v>17</v>
      </c>
      <c r="G54" t="s">
        <v>18</v>
      </c>
      <c r="H54" t="s">
        <v>19</v>
      </c>
      <c r="I54" t="s">
        <v>20</v>
      </c>
      <c r="J54" t="s">
        <v>21</v>
      </c>
      <c r="K54" t="s">
        <v>22</v>
      </c>
      <c r="L54" t="s">
        <v>23</v>
      </c>
      <c r="M54" t="s">
        <v>24</v>
      </c>
      <c r="N54" t="s">
        <v>25</v>
      </c>
      <c r="O54" t="s">
        <v>26</v>
      </c>
      <c r="P54" t="s">
        <v>27</v>
      </c>
      <c r="Q54" t="s">
        <v>28</v>
      </c>
      <c r="R54" t="s">
        <v>29</v>
      </c>
      <c r="S54" t="s">
        <v>30</v>
      </c>
      <c r="T54" t="s">
        <v>31</v>
      </c>
      <c r="U54" t="s">
        <v>32</v>
      </c>
      <c r="V54" t="s">
        <v>33</v>
      </c>
      <c r="W54" t="s">
        <v>34</v>
      </c>
      <c r="X54" t="s">
        <v>35</v>
      </c>
      <c r="Y54" t="s">
        <v>36</v>
      </c>
      <c r="Z54" t="s">
        <v>37</v>
      </c>
      <c r="AA54" t="s">
        <v>38</v>
      </c>
      <c r="AB54" t="s">
        <v>39</v>
      </c>
      <c r="AC54" t="s">
        <v>67</v>
      </c>
      <c r="AD54" t="s">
        <v>68</v>
      </c>
      <c r="AE54" t="s">
        <v>69</v>
      </c>
      <c r="AI54" t="s">
        <v>15</v>
      </c>
      <c r="AJ54" t="s">
        <v>16</v>
      </c>
      <c r="AK54" t="s">
        <v>17</v>
      </c>
      <c r="AL54" t="s">
        <v>18</v>
      </c>
      <c r="AM54" t="s">
        <v>19</v>
      </c>
      <c r="AN54" t="s">
        <v>20</v>
      </c>
      <c r="AO54" t="s">
        <v>21</v>
      </c>
      <c r="AP54" t="s">
        <v>22</v>
      </c>
      <c r="AQ54" t="s">
        <v>23</v>
      </c>
      <c r="AR54" t="s">
        <v>24</v>
      </c>
      <c r="AS54" t="s">
        <v>25</v>
      </c>
      <c r="AT54" t="s">
        <v>26</v>
      </c>
      <c r="AU54" t="s">
        <v>27</v>
      </c>
      <c r="AV54" t="s">
        <v>28</v>
      </c>
      <c r="AW54" t="s">
        <v>29</v>
      </c>
      <c r="AX54" t="s">
        <v>30</v>
      </c>
      <c r="AY54" t="s">
        <v>31</v>
      </c>
      <c r="AZ54" t="s">
        <v>32</v>
      </c>
      <c r="BA54" t="s">
        <v>33</v>
      </c>
      <c r="BB54" t="s">
        <v>34</v>
      </c>
      <c r="BC54" t="s">
        <v>35</v>
      </c>
      <c r="BD54" t="s">
        <v>36</v>
      </c>
      <c r="BE54" t="s">
        <v>37</v>
      </c>
      <c r="BF54" t="s">
        <v>38</v>
      </c>
      <c r="BG54" t="s">
        <v>39</v>
      </c>
      <c r="BH54" t="s">
        <v>67</v>
      </c>
      <c r="BI54" t="s">
        <v>68</v>
      </c>
      <c r="BJ54" t="s">
        <v>69</v>
      </c>
    </row>
    <row r="55" spans="1:62" x14ac:dyDescent="0.3">
      <c r="D55">
        <v>0</v>
      </c>
      <c r="AI55">
        <v>0</v>
      </c>
    </row>
    <row r="56" spans="1:62" x14ac:dyDescent="0.3">
      <c r="D56">
        <f t="shared" ref="D56:D67" si="109">(D55+6000)*1.00407-(0.00146*(D55+6000))</f>
        <v>6015.66</v>
      </c>
      <c r="E56">
        <f>(D67+6000)*1.00407-(0.00146*(D67+6000))</f>
        <v>79440.044970165633</v>
      </c>
      <c r="F56">
        <f>(E67+6000)*1.00407-(0.00146*(E67+6000))</f>
        <v>155197.38207198825</v>
      </c>
      <c r="G56">
        <f>(F67+6000)*1.00407-(0.00146*(F67+6000))</f>
        <v>233361.79743741735</v>
      </c>
      <c r="H56">
        <f>(G67+6000)*1.00407-(0.00125*(G67+6000))</f>
        <v>314610.92431546334</v>
      </c>
      <c r="I56">
        <f>(H67+6000)*1.00407-(0.00125*(H67+6000))</f>
        <v>398757.54927514441</v>
      </c>
      <c r="J56">
        <f>(I67+6000)*1.00407-(0.00125*(I67+6000))</f>
        <v>485796.27888405579</v>
      </c>
      <c r="K56">
        <f>(J67+6000)*1.00407-(0.00104*(J67+6000))</f>
        <v>577084.33046761062</v>
      </c>
      <c r="L56">
        <f>(K67+6000)*1.00407-(0.00104*(K67+6000))</f>
        <v>671854.26521803264</v>
      </c>
      <c r="M56">
        <f>(L67+6000)*1.00407-(0.00104*(L67+6000))</f>
        <v>770128.0435975634</v>
      </c>
      <c r="N56">
        <f>(M67+6000)*1.00407-(0.00104*(M67+6000))</f>
        <v>872035.21006784635</v>
      </c>
      <c r="O56">
        <f>(N67+6000)*1.00407-(0.00104*(N67+6000))</f>
        <v>977710.09862148599</v>
      </c>
      <c r="P56">
        <f t="shared" ref="P56:AE56" si="110">(O67+6000)*1.00407-(0.000833*(O67+6000))</f>
        <v>1089481.5725689745</v>
      </c>
      <c r="Q56">
        <f t="shared" si="110"/>
        <v>1206096.067771296</v>
      </c>
      <c r="R56">
        <f t="shared" si="110"/>
        <v>1327321.858785921</v>
      </c>
      <c r="S56">
        <f t="shared" si="110"/>
        <v>1453341.290432262</v>
      </c>
      <c r="T56">
        <f t="shared" si="110"/>
        <v>1584343.91800473</v>
      </c>
      <c r="U56">
        <f t="shared" si="110"/>
        <v>1720526.7923970947</v>
      </c>
      <c r="V56">
        <f t="shared" si="110"/>
        <v>1862094.7565015352</v>
      </c>
      <c r="W56">
        <f t="shared" si="110"/>
        <v>2009260.7533282239</v>
      </c>
      <c r="X56">
        <f t="shared" si="110"/>
        <v>2162246.1463089068</v>
      </c>
      <c r="Y56">
        <f t="shared" si="110"/>
        <v>2321281.0522662699</v>
      </c>
      <c r="Z56">
        <f t="shared" si="110"/>
        <v>2486604.6875499384</v>
      </c>
      <c r="AA56">
        <f t="shared" si="110"/>
        <v>2658465.7278597634</v>
      </c>
      <c r="AB56">
        <f t="shared" si="110"/>
        <v>2837122.6822976205</v>
      </c>
      <c r="AC56">
        <f t="shared" si="110"/>
        <v>3022844.282210371</v>
      </c>
      <c r="AD56">
        <f t="shared" si="110"/>
        <v>3215909.8854088713</v>
      </c>
      <c r="AE56">
        <f t="shared" si="110"/>
        <v>3416609.8963710419</v>
      </c>
      <c r="AI56">
        <f t="shared" ref="AI56:AI67" si="111">(AI55+6000)*1.00407-0</f>
        <v>6024.42</v>
      </c>
      <c r="AJ56">
        <f t="shared" ref="AJ56:BJ56" si="112">(AI67+6000)*1.00407-0</f>
        <v>80258.805977232842</v>
      </c>
      <c r="AK56">
        <f t="shared" si="112"/>
        <v>158201.06979653329</v>
      </c>
      <c r="AL56">
        <f t="shared" si="112"/>
        <v>240036.41347595153</v>
      </c>
      <c r="AM56">
        <f t="shared" si="112"/>
        <v>325959.2895506667</v>
      </c>
      <c r="AN56">
        <f t="shared" si="112"/>
        <v>416173.86312015017</v>
      </c>
      <c r="AO56">
        <f t="shared" si="112"/>
        <v>510894.49697377812</v>
      </c>
      <c r="AP56">
        <f t="shared" si="112"/>
        <v>610346.26094762015</v>
      </c>
      <c r="AQ56">
        <f t="shared" si="112"/>
        <v>714765.4667227082</v>
      </c>
      <c r="AR56">
        <f t="shared" si="112"/>
        <v>824400.22933554649</v>
      </c>
      <c r="AS56">
        <f t="shared" si="112"/>
        <v>939511.05673508835</v>
      </c>
      <c r="AT56">
        <f t="shared" si="112"/>
        <v>1060371.4687870548</v>
      </c>
      <c r="AU56">
        <f t="shared" si="112"/>
        <v>1187268.6471964349</v>
      </c>
      <c r="AV56">
        <f t="shared" si="112"/>
        <v>1320504.1178924832</v>
      </c>
      <c r="AW56">
        <f t="shared" si="112"/>
        <v>1460394.4674976515</v>
      </c>
      <c r="AX56">
        <f t="shared" si="112"/>
        <v>1607272.095582892</v>
      </c>
      <c r="AY56">
        <f t="shared" si="112"/>
        <v>1761486.0044968</v>
      </c>
      <c r="AZ56">
        <f t="shared" si="112"/>
        <v>1923402.6286453423</v>
      </c>
      <c r="BA56">
        <f t="shared" si="112"/>
        <v>2093406.7051926542</v>
      </c>
      <c r="BB56">
        <f t="shared" si="112"/>
        <v>2271902.1882518246</v>
      </c>
      <c r="BC56">
        <f t="shared" si="112"/>
        <v>2459313.2087379131</v>
      </c>
      <c r="BD56">
        <f t="shared" si="112"/>
        <v>2656085.082163943</v>
      </c>
      <c r="BE56">
        <f t="shared" si="112"/>
        <v>2862685.3667745446</v>
      </c>
      <c r="BF56">
        <f t="shared" si="112"/>
        <v>3079604.9745315304</v>
      </c>
      <c r="BG56">
        <f t="shared" si="112"/>
        <v>3307359.3375912518</v>
      </c>
      <c r="BH56">
        <f t="shared" si="112"/>
        <v>3546489.6330454624</v>
      </c>
      <c r="BI56">
        <f t="shared" si="112"/>
        <v>3797564.0688358466</v>
      </c>
      <c r="BJ56">
        <f t="shared" si="112"/>
        <v>4061179.2338977349</v>
      </c>
    </row>
    <row r="57" spans="1:62" x14ac:dyDescent="0.3">
      <c r="D57">
        <f t="shared" si="109"/>
        <v>12047.0208726</v>
      </c>
      <c r="E57">
        <f t="shared" ref="E57:G58" si="113">(E56+6000)*1.00407-(0.00146*(E56+6000))</f>
        <v>85663.043487537769</v>
      </c>
      <c r="F57">
        <f t="shared" si="113"/>
        <v>161618.10723919614</v>
      </c>
      <c r="G57">
        <f t="shared" si="113"/>
        <v>239986.53172872902</v>
      </c>
      <c r="H57">
        <f>(H56+6000)*1.00407-(0.00125*(H56+6000))</f>
        <v>321515.04712203296</v>
      </c>
      <c r="I57">
        <f>(I56+6000)*1.00407-(0.00125*(I56+6000))</f>
        <v>405898.96556410036</v>
      </c>
      <c r="J57">
        <f>(J56+6000)*1.00407-(0.00125*(J56+6000))</f>
        <v>493183.14439050882</v>
      </c>
      <c r="K57">
        <f t="shared" ref="K57:O58" si="114">(K56+6000)*1.00407-(0.00104*(K56+6000))</f>
        <v>584851.07598892751</v>
      </c>
      <c r="L57">
        <f t="shared" si="114"/>
        <v>679908.16364164336</v>
      </c>
      <c r="M57">
        <f t="shared" si="114"/>
        <v>778479.71156966395</v>
      </c>
      <c r="N57">
        <f t="shared" si="114"/>
        <v>880695.65675435192</v>
      </c>
      <c r="O57">
        <f t="shared" si="114"/>
        <v>986690.74022030912</v>
      </c>
      <c r="P57">
        <f t="shared" ref="P57:P67" si="115">(P56+6000)*1.00407-(0.000833*(P56+6000))</f>
        <v>1099027.6464193801</v>
      </c>
      <c r="Q57">
        <f t="shared" ref="Q57:Q67" si="116">(Q56+6000)*1.00407-(0.000833*(Q56+6000))</f>
        <v>1216019.6227426718</v>
      </c>
      <c r="R57">
        <f t="shared" ref="R57:R67" si="117">(R56+6000)*1.00407-(0.000833*(R56+6000))</f>
        <v>1337637.8216428112</v>
      </c>
      <c r="S57">
        <f t="shared" ref="S57:S67" si="118">(S56+6000)*1.00407-(0.000833*(S56+6000))</f>
        <v>1464065.1781893913</v>
      </c>
      <c r="T57">
        <f t="shared" ref="T57:T67" si="119">(T56+6000)*1.00407-(0.000833*(T56+6000))</f>
        <v>1595491.8612673113</v>
      </c>
      <c r="U57">
        <f t="shared" ref="U57:U67" si="120">(U56+6000)*1.00407-(0.000833*(U56+6000))</f>
        <v>1732115.559624084</v>
      </c>
      <c r="V57">
        <f t="shared" ref="V57:V67" si="121">(V56+6000)*1.00407-(0.000833*(V56+6000))</f>
        <v>1874141.7792283306</v>
      </c>
      <c r="W57">
        <f t="shared" ref="W57:W67" si="122">(W56+6000)*1.00407-(0.000833*(W56+6000))</f>
        <v>2021784.1523867473</v>
      </c>
      <c r="X57">
        <f t="shared" ref="X57:X67" si="123">(X56+6000)*1.00407-(0.000833*(X56+6000))</f>
        <v>2175264.7590845088</v>
      </c>
      <c r="Y57">
        <f t="shared" ref="Y57:Y67" si="124">(Y56+6000)*1.00407-(0.000833*(Y56+6000))</f>
        <v>2334814.4610324558</v>
      </c>
      <c r="Z57">
        <f t="shared" ref="Z57:Z67" si="125">(Z56+6000)*1.00407-(0.000833*(Z56+6000))</f>
        <v>2500673.2489235378</v>
      </c>
      <c r="AA57">
        <f t="shared" ref="AA57:AA67" si="126">(AA56+6000)*1.00407-(0.000833*(AA56+6000))</f>
        <v>2673090.6034208457</v>
      </c>
      <c r="AB57">
        <f t="shared" ref="AB57:AB67" si="127">(AB56+6000)*1.00407-(0.000833*(AB56+6000))</f>
        <v>2852325.870420218</v>
      </c>
      <c r="AC57">
        <f t="shared" ref="AC57:AC67" si="128">(AC56+6000)*1.00407-(0.000833*(AC56+6000))</f>
        <v>3038648.6511518857</v>
      </c>
      <c r="AD57">
        <f t="shared" ref="AD57:AD67" si="129">(AD56+6000)*1.00407-(0.000833*(AD56+6000))</f>
        <v>3232339.2077079401</v>
      </c>
      <c r="AE57">
        <f t="shared" ref="AE57:AE67" si="130">(AE56+6000)*1.00407-(0.000833*(AE56+6000))</f>
        <v>3433688.8846055949</v>
      </c>
      <c r="AI57">
        <f t="shared" si="111"/>
        <v>12073.359389400001</v>
      </c>
      <c r="AJ57">
        <f t="shared" ref="AJ57:AJ67" si="131">(AJ56+6000)*1.00407-0</f>
        <v>86609.879317560175</v>
      </c>
      <c r="AK57">
        <f t="shared" ref="AK57:AK67" si="132">(AK56+6000)*1.00407-0</f>
        <v>164869.36815060518</v>
      </c>
      <c r="AL57">
        <f t="shared" ref="AL57:AL67" si="133">(AL56+6000)*1.00407-0</f>
        <v>247037.78167879867</v>
      </c>
      <c r="AM57">
        <f t="shared" ref="AM57:AM67" si="134">(AM56+6000)*1.00407-0</f>
        <v>333310.36385913793</v>
      </c>
      <c r="AN57">
        <f t="shared" ref="AN57:AN67" si="135">(AN56+6000)*1.00407-0</f>
        <v>423892.11074304918</v>
      </c>
      <c r="AO57">
        <f t="shared" ref="AO57:AO67" si="136">(AO56+6000)*1.00407-0</f>
        <v>518998.25757646142</v>
      </c>
      <c r="AP57">
        <f t="shared" ref="AP57:AP67" si="137">(AP56+6000)*1.00407-0</f>
        <v>618854.79022967699</v>
      </c>
      <c r="AQ57">
        <f t="shared" ref="AQ57:AQ67" si="138">(AQ56+6000)*1.00407-0</f>
        <v>723698.98217226961</v>
      </c>
      <c r="AR57">
        <f t="shared" ref="AR57:AR67" si="139">(AR56+6000)*1.00407-0</f>
        <v>833779.95826894219</v>
      </c>
      <c r="AS57">
        <f t="shared" ref="AS57:AS67" si="140">(AS56+6000)*1.00407-0</f>
        <v>949359.28673600021</v>
      </c>
      <c r="AT57">
        <f t="shared" ref="AT57:AT67" si="141">(AT56+6000)*1.00407-0</f>
        <v>1070711.6006650182</v>
      </c>
      <c r="AU57">
        <f t="shared" ref="AU57:AU67" si="142">(AU56+6000)*1.00407-0</f>
        <v>1198125.2505905244</v>
      </c>
      <c r="AV57">
        <f t="shared" ref="AV57:AV67" si="143">(AV56+6000)*1.00407-0</f>
        <v>1331902.9896523056</v>
      </c>
      <c r="AW57">
        <f t="shared" ref="AW57:AW67" si="144">(AW56+6000)*1.00407-0</f>
        <v>1472362.692980367</v>
      </c>
      <c r="AX57">
        <f t="shared" ref="AX57:AX67" si="145">(AX56+6000)*1.00407-0</f>
        <v>1619838.1130119143</v>
      </c>
      <c r="AY57">
        <f t="shared" ref="AY57:AY67" si="146">(AY56+6000)*1.00407-0</f>
        <v>1774679.6725351021</v>
      </c>
      <c r="AZ57">
        <f t="shared" ref="AZ57:AZ67" si="147">(AZ56+6000)*1.00407-0</f>
        <v>1937255.2973439288</v>
      </c>
      <c r="BA57">
        <f t="shared" ref="BA57:BA67" si="148">(BA56+6000)*1.00407-0</f>
        <v>2107951.2904827883</v>
      </c>
      <c r="BB57">
        <f t="shared" ref="BB57:BB67" si="149">(BB56+6000)*1.00407-0</f>
        <v>2287173.2501580096</v>
      </c>
      <c r="BC57">
        <f t="shared" ref="BC57:BC67" si="150">(BC56+6000)*1.00407-0</f>
        <v>2475347.0334974765</v>
      </c>
      <c r="BD57">
        <f t="shared" ref="BD57:BD67" si="151">(BD56+6000)*1.00407-0</f>
        <v>2672919.7684483505</v>
      </c>
      <c r="BE57">
        <f t="shared" ref="BE57:BE67" si="152">(BE56+6000)*1.00407-0</f>
        <v>2880360.9162173169</v>
      </c>
      <c r="BF57">
        <f t="shared" ref="BF57:BF67" si="153">(BF56+6000)*1.00407-0</f>
        <v>3098163.3867778736</v>
      </c>
      <c r="BG57">
        <f t="shared" ref="BG57:BG67" si="154">(BG56+6000)*1.00407-0</f>
        <v>3326844.7100952482</v>
      </c>
      <c r="BH57">
        <f t="shared" ref="BH57:BH67" si="155">(BH56+6000)*1.00407-0</f>
        <v>3566948.2658519577</v>
      </c>
      <c r="BI57">
        <f t="shared" ref="BI57:BI67" si="156">(BI56+6000)*1.00407-0</f>
        <v>3819044.5745960088</v>
      </c>
      <c r="BJ57">
        <f t="shared" ref="BJ57:BJ67" si="157">(BJ56+6000)*1.00407-0</f>
        <v>4083732.6533796987</v>
      </c>
    </row>
    <row r="58" spans="1:62" x14ac:dyDescent="0.3">
      <c r="A58">
        <f>0.0175/12</f>
        <v>1.4583333333333334E-3</v>
      </c>
      <c r="B58">
        <v>1.75</v>
      </c>
      <c r="D58">
        <f t="shared" si="109"/>
        <v>18094.123597077483</v>
      </c>
      <c r="E58">
        <f t="shared" si="113"/>
        <v>91902.284031040239</v>
      </c>
      <c r="F58">
        <f t="shared" si="113"/>
        <v>168055.59049909044</v>
      </c>
      <c r="G58">
        <f t="shared" si="113"/>
        <v>246628.55657654101</v>
      </c>
      <c r="H58">
        <f t="shared" ref="H58:H67" si="158">(H57+6000)*1.00407-(0.00125*(H57+6000))</f>
        <v>328438.63955491711</v>
      </c>
      <c r="I58">
        <f t="shared" ref="I58:I67" si="159">(I57+6000)*1.00407-(0.00125*(I57+6000))</f>
        <v>413060.52064699115</v>
      </c>
      <c r="J58">
        <f t="shared" ref="J58:J67" si="160">(J57+6000)*1.00407-(0.00104*(J57+6000))</f>
        <v>500695.66931801208</v>
      </c>
      <c r="K58">
        <f t="shared" si="114"/>
        <v>592641.35474917397</v>
      </c>
      <c r="L58">
        <f t="shared" si="114"/>
        <v>687986.46537747746</v>
      </c>
      <c r="M58">
        <f t="shared" si="114"/>
        <v>786856.68509571999</v>
      </c>
      <c r="N58">
        <f t="shared" si="114"/>
        <v>889382.3445943176</v>
      </c>
      <c r="O58">
        <f t="shared" si="114"/>
        <v>995698.59316317667</v>
      </c>
      <c r="P58">
        <f t="shared" si="115"/>
        <v>1108604.6209108396</v>
      </c>
      <c r="Q58">
        <f t="shared" si="116"/>
        <v>1225975.3002614898</v>
      </c>
      <c r="R58">
        <f t="shared" si="117"/>
        <v>1347987.177271469</v>
      </c>
      <c r="S58">
        <f t="shared" si="118"/>
        <v>1474823.7791711902</v>
      </c>
      <c r="T58">
        <f t="shared" si="119"/>
        <v>1606675.8904222336</v>
      </c>
      <c r="U58">
        <f t="shared" si="120"/>
        <v>1743741.8396905873</v>
      </c>
      <c r="V58">
        <f t="shared" si="121"/>
        <v>1886227.7981676927</v>
      </c>
      <c r="W58">
        <f t="shared" si="122"/>
        <v>2034348.0896880231</v>
      </c>
      <c r="X58">
        <f t="shared" si="123"/>
        <v>2188325.5131096654</v>
      </c>
      <c r="Y58">
        <f t="shared" si="124"/>
        <v>2348391.6774428175</v>
      </c>
      <c r="Z58">
        <f t="shared" si="125"/>
        <v>2514787.3502303031</v>
      </c>
      <c r="AA58">
        <f t="shared" si="126"/>
        <v>2687762.8197041191</v>
      </c>
      <c r="AB58">
        <f t="shared" si="127"/>
        <v>2867578.2712627682</v>
      </c>
      <c r="AC58">
        <f t="shared" si="128"/>
        <v>3054504.1788356644</v>
      </c>
      <c r="AD58">
        <f t="shared" si="129"/>
        <v>3248821.7117232908</v>
      </c>
      <c r="AE58">
        <f t="shared" si="130"/>
        <v>3450823.157525063</v>
      </c>
      <c r="AI58">
        <f t="shared" si="111"/>
        <v>18146.917962114858</v>
      </c>
      <c r="AJ58">
        <f t="shared" si="131"/>
        <v>92986.801526382653</v>
      </c>
      <c r="AK58">
        <f t="shared" si="132"/>
        <v>171564.80647897813</v>
      </c>
      <c r="AL58">
        <f t="shared" si="133"/>
        <v>254067.64545023139</v>
      </c>
      <c r="AM58">
        <f t="shared" si="134"/>
        <v>340691.35704004462</v>
      </c>
      <c r="AN58">
        <f t="shared" si="135"/>
        <v>431641.7716337734</v>
      </c>
      <c r="AO58">
        <f t="shared" si="136"/>
        <v>527135.00048479764</v>
      </c>
      <c r="AP58">
        <f t="shared" si="137"/>
        <v>627397.94922591175</v>
      </c>
      <c r="AQ58">
        <f t="shared" si="138"/>
        <v>732668.85702971078</v>
      </c>
      <c r="AR58">
        <f t="shared" si="139"/>
        <v>843197.86269909679</v>
      </c>
      <c r="AS58">
        <f t="shared" si="140"/>
        <v>959247.59903301578</v>
      </c>
      <c r="AT58">
        <f t="shared" si="141"/>
        <v>1081093.8168797249</v>
      </c>
      <c r="AU58">
        <f t="shared" si="142"/>
        <v>1209026.0403604279</v>
      </c>
      <c r="AV58">
        <f t="shared" si="143"/>
        <v>1343348.2548201906</v>
      </c>
      <c r="AW58">
        <f t="shared" si="144"/>
        <v>1484379.6291407971</v>
      </c>
      <c r="AX58">
        <f t="shared" si="145"/>
        <v>1632455.2741318729</v>
      </c>
      <c r="AY58">
        <f t="shared" si="146"/>
        <v>1787927.0388023199</v>
      </c>
      <c r="AZ58">
        <f t="shared" si="147"/>
        <v>1951164.3464041187</v>
      </c>
      <c r="BA58">
        <f t="shared" si="148"/>
        <v>2122555.0722350534</v>
      </c>
      <c r="BB58">
        <f t="shared" si="149"/>
        <v>2302506.4652861529</v>
      </c>
      <c r="BC58">
        <f t="shared" si="150"/>
        <v>2491446.1159238112</v>
      </c>
      <c r="BD58">
        <f t="shared" si="151"/>
        <v>2689822.9719059351</v>
      </c>
      <c r="BE58">
        <f t="shared" si="152"/>
        <v>2898108.4051463213</v>
      </c>
      <c r="BF58">
        <f t="shared" si="153"/>
        <v>3116797.3317620596</v>
      </c>
      <c r="BG58">
        <f t="shared" si="154"/>
        <v>3346409.3880653358</v>
      </c>
      <c r="BH58">
        <f t="shared" si="155"/>
        <v>3587490.1652939753</v>
      </c>
      <c r="BI58">
        <f t="shared" si="156"/>
        <v>3840612.5060146144</v>
      </c>
      <c r="BJ58">
        <f t="shared" si="157"/>
        <v>4106377.8652789542</v>
      </c>
    </row>
    <row r="59" spans="1:62" x14ac:dyDescent="0.3">
      <c r="A59">
        <f>0.015/12</f>
        <v>1.25E-3</v>
      </c>
      <c r="B59">
        <v>1.5</v>
      </c>
      <c r="D59">
        <f t="shared" si="109"/>
        <v>24157.009259665858</v>
      </c>
      <c r="E59">
        <f t="shared" ref="E59:E67" si="161">(E58+6000)*1.00407-(0.00146*(E58+6000))</f>
        <v>98157.808992361257</v>
      </c>
      <c r="F59">
        <f t="shared" ref="F59:F67" si="162">(F58+6000)*1.00407-(0.00146*(F58+6000))</f>
        <v>174509.87559029309</v>
      </c>
      <c r="G59">
        <f t="shared" ref="G59:G67" si="163">(G58+6000)*1.00407-(0.00125*(G58+6000))</f>
        <v>253340.96910608688</v>
      </c>
      <c r="H59">
        <f t="shared" si="158"/>
        <v>335381.75651846197</v>
      </c>
      <c r="I59">
        <f t="shared" si="159"/>
        <v>420242.27131521568</v>
      </c>
      <c r="J59">
        <f t="shared" si="160"/>
        <v>508230.95719604567</v>
      </c>
      <c r="K59">
        <f t="shared" ref="K59:K67" si="164">(K58+6000)*1.00407-(0.00104*(K58+6000))</f>
        <v>600455.23805406399</v>
      </c>
      <c r="L59">
        <f t="shared" ref="L59:L67" si="165">(L58+6000)*1.00407-(0.00104*(L58+6000))</f>
        <v>696089.2443675712</v>
      </c>
      <c r="M59">
        <f t="shared" ref="M59:M67" si="166">(M58+6000)*1.00407-(0.00104*(M58+6000))</f>
        <v>795259.04085156007</v>
      </c>
      <c r="N59">
        <f t="shared" ref="N59:N67" si="167">(N58+6000)*1.00407-(0.00104*(N58+6000))</f>
        <v>898095.35309843835</v>
      </c>
      <c r="O59">
        <f t="shared" ref="O59:O67" si="168">(O58+6000)*1.00407-(0.000833*(O58+6000))</f>
        <v>1004941.0915092458</v>
      </c>
      <c r="P59">
        <f t="shared" si="115"/>
        <v>1118212.596068728</v>
      </c>
      <c r="Q59">
        <f t="shared" si="116"/>
        <v>1235963.2043084363</v>
      </c>
      <c r="R59">
        <f t="shared" si="117"/>
        <v>1358370.0337642967</v>
      </c>
      <c r="S59">
        <f t="shared" si="118"/>
        <v>1485617.2057443673</v>
      </c>
      <c r="T59">
        <f t="shared" si="119"/>
        <v>1617896.1222795304</v>
      </c>
      <c r="U59">
        <f t="shared" si="120"/>
        <v>1755405.7540256658</v>
      </c>
      <c r="V59">
        <f t="shared" si="121"/>
        <v>1898352.9395503616</v>
      </c>
      <c r="W59">
        <f t="shared" si="122"/>
        <v>2046952.6964543432</v>
      </c>
      <c r="X59">
        <f t="shared" si="123"/>
        <v>2201428.5447956012</v>
      </c>
      <c r="Y59">
        <f t="shared" si="124"/>
        <v>2362012.8433027002</v>
      </c>
      <c r="Z59">
        <f t="shared" si="125"/>
        <v>2528947.1388829988</v>
      </c>
      <c r="AA59">
        <f t="shared" si="126"/>
        <v>2702482.5299515012</v>
      </c>
      <c r="AB59">
        <f t="shared" si="127"/>
        <v>2882880.0441268459</v>
      </c>
      <c r="AC59">
        <f t="shared" si="128"/>
        <v>3070411.0308625554</v>
      </c>
      <c r="AD59">
        <f t="shared" si="129"/>
        <v>3265357.5696041388</v>
      </c>
      <c r="AE59">
        <f t="shared" si="130"/>
        <v>3468012.8940859716</v>
      </c>
      <c r="AI59">
        <f t="shared" si="111"/>
        <v>24245.195918220666</v>
      </c>
      <c r="AJ59">
        <f t="shared" si="131"/>
        <v>99389.677808595035</v>
      </c>
      <c r="AK59">
        <f t="shared" si="132"/>
        <v>178287.49524134758</v>
      </c>
      <c r="AL59">
        <f t="shared" si="133"/>
        <v>261126.12076721384</v>
      </c>
      <c r="AM59">
        <f t="shared" si="134"/>
        <v>348102.39086319762</v>
      </c>
      <c r="AN59">
        <f t="shared" si="135"/>
        <v>439422.97364432289</v>
      </c>
      <c r="AO59">
        <f t="shared" si="136"/>
        <v>535304.85993677075</v>
      </c>
      <c r="AP59">
        <f t="shared" si="137"/>
        <v>635975.8788792612</v>
      </c>
      <c r="AQ59">
        <f t="shared" si="138"/>
        <v>741675.23927782173</v>
      </c>
      <c r="AR59">
        <f t="shared" si="139"/>
        <v>852654.09800028207</v>
      </c>
      <c r="AS59">
        <f t="shared" si="140"/>
        <v>969176.15676108014</v>
      </c>
      <c r="AT59">
        <f t="shared" si="141"/>
        <v>1091518.2887144254</v>
      </c>
      <c r="AU59">
        <f t="shared" si="142"/>
        <v>1219971.1963446948</v>
      </c>
      <c r="AV59">
        <f t="shared" si="143"/>
        <v>1354840.1022173087</v>
      </c>
      <c r="AW59">
        <f t="shared" si="144"/>
        <v>1496445.4742314001</v>
      </c>
      <c r="AX59">
        <f t="shared" si="145"/>
        <v>1645123.7870975896</v>
      </c>
      <c r="AY59">
        <f t="shared" si="146"/>
        <v>1801228.3218502454</v>
      </c>
      <c r="AZ59">
        <f t="shared" si="147"/>
        <v>1965130.0052939835</v>
      </c>
      <c r="BA59">
        <f t="shared" si="148"/>
        <v>2137218.2913790499</v>
      </c>
      <c r="BB59">
        <f t="shared" si="149"/>
        <v>2317902.0865998678</v>
      </c>
      <c r="BC59">
        <f t="shared" si="150"/>
        <v>2507610.7216156214</v>
      </c>
      <c r="BD59">
        <f t="shared" si="151"/>
        <v>2706794.9714015923</v>
      </c>
      <c r="BE59">
        <f t="shared" si="152"/>
        <v>2915928.1263552667</v>
      </c>
      <c r="BF59">
        <f t="shared" si="153"/>
        <v>3135507.1169023314</v>
      </c>
      <c r="BG59">
        <f t="shared" si="154"/>
        <v>3366053.6942747617</v>
      </c>
      <c r="BH59">
        <f t="shared" si="155"/>
        <v>3608115.6702667219</v>
      </c>
      <c r="BI59">
        <f t="shared" si="156"/>
        <v>3862268.2189140939</v>
      </c>
      <c r="BJ59">
        <f t="shared" si="157"/>
        <v>4129115.2431906397</v>
      </c>
    </row>
    <row r="60" spans="1:62" x14ac:dyDescent="0.3">
      <c r="A60">
        <f>0.0125/12</f>
        <v>1.0416666666666667E-3</v>
      </c>
      <c r="B60">
        <v>1.25</v>
      </c>
      <c r="D60">
        <f t="shared" si="109"/>
        <v>30235.719053833585</v>
      </c>
      <c r="E60">
        <f t="shared" si="161"/>
        <v>104429.66087383132</v>
      </c>
      <c r="F60">
        <f t="shared" si="162"/>
        <v>180981.00636558377</v>
      </c>
      <c r="G60">
        <f t="shared" si="163"/>
        <v>260072.31063896604</v>
      </c>
      <c r="H60">
        <f t="shared" si="158"/>
        <v>342344.45307184407</v>
      </c>
      <c r="I60">
        <f t="shared" si="159"/>
        <v>427444.2745203246</v>
      </c>
      <c r="J60">
        <f t="shared" si="160"/>
        <v>515789.07699634967</v>
      </c>
      <c r="K60">
        <f t="shared" si="164"/>
        <v>608292.79742536775</v>
      </c>
      <c r="L60">
        <f t="shared" si="165"/>
        <v>704216.5747780049</v>
      </c>
      <c r="M60">
        <f t="shared" si="166"/>
        <v>803686.85574534035</v>
      </c>
      <c r="N60">
        <f t="shared" si="167"/>
        <v>906834.76201832655</v>
      </c>
      <c r="O60">
        <f t="shared" si="168"/>
        <v>1014213.5078224612</v>
      </c>
      <c r="P60">
        <f t="shared" si="115"/>
        <v>1127851.6722422026</v>
      </c>
      <c r="Q60">
        <f t="shared" si="116"/>
        <v>1245983.4392007827</v>
      </c>
      <c r="R60">
        <f t="shared" si="117"/>
        <v>1368786.4995635918</v>
      </c>
      <c r="S60">
        <f t="shared" si="118"/>
        <v>1496445.5706393619</v>
      </c>
      <c r="T60">
        <f t="shared" si="119"/>
        <v>1629152.6740273493</v>
      </c>
      <c r="U60">
        <f t="shared" si="120"/>
        <v>1767107.4244514469</v>
      </c>
      <c r="V60">
        <f t="shared" si="121"/>
        <v>1910517.3300156861</v>
      </c>
      <c r="W60">
        <f t="shared" si="122"/>
        <v>2059598.1043327658</v>
      </c>
      <c r="X60">
        <f t="shared" si="123"/>
        <v>2214573.9909951044</v>
      </c>
      <c r="Y60">
        <f t="shared" si="124"/>
        <v>2375678.100876471</v>
      </c>
      <c r="Z60">
        <f t="shared" si="125"/>
        <v>2543152.7627715631</v>
      </c>
      <c r="AA60">
        <f t="shared" si="126"/>
        <v>2717249.8879009546</v>
      </c>
      <c r="AB60">
        <f t="shared" si="127"/>
        <v>2898231.3488296848</v>
      </c>
      <c r="AC60">
        <f t="shared" si="128"/>
        <v>3086369.3733694577</v>
      </c>
      <c r="AD60">
        <f t="shared" si="129"/>
        <v>3281946.9540569475</v>
      </c>
      <c r="AE60">
        <f t="shared" si="130"/>
        <v>3485258.2738241283</v>
      </c>
      <c r="AI60">
        <f t="shared" si="111"/>
        <v>30368.293865607826</v>
      </c>
      <c r="AJ60">
        <f t="shared" si="131"/>
        <v>105818.61379727602</v>
      </c>
      <c r="AK60">
        <f t="shared" si="132"/>
        <v>185037.54534697987</v>
      </c>
      <c r="AL60">
        <f t="shared" si="133"/>
        <v>268213.32407873642</v>
      </c>
      <c r="AM60">
        <f t="shared" si="134"/>
        <v>355543.58759401087</v>
      </c>
      <c r="AN60">
        <f t="shared" si="135"/>
        <v>447235.84514705528</v>
      </c>
      <c r="AO60">
        <f t="shared" si="136"/>
        <v>543507.97071671346</v>
      </c>
      <c r="AP60">
        <f t="shared" si="137"/>
        <v>644588.72070629976</v>
      </c>
      <c r="AQ60">
        <f t="shared" si="138"/>
        <v>750718.27750168252</v>
      </c>
      <c r="AR60">
        <f t="shared" si="139"/>
        <v>862148.82017914322</v>
      </c>
      <c r="AS60">
        <f t="shared" si="140"/>
        <v>979145.12371909781</v>
      </c>
      <c r="AT60">
        <f t="shared" si="141"/>
        <v>1101985.1881494932</v>
      </c>
      <c r="AU60">
        <f t="shared" si="142"/>
        <v>1230960.8991138178</v>
      </c>
      <c r="AV60">
        <f t="shared" si="143"/>
        <v>1366378.7214333331</v>
      </c>
      <c r="AW60">
        <f t="shared" si="144"/>
        <v>1508560.427311522</v>
      </c>
      <c r="AX60">
        <f t="shared" si="145"/>
        <v>1657843.8609110769</v>
      </c>
      <c r="AY60">
        <f t="shared" si="146"/>
        <v>1814583.7411201759</v>
      </c>
      <c r="AZ60">
        <f t="shared" si="147"/>
        <v>1979152.50441553</v>
      </c>
      <c r="BA60">
        <f t="shared" si="148"/>
        <v>2151941.1898249625</v>
      </c>
      <c r="BB60">
        <f t="shared" si="149"/>
        <v>2333360.3680923292</v>
      </c>
      <c r="BC60">
        <f t="shared" si="150"/>
        <v>2523841.1172525971</v>
      </c>
      <c r="BD60">
        <f t="shared" si="151"/>
        <v>2723836.046935197</v>
      </c>
      <c r="BE60">
        <f t="shared" si="152"/>
        <v>2933820.3738295329</v>
      </c>
      <c r="BF60">
        <f t="shared" si="153"/>
        <v>3154293.0508681238</v>
      </c>
      <c r="BG60">
        <f t="shared" si="154"/>
        <v>3385777.9528104602</v>
      </c>
      <c r="BH60">
        <f t="shared" si="155"/>
        <v>3628825.1210447075</v>
      </c>
      <c r="BI60">
        <f t="shared" si="156"/>
        <v>3884012.0705650742</v>
      </c>
      <c r="BJ60">
        <f t="shared" si="157"/>
        <v>4151945.1622304255</v>
      </c>
    </row>
    <row r="61" spans="1:62" x14ac:dyDescent="0.3">
      <c r="A61">
        <f>0.01/12</f>
        <v>8.3333333333333339E-4</v>
      </c>
      <c r="B61">
        <v>1</v>
      </c>
      <c r="D61">
        <f t="shared" si="109"/>
        <v>36330.294280564092</v>
      </c>
      <c r="E61">
        <f t="shared" si="161"/>
        <v>110717.88228871202</v>
      </c>
      <c r="F61">
        <f t="shared" si="162"/>
        <v>187469.02679219795</v>
      </c>
      <c r="G61">
        <f t="shared" si="163"/>
        <v>266822.63455496792</v>
      </c>
      <c r="H61">
        <f t="shared" si="158"/>
        <v>349326.78442950669</v>
      </c>
      <c r="I61">
        <f t="shared" si="159"/>
        <v>434666.58737447194</v>
      </c>
      <c r="J61">
        <f t="shared" si="160"/>
        <v>523370.09789964859</v>
      </c>
      <c r="K61">
        <f t="shared" si="164"/>
        <v>616154.10460156668</v>
      </c>
      <c r="L61">
        <f t="shared" si="165"/>
        <v>712368.53099958226</v>
      </c>
      <c r="M61">
        <f t="shared" si="166"/>
        <v>812140.20691824867</v>
      </c>
      <c r="N61">
        <f t="shared" si="167"/>
        <v>915600.65134724206</v>
      </c>
      <c r="O61">
        <f t="shared" si="168"/>
        <v>1023515.9389472825</v>
      </c>
      <c r="P61">
        <f t="shared" si="115"/>
        <v>1137521.9501052506</v>
      </c>
      <c r="Q61">
        <f t="shared" si="116"/>
        <v>1256036.1095934757</v>
      </c>
      <c r="R61">
        <f t="shared" si="117"/>
        <v>1379236.6834626792</v>
      </c>
      <c r="S61">
        <f t="shared" si="118"/>
        <v>1507308.9869515216</v>
      </c>
      <c r="T61">
        <f t="shared" si="119"/>
        <v>1640445.6632331759</v>
      </c>
      <c r="U61">
        <f t="shared" si="120"/>
        <v>1778846.9731843963</v>
      </c>
      <c r="V61">
        <f t="shared" si="121"/>
        <v>1922721.0966129468</v>
      </c>
      <c r="W61">
        <f t="shared" si="122"/>
        <v>2072284.4453964911</v>
      </c>
      <c r="X61">
        <f t="shared" si="123"/>
        <v>2227761.9890039559</v>
      </c>
      <c r="Y61">
        <f t="shared" si="124"/>
        <v>2389387.5928890081</v>
      </c>
      <c r="Z61">
        <f t="shared" si="125"/>
        <v>2557404.3702646545</v>
      </c>
      <c r="AA61">
        <f t="shared" si="126"/>
        <v>2732065.0477880901</v>
      </c>
      <c r="AB61">
        <f t="shared" si="127"/>
        <v>2913632.3457058463</v>
      </c>
      <c r="AC61">
        <f t="shared" si="128"/>
        <v>3102379.3730310546</v>
      </c>
      <c r="AD61">
        <f t="shared" si="129"/>
        <v>3298590.0383472298</v>
      </c>
      <c r="AE61">
        <f t="shared" si="130"/>
        <v>3502559.4768564971</v>
      </c>
      <c r="AI61">
        <f t="shared" si="111"/>
        <v>36516.312821640851</v>
      </c>
      <c r="AJ61">
        <f t="shared" si="131"/>
        <v>112273.71555543093</v>
      </c>
      <c r="AK61">
        <f t="shared" si="132"/>
        <v>191815.06815654208</v>
      </c>
      <c r="AL61">
        <f t="shared" si="133"/>
        <v>275329.37230773689</v>
      </c>
      <c r="AM61">
        <f t="shared" si="134"/>
        <v>363015.06999551848</v>
      </c>
      <c r="AN61">
        <f t="shared" si="135"/>
        <v>455080.51503680379</v>
      </c>
      <c r="AO61">
        <f t="shared" si="136"/>
        <v>551744.46815753053</v>
      </c>
      <c r="AP61">
        <f t="shared" si="137"/>
        <v>653236.61679957446</v>
      </c>
      <c r="AQ61">
        <f t="shared" si="138"/>
        <v>759798.12089111435</v>
      </c>
      <c r="AR61">
        <f t="shared" si="139"/>
        <v>871682.18587727239</v>
      </c>
      <c r="AS61">
        <f t="shared" si="140"/>
        <v>989154.66437263461</v>
      </c>
      <c r="AT61">
        <f t="shared" si="141"/>
        <v>1112494.6878652617</v>
      </c>
      <c r="AU61">
        <f t="shared" si="142"/>
        <v>1241995.329973211</v>
      </c>
      <c r="AV61">
        <f t="shared" si="143"/>
        <v>1377964.3028295669</v>
      </c>
      <c r="AW61">
        <f t="shared" si="144"/>
        <v>1520724.68825068</v>
      </c>
      <c r="AX61">
        <f t="shared" si="145"/>
        <v>1670615.7054249849</v>
      </c>
      <c r="AY61">
        <f t="shared" si="146"/>
        <v>1827993.5169465351</v>
      </c>
      <c r="AZ61">
        <f t="shared" si="147"/>
        <v>1993232.0751085014</v>
      </c>
      <c r="BA61">
        <f t="shared" si="148"/>
        <v>2166724.0104675503</v>
      </c>
      <c r="BB61">
        <f t="shared" si="149"/>
        <v>2348881.5647904649</v>
      </c>
      <c r="BC61">
        <f t="shared" si="150"/>
        <v>2540137.5705998153</v>
      </c>
      <c r="BD61">
        <f t="shared" si="151"/>
        <v>2740946.4796462231</v>
      </c>
      <c r="BE61">
        <f t="shared" si="152"/>
        <v>2951785.4427510193</v>
      </c>
      <c r="BF61">
        <f t="shared" si="153"/>
        <v>3173155.4435851569</v>
      </c>
      <c r="BG61">
        <f t="shared" si="154"/>
        <v>3405582.4890783988</v>
      </c>
      <c r="BH61">
        <f t="shared" si="155"/>
        <v>3649618.8592873593</v>
      </c>
      <c r="BI61">
        <f t="shared" si="156"/>
        <v>3905844.4196922742</v>
      </c>
      <c r="BJ61">
        <f t="shared" si="157"/>
        <v>4174867.9990407033</v>
      </c>
    </row>
    <row r="62" spans="1:62" x14ac:dyDescent="0.3">
      <c r="D62">
        <f t="shared" si="109"/>
        <v>42440.776348636369</v>
      </c>
      <c r="E62">
        <f t="shared" si="161"/>
        <v>117022.51596148555</v>
      </c>
      <c r="F62">
        <f t="shared" si="162"/>
        <v>193973.9809521256</v>
      </c>
      <c r="G62">
        <f t="shared" si="163"/>
        <v>273591.99438441294</v>
      </c>
      <c r="H62">
        <f t="shared" si="158"/>
        <v>356328.80596159789</v>
      </c>
      <c r="I62">
        <f t="shared" si="159"/>
        <v>441909.26715086796</v>
      </c>
      <c r="J62">
        <f t="shared" si="160"/>
        <v>530974.0892962846</v>
      </c>
      <c r="K62">
        <f t="shared" si="164"/>
        <v>624039.23153850937</v>
      </c>
      <c r="L62">
        <f t="shared" si="165"/>
        <v>720545.18764851103</v>
      </c>
      <c r="M62">
        <f t="shared" si="166"/>
        <v>820619.17174521089</v>
      </c>
      <c r="N62">
        <f t="shared" si="167"/>
        <v>924393.10132082424</v>
      </c>
      <c r="O62">
        <f t="shared" si="168"/>
        <v>1032848.4820416549</v>
      </c>
      <c r="P62">
        <f t="shared" si="115"/>
        <v>1147223.5306577412</v>
      </c>
      <c r="Q62">
        <f t="shared" si="116"/>
        <v>1266121.3204802298</v>
      </c>
      <c r="R62">
        <f t="shared" si="117"/>
        <v>1389720.6946070478</v>
      </c>
      <c r="S62">
        <f t="shared" si="118"/>
        <v>1518207.5681422837</v>
      </c>
      <c r="T62">
        <f t="shared" si="119"/>
        <v>1651775.2078450616</v>
      </c>
      <c r="U62">
        <f t="shared" si="120"/>
        <v>1790624.5228365941</v>
      </c>
      <c r="V62">
        <f t="shared" si="121"/>
        <v>1934964.3668026831</v>
      </c>
      <c r="W62">
        <f t="shared" si="122"/>
        <v>2085011.8521462395</v>
      </c>
      <c r="X62">
        <f t="shared" si="123"/>
        <v>2240992.6765623619</v>
      </c>
      <c r="Y62">
        <f t="shared" si="124"/>
        <v>2403141.4625271899</v>
      </c>
      <c r="Z62">
        <f t="shared" si="125"/>
        <v>2571702.110211201</v>
      </c>
      <c r="AA62">
        <f t="shared" si="126"/>
        <v>2746928.1643477799</v>
      </c>
      <c r="AB62">
        <f t="shared" si="127"/>
        <v>2929083.1956088962</v>
      </c>
      <c r="AC62">
        <f t="shared" si="128"/>
        <v>3118441.1970615559</v>
      </c>
      <c r="AD62">
        <f t="shared" si="129"/>
        <v>3315286.99630136</v>
      </c>
      <c r="AE62">
        <f t="shared" si="130"/>
        <v>3519916.6838830817</v>
      </c>
      <c r="AI62">
        <f t="shared" si="111"/>
        <v>42689.354214824933</v>
      </c>
      <c r="AJ62">
        <f t="shared" si="131"/>
        <v>118755.08957774153</v>
      </c>
      <c r="AK62">
        <f t="shared" si="132"/>
        <v>198620.17548393921</v>
      </c>
      <c r="AL62">
        <f t="shared" si="133"/>
        <v>282474.38285302941</v>
      </c>
      <c r="AM62">
        <f t="shared" si="134"/>
        <v>370516.96133040026</v>
      </c>
      <c r="AN62">
        <f t="shared" si="135"/>
        <v>462957.11273300357</v>
      </c>
      <c r="AO62">
        <f t="shared" si="136"/>
        <v>560014.48814293172</v>
      </c>
      <c r="AP62">
        <f t="shared" si="137"/>
        <v>661919.70982994873</v>
      </c>
      <c r="AQ62">
        <f t="shared" si="138"/>
        <v>768914.91924314119</v>
      </c>
      <c r="AR62">
        <f t="shared" si="139"/>
        <v>881254.35237379291</v>
      </c>
      <c r="AS62">
        <f t="shared" si="140"/>
        <v>999204.94385663129</v>
      </c>
      <c r="AT62">
        <f t="shared" si="141"/>
        <v>1123046.9612448732</v>
      </c>
      <c r="AU62">
        <f t="shared" si="142"/>
        <v>1253074.6709662019</v>
      </c>
      <c r="AV62">
        <f t="shared" si="143"/>
        <v>1389597.0375420833</v>
      </c>
      <c r="AW62">
        <f t="shared" si="144"/>
        <v>1532938.4577318602</v>
      </c>
      <c r="AX62">
        <f t="shared" si="145"/>
        <v>1683439.5313460645</v>
      </c>
      <c r="AY62">
        <f t="shared" si="146"/>
        <v>1841457.8705605075</v>
      </c>
      <c r="AZ62">
        <f t="shared" si="147"/>
        <v>2007368.9496541929</v>
      </c>
      <c r="BA62">
        <f t="shared" si="148"/>
        <v>2181566.9971901532</v>
      </c>
      <c r="BB62">
        <f t="shared" si="149"/>
        <v>2364465.932759162</v>
      </c>
      <c r="BC62">
        <f t="shared" si="150"/>
        <v>2556500.3505121567</v>
      </c>
      <c r="BD62">
        <f t="shared" si="151"/>
        <v>2758126.5518183834</v>
      </c>
      <c r="BE62">
        <f t="shared" si="152"/>
        <v>2969823.6295030159</v>
      </c>
      <c r="BF62">
        <f t="shared" si="153"/>
        <v>3192094.6062405487</v>
      </c>
      <c r="BG62">
        <f t="shared" si="154"/>
        <v>3425467.6298089479</v>
      </c>
      <c r="BH62">
        <f t="shared" si="155"/>
        <v>3670497.2280446589</v>
      </c>
      <c r="BI62">
        <f t="shared" si="156"/>
        <v>3927765.626480422</v>
      </c>
      <c r="BJ62">
        <f t="shared" si="157"/>
        <v>4197884.1317967987</v>
      </c>
    </row>
    <row r="63" spans="1:62" x14ac:dyDescent="0.3">
      <c r="D63">
        <f t="shared" si="109"/>
        <v>48567.206774906306</v>
      </c>
      <c r="E63">
        <f t="shared" si="161"/>
        <v>123343.60472814503</v>
      </c>
      <c r="F63">
        <f t="shared" si="162"/>
        <v>200495.91304241063</v>
      </c>
      <c r="G63">
        <f t="shared" si="163"/>
        <v>280380.44380857702</v>
      </c>
      <c r="H63">
        <f t="shared" si="158"/>
        <v>363350.5731944096</v>
      </c>
      <c r="I63">
        <f t="shared" si="159"/>
        <v>449172.37128423341</v>
      </c>
      <c r="J63">
        <f t="shared" si="160"/>
        <v>538601.12078685232</v>
      </c>
      <c r="K63">
        <f t="shared" si="164"/>
        <v>631948.25041007111</v>
      </c>
      <c r="L63">
        <f t="shared" si="165"/>
        <v>728746.61956708611</v>
      </c>
      <c r="M63">
        <f t="shared" si="166"/>
        <v>829123.82783559884</v>
      </c>
      <c r="N63">
        <f t="shared" si="167"/>
        <v>933212.19241782627</v>
      </c>
      <c r="O63">
        <f t="shared" si="168"/>
        <v>1042211.2345780238</v>
      </c>
      <c r="P63">
        <f t="shared" si="115"/>
        <v>1156956.5152264803</v>
      </c>
      <c r="Q63">
        <f t="shared" si="116"/>
        <v>1276239.1771946242</v>
      </c>
      <c r="R63">
        <f t="shared" si="117"/>
        <v>1400238.6424954908</v>
      </c>
      <c r="S63">
        <f t="shared" si="118"/>
        <v>1529141.4280403601</v>
      </c>
      <c r="T63">
        <f t="shared" si="119"/>
        <v>1663141.4261928562</v>
      </c>
      <c r="U63">
        <f t="shared" si="120"/>
        <v>1802440.1964170162</v>
      </c>
      <c r="V63">
        <f t="shared" si="121"/>
        <v>1947247.2684580234</v>
      </c>
      <c r="W63">
        <f t="shared" si="122"/>
        <v>2097780.4575116369</v>
      </c>
      <c r="X63">
        <f t="shared" si="123"/>
        <v>2254266.1918563941</v>
      </c>
      <c r="Y63">
        <f t="shared" si="124"/>
        <v>2416939.8534413907</v>
      </c>
      <c r="Z63">
        <f t="shared" si="125"/>
        <v>2586046.1319419546</v>
      </c>
      <c r="AA63">
        <f t="shared" si="126"/>
        <v>2761839.3928157738</v>
      </c>
      <c r="AB63">
        <f t="shared" si="127"/>
        <v>2944584.059913082</v>
      </c>
      <c r="AC63">
        <f t="shared" si="128"/>
        <v>3134555.0132164443</v>
      </c>
      <c r="AD63">
        <f t="shared" si="129"/>
        <v>3332038.0023083873</v>
      </c>
      <c r="AE63">
        <f t="shared" si="130"/>
        <v>3537330.0761888116</v>
      </c>
      <c r="AI63">
        <f t="shared" si="111"/>
        <v>48887.519886479269</v>
      </c>
      <c r="AJ63">
        <f t="shared" si="131"/>
        <v>125262.84279232293</v>
      </c>
      <c r="AK63">
        <f t="shared" si="132"/>
        <v>205452.97959815885</v>
      </c>
      <c r="AL63">
        <f t="shared" si="133"/>
        <v>289648.47359124123</v>
      </c>
      <c r="AM63">
        <f t="shared" si="134"/>
        <v>378049.385363015</v>
      </c>
      <c r="AN63">
        <f t="shared" si="135"/>
        <v>470865.76818182692</v>
      </c>
      <c r="AO63">
        <f t="shared" si="136"/>
        <v>568318.16710967349</v>
      </c>
      <c r="AP63">
        <f t="shared" si="137"/>
        <v>670638.14304895664</v>
      </c>
      <c r="AQ63">
        <f t="shared" si="138"/>
        <v>778068.82296446082</v>
      </c>
      <c r="AR63">
        <f t="shared" si="139"/>
        <v>890865.47758795426</v>
      </c>
      <c r="AS63">
        <f t="shared" si="140"/>
        <v>1009296.1279781278</v>
      </c>
      <c r="AT63">
        <f t="shared" si="141"/>
        <v>1133642.1823771398</v>
      </c>
      <c r="AU63">
        <f t="shared" si="142"/>
        <v>1264199.1048770344</v>
      </c>
      <c r="AV63">
        <f t="shared" si="143"/>
        <v>1401277.1174848797</v>
      </c>
      <c r="AW63">
        <f t="shared" si="144"/>
        <v>1545201.9372548289</v>
      </c>
      <c r="AX63">
        <f t="shared" si="145"/>
        <v>1696315.5502386431</v>
      </c>
      <c r="AY63">
        <f t="shared" si="146"/>
        <v>1854977.0240936889</v>
      </c>
      <c r="AZ63">
        <f t="shared" si="147"/>
        <v>2021563.3612792855</v>
      </c>
      <c r="BA63">
        <f t="shared" si="148"/>
        <v>2196470.3948687171</v>
      </c>
      <c r="BB63">
        <f t="shared" si="149"/>
        <v>2380113.7291054917</v>
      </c>
      <c r="BC63">
        <f t="shared" si="150"/>
        <v>2572929.7269387413</v>
      </c>
      <c r="BD63">
        <f t="shared" si="151"/>
        <v>2775376.5468842844</v>
      </c>
      <c r="BE63">
        <f t="shared" si="152"/>
        <v>2987935.2316750931</v>
      </c>
      <c r="BF63">
        <f t="shared" si="153"/>
        <v>3211110.851287948</v>
      </c>
      <c r="BG63">
        <f t="shared" si="154"/>
        <v>3445433.7030622703</v>
      </c>
      <c r="BH63">
        <f t="shared" si="155"/>
        <v>3691460.5717628007</v>
      </c>
      <c r="BI63">
        <f t="shared" si="156"/>
        <v>3949776.0525801973</v>
      </c>
      <c r="BJ63">
        <f t="shared" si="157"/>
        <v>4220993.9402132118</v>
      </c>
    </row>
    <row r="64" spans="1:62" x14ac:dyDescent="0.3">
      <c r="D64">
        <f t="shared" si="109"/>
        <v>54709.627184588811</v>
      </c>
      <c r="E64">
        <f t="shared" si="161"/>
        <v>129681.19153648548</v>
      </c>
      <c r="F64">
        <f t="shared" si="162"/>
        <v>207034.86737545131</v>
      </c>
      <c r="G64">
        <f t="shared" si="163"/>
        <v>287188.03666011721</v>
      </c>
      <c r="H64">
        <f t="shared" si="158"/>
        <v>370392.14181081788</v>
      </c>
      <c r="I64">
        <f t="shared" si="159"/>
        <v>456455.95737125492</v>
      </c>
      <c r="J64">
        <f t="shared" si="160"/>
        <v>546251.26218283642</v>
      </c>
      <c r="K64">
        <f t="shared" si="164"/>
        <v>639881.23360881372</v>
      </c>
      <c r="L64">
        <f t="shared" si="165"/>
        <v>736972.90182437445</v>
      </c>
      <c r="M64">
        <f t="shared" si="166"/>
        <v>837654.25303394068</v>
      </c>
      <c r="N64">
        <f t="shared" si="167"/>
        <v>942058.00536085234</v>
      </c>
      <c r="O64">
        <f t="shared" si="168"/>
        <v>1051604.2943443528</v>
      </c>
      <c r="P64">
        <f t="shared" si="115"/>
        <v>1166721.0054662684</v>
      </c>
      <c r="Q64">
        <f t="shared" si="116"/>
        <v>1286389.7854112033</v>
      </c>
      <c r="R64">
        <f t="shared" si="117"/>
        <v>1410790.6369812489</v>
      </c>
      <c r="S64">
        <f t="shared" si="118"/>
        <v>1540110.6808429267</v>
      </c>
      <c r="T64">
        <f t="shared" si="119"/>
        <v>1674544.4369894424</v>
      </c>
      <c r="U64">
        <f t="shared" si="120"/>
        <v>1814294.1173328182</v>
      </c>
      <c r="V64">
        <f t="shared" si="121"/>
        <v>1959569.929866022</v>
      </c>
      <c r="W64">
        <f t="shared" si="122"/>
        <v>2110590.3948526019</v>
      </c>
      <c r="X64">
        <f t="shared" si="123"/>
        <v>2267582.673519433</v>
      </c>
      <c r="Y64">
        <f t="shared" si="124"/>
        <v>2430782.9097469803</v>
      </c>
      <c r="Z64">
        <f t="shared" si="125"/>
        <v>2600436.5852710512</v>
      </c>
      <c r="AA64">
        <f t="shared" si="126"/>
        <v>2776798.8889303184</v>
      </c>
      <c r="AB64">
        <f t="shared" si="127"/>
        <v>2960135.1005150205</v>
      </c>
      <c r="AC64">
        <f t="shared" si="128"/>
        <v>3150720.9897942259</v>
      </c>
      <c r="AD64">
        <f t="shared" si="129"/>
        <v>3348843.2313218596</v>
      </c>
      <c r="AE64">
        <f t="shared" si="130"/>
        <v>3554799.8356454349</v>
      </c>
      <c r="AI64">
        <f t="shared" si="111"/>
        <v>55110.912092417238</v>
      </c>
      <c r="AJ64">
        <f t="shared" si="131"/>
        <v>131797.08256248766</v>
      </c>
      <c r="AK64">
        <f t="shared" si="132"/>
        <v>212313.59322512336</v>
      </c>
      <c r="AL64">
        <f t="shared" si="133"/>
        <v>296851.76287875761</v>
      </c>
      <c r="AM64">
        <f t="shared" si="134"/>
        <v>385612.46636144246</v>
      </c>
      <c r="AN64">
        <f t="shared" si="135"/>
        <v>478806.61185832694</v>
      </c>
      <c r="AO64">
        <f t="shared" si="136"/>
        <v>576655.64204980992</v>
      </c>
      <c r="AP64">
        <f t="shared" si="137"/>
        <v>679392.06029116595</v>
      </c>
      <c r="AQ64">
        <f t="shared" si="138"/>
        <v>787259.98307392618</v>
      </c>
      <c r="AR64">
        <f t="shared" si="139"/>
        <v>900515.72008173726</v>
      </c>
      <c r="AS64">
        <f t="shared" si="140"/>
        <v>1019428.3832189988</v>
      </c>
      <c r="AT64">
        <f t="shared" si="141"/>
        <v>1144280.5260594147</v>
      </c>
      <c r="AU64">
        <f t="shared" si="142"/>
        <v>1275368.8152338839</v>
      </c>
      <c r="AV64">
        <f t="shared" si="143"/>
        <v>1413004.7353530431</v>
      </c>
      <c r="AW64">
        <f t="shared" si="144"/>
        <v>1557515.3291394562</v>
      </c>
      <c r="AX64">
        <f t="shared" si="145"/>
        <v>1709243.9745281143</v>
      </c>
      <c r="AY64">
        <f t="shared" si="146"/>
        <v>1868551.2005817504</v>
      </c>
      <c r="AZ64">
        <f t="shared" si="147"/>
        <v>2035815.5441596922</v>
      </c>
      <c r="BA64">
        <f t="shared" si="148"/>
        <v>2211434.4493758329</v>
      </c>
      <c r="BB64">
        <f t="shared" si="149"/>
        <v>2395825.211982951</v>
      </c>
      <c r="BC64">
        <f t="shared" si="150"/>
        <v>2589425.9709273819</v>
      </c>
      <c r="BD64">
        <f t="shared" si="151"/>
        <v>2792696.7494301032</v>
      </c>
      <c r="BE64">
        <f t="shared" si="152"/>
        <v>3006120.5480680107</v>
      </c>
      <c r="BF64">
        <f t="shared" si="153"/>
        <v>3230204.4924526899</v>
      </c>
      <c r="BG64">
        <f t="shared" si="154"/>
        <v>3465481.0382337337</v>
      </c>
      <c r="BH64">
        <f t="shared" si="155"/>
        <v>3712509.2362898751</v>
      </c>
      <c r="BI64">
        <f t="shared" si="156"/>
        <v>3971876.061114199</v>
      </c>
      <c r="BJ64">
        <f t="shared" si="157"/>
        <v>4244197.8055498796</v>
      </c>
    </row>
    <row r="65" spans="1:62" x14ac:dyDescent="0.3">
      <c r="D65">
        <f t="shared" si="109"/>
        <v>60868.07931154059</v>
      </c>
      <c r="E65">
        <f t="shared" si="161"/>
        <v>136035.3194463957</v>
      </c>
      <c r="F65">
        <f t="shared" si="162"/>
        <v>213590.88837930124</v>
      </c>
      <c r="G65">
        <f t="shared" si="163"/>
        <v>294014.82692349877</v>
      </c>
      <c r="H65">
        <f t="shared" si="158"/>
        <v>377453.56765072444</v>
      </c>
      <c r="I65">
        <f t="shared" si="159"/>
        <v>463760.08317104186</v>
      </c>
      <c r="J65">
        <f t="shared" si="160"/>
        <v>553924.58350725041</v>
      </c>
      <c r="K65">
        <f t="shared" si="164"/>
        <v>647838.25374664844</v>
      </c>
      <c r="L65">
        <f t="shared" si="165"/>
        <v>745224.10971690225</v>
      </c>
      <c r="M65">
        <f t="shared" si="166"/>
        <v>846210.52542063349</v>
      </c>
      <c r="N65">
        <f t="shared" si="167"/>
        <v>950930.6211170957</v>
      </c>
      <c r="O65">
        <f t="shared" si="168"/>
        <v>1061027.7594451455</v>
      </c>
      <c r="P65">
        <f t="shared" si="115"/>
        <v>1176517.1033609626</v>
      </c>
      <c r="Q65">
        <f t="shared" si="116"/>
        <v>1296573.2511465794</v>
      </c>
      <c r="R65">
        <f t="shared" si="117"/>
        <v>1421376.7882731571</v>
      </c>
      <c r="S65">
        <f t="shared" si="118"/>
        <v>1551115.4411168154</v>
      </c>
      <c r="T65">
        <f t="shared" si="119"/>
        <v>1685984.3593319773</v>
      </c>
      <c r="U65">
        <f t="shared" si="120"/>
        <v>1826186.4093906246</v>
      </c>
      <c r="V65">
        <f t="shared" si="121"/>
        <v>1971932.4797289984</v>
      </c>
      <c r="W65">
        <f t="shared" si="122"/>
        <v>2123441.79796074</v>
      </c>
      <c r="X65">
        <f t="shared" si="123"/>
        <v>2280942.2606336158</v>
      </c>
      <c r="Y65">
        <f t="shared" si="124"/>
        <v>2444670.7760258317</v>
      </c>
      <c r="Z65">
        <f t="shared" si="125"/>
        <v>2614873.6204975736</v>
      </c>
      <c r="AA65">
        <f t="shared" si="126"/>
        <v>2791806.8089337857</v>
      </c>
      <c r="AB65">
        <f t="shared" si="127"/>
        <v>2975736.4798353878</v>
      </c>
      <c r="AC65">
        <f t="shared" si="128"/>
        <v>3166939.2956381901</v>
      </c>
      <c r="AD65">
        <f t="shared" si="129"/>
        <v>3365702.8588616489</v>
      </c>
      <c r="AE65">
        <f t="shared" si="130"/>
        <v>3572326.144713419</v>
      </c>
      <c r="AI65">
        <f t="shared" si="111"/>
        <v>61359.633504633377</v>
      </c>
      <c r="AJ65">
        <f t="shared" si="131"/>
        <v>138357.916688517</v>
      </c>
      <c r="AK65">
        <f t="shared" si="132"/>
        <v>219202.12954954963</v>
      </c>
      <c r="AL65">
        <f t="shared" si="133"/>
        <v>304084.36955367419</v>
      </c>
      <c r="AM65">
        <f t="shared" si="134"/>
        <v>393206.32909953356</v>
      </c>
      <c r="AN65">
        <f t="shared" si="135"/>
        <v>486779.77476859035</v>
      </c>
      <c r="AO65">
        <f t="shared" si="136"/>
        <v>585027.05051295261</v>
      </c>
      <c r="AP65">
        <f t="shared" si="137"/>
        <v>688181.60597655096</v>
      </c>
      <c r="AQ65">
        <f t="shared" si="138"/>
        <v>796488.55120503705</v>
      </c>
      <c r="AR65">
        <f t="shared" si="139"/>
        <v>910205.23906246992</v>
      </c>
      <c r="AS65">
        <f t="shared" si="140"/>
        <v>1029601.8767387001</v>
      </c>
      <c r="AT65">
        <f t="shared" si="141"/>
        <v>1154962.1678004765</v>
      </c>
      <c r="AU65">
        <f t="shared" si="142"/>
        <v>1286583.9863118858</v>
      </c>
      <c r="AV65">
        <f t="shared" si="143"/>
        <v>1424780.0846259301</v>
      </c>
      <c r="AW65">
        <f t="shared" si="144"/>
        <v>1569878.8365290537</v>
      </c>
      <c r="AX65">
        <f t="shared" si="145"/>
        <v>1722225.0175044439</v>
      </c>
      <c r="AY65">
        <f t="shared" si="146"/>
        <v>1882180.6239681181</v>
      </c>
      <c r="AZ65">
        <f t="shared" si="147"/>
        <v>2050125.7334244223</v>
      </c>
      <c r="BA65">
        <f t="shared" si="148"/>
        <v>2226459.4075847925</v>
      </c>
      <c r="BB65">
        <f t="shared" si="149"/>
        <v>2411600.6405957215</v>
      </c>
      <c r="BC65">
        <f t="shared" si="150"/>
        <v>2605989.3546290565</v>
      </c>
      <c r="BD65">
        <f t="shared" si="151"/>
        <v>2810087.445200284</v>
      </c>
      <c r="BE65">
        <f t="shared" si="152"/>
        <v>3024379.8786986475</v>
      </c>
      <c r="BF65">
        <f t="shared" si="153"/>
        <v>3249375.8447369724</v>
      </c>
      <c r="BG65">
        <f t="shared" si="154"/>
        <v>3485609.9660593453</v>
      </c>
      <c r="BH65">
        <f t="shared" si="155"/>
        <v>3733643.568881575</v>
      </c>
      <c r="BI65">
        <f t="shared" si="156"/>
        <v>3994066.016682934</v>
      </c>
      <c r="BJ65">
        <f t="shared" si="157"/>
        <v>4267496.1106184674</v>
      </c>
    </row>
    <row r="66" spans="1:62" x14ac:dyDescent="0.3">
      <c r="D66">
        <f t="shared" si="109"/>
        <v>67042.604998543713</v>
      </c>
      <c r="E66">
        <f t="shared" si="161"/>
        <v>142406.0316301508</v>
      </c>
      <c r="F66">
        <f t="shared" si="162"/>
        <v>220164.02059797122</v>
      </c>
      <c r="G66">
        <f t="shared" si="163"/>
        <v>300860.86873542302</v>
      </c>
      <c r="H66">
        <f t="shared" si="158"/>
        <v>384534.9067114995</v>
      </c>
      <c r="I66">
        <f t="shared" si="159"/>
        <v>471084.80660558422</v>
      </c>
      <c r="J66">
        <f t="shared" si="160"/>
        <v>561621.15499527741</v>
      </c>
      <c r="K66">
        <f t="shared" si="164"/>
        <v>655819.38365550083</v>
      </c>
      <c r="L66">
        <f t="shared" si="165"/>
        <v>753500.31876934448</v>
      </c>
      <c r="M66">
        <f t="shared" si="166"/>
        <v>854792.72331265802</v>
      </c>
      <c r="N66">
        <f t="shared" si="167"/>
        <v>959830.12089908053</v>
      </c>
      <c r="O66">
        <f t="shared" si="168"/>
        <v>1070481.7283024695</v>
      </c>
      <c r="P66">
        <f t="shared" si="115"/>
        <v>1186344.9112245422</v>
      </c>
      <c r="Q66">
        <f t="shared" si="116"/>
        <v>1306789.6807605408</v>
      </c>
      <c r="R66">
        <f t="shared" si="117"/>
        <v>1431997.2069367974</v>
      </c>
      <c r="S66">
        <f t="shared" si="118"/>
        <v>1562155.8237997105</v>
      </c>
      <c r="T66">
        <f t="shared" si="119"/>
        <v>1697461.312703135</v>
      </c>
      <c r="U66">
        <f t="shared" si="120"/>
        <v>1838117.1967978221</v>
      </c>
      <c r="V66">
        <f t="shared" si="121"/>
        <v>1984335.0471658811</v>
      </c>
      <c r="W66">
        <f t="shared" si="122"/>
        <v>2136334.801060739</v>
      </c>
      <c r="X66">
        <f t="shared" si="123"/>
        <v>2294345.0927312872</v>
      </c>
      <c r="Y66">
        <f t="shared" si="124"/>
        <v>2458603.5973278275</v>
      </c>
      <c r="Z66">
        <f t="shared" si="125"/>
        <v>2629357.3884071242</v>
      </c>
      <c r="AA66">
        <f t="shared" si="126"/>
        <v>2806863.3095743046</v>
      </c>
      <c r="AB66">
        <f t="shared" si="127"/>
        <v>2991388.3608206152</v>
      </c>
      <c r="AC66">
        <f t="shared" si="128"/>
        <v>3183210.1001381706</v>
      </c>
      <c r="AD66">
        <f t="shared" si="129"/>
        <v>3382617.0610157843</v>
      </c>
      <c r="AE66">
        <f t="shared" si="130"/>
        <v>3589909.1864438565</v>
      </c>
      <c r="AI66">
        <f t="shared" si="111"/>
        <v>67633.787212997238</v>
      </c>
      <c r="AJ66">
        <f t="shared" si="131"/>
        <v>144945.45340943927</v>
      </c>
      <c r="AK66">
        <f t="shared" si="132"/>
        <v>226118.70221681631</v>
      </c>
      <c r="AL66">
        <f t="shared" si="133"/>
        <v>311346.41293775768</v>
      </c>
      <c r="AM66">
        <f t="shared" si="134"/>
        <v>400831.09885896865</v>
      </c>
      <c r="AN66">
        <f t="shared" si="135"/>
        <v>494785.38845189853</v>
      </c>
      <c r="AO66">
        <f t="shared" si="136"/>
        <v>593432.53060854028</v>
      </c>
      <c r="AP66">
        <f t="shared" si="137"/>
        <v>697006.92511287553</v>
      </c>
      <c r="AQ66">
        <f t="shared" si="138"/>
        <v>805754.67960844154</v>
      </c>
      <c r="AR66">
        <f t="shared" si="139"/>
        <v>919934.19438545418</v>
      </c>
      <c r="AS66">
        <f t="shared" si="140"/>
        <v>1039816.7763770266</v>
      </c>
      <c r="AT66">
        <f t="shared" si="141"/>
        <v>1165687.2838234245</v>
      </c>
      <c r="AU66">
        <f t="shared" si="142"/>
        <v>1297844.8031361753</v>
      </c>
      <c r="AV66">
        <f t="shared" si="143"/>
        <v>1436603.3595703577</v>
      </c>
      <c r="AW66">
        <f t="shared" si="144"/>
        <v>1582292.663393727</v>
      </c>
      <c r="AX66">
        <f t="shared" si="145"/>
        <v>1735258.8933256869</v>
      </c>
      <c r="AY66">
        <f t="shared" si="146"/>
        <v>1895865.5191076684</v>
      </c>
      <c r="AZ66">
        <f t="shared" si="147"/>
        <v>2064494.1651594597</v>
      </c>
      <c r="BA66">
        <f t="shared" si="148"/>
        <v>2241545.5173736624</v>
      </c>
      <c r="BB66">
        <f t="shared" si="149"/>
        <v>2427440.2752029463</v>
      </c>
      <c r="BC66">
        <f t="shared" si="150"/>
        <v>2622620.1513023968</v>
      </c>
      <c r="BD66">
        <f t="shared" si="151"/>
        <v>2827548.9211022491</v>
      </c>
      <c r="BE66">
        <f t="shared" si="152"/>
        <v>3042713.5248049512</v>
      </c>
      <c r="BF66">
        <f t="shared" si="153"/>
        <v>3268625.2244250518</v>
      </c>
      <c r="BG66">
        <f t="shared" si="154"/>
        <v>3505820.818621207</v>
      </c>
      <c r="BH66">
        <f t="shared" si="155"/>
        <v>3754863.9182069232</v>
      </c>
      <c r="BI66">
        <f t="shared" si="156"/>
        <v>4016346.2853708337</v>
      </c>
      <c r="BJ66">
        <f t="shared" si="157"/>
        <v>4290889.239788685</v>
      </c>
    </row>
    <row r="67" spans="1:62" x14ac:dyDescent="0.3">
      <c r="D67">
        <f t="shared" si="109"/>
        <v>73233.24619758992</v>
      </c>
      <c r="E67">
        <f t="shared" si="161"/>
        <v>148793.3713727055</v>
      </c>
      <c r="F67">
        <f t="shared" si="162"/>
        <v>226754.30869173192</v>
      </c>
      <c r="G67">
        <f t="shared" si="163"/>
        <v>307726.21638525691</v>
      </c>
      <c r="H67">
        <f t="shared" si="158"/>
        <v>391636.21514842589</v>
      </c>
      <c r="I67">
        <f t="shared" si="159"/>
        <v>478430.18576021201</v>
      </c>
      <c r="J67">
        <f t="shared" si="160"/>
        <v>569341.04709491308</v>
      </c>
      <c r="K67">
        <f t="shared" si="164"/>
        <v>663824.69638797699</v>
      </c>
      <c r="L67">
        <f t="shared" si="165"/>
        <v>761801.60473521566</v>
      </c>
      <c r="M67">
        <f t="shared" si="166"/>
        <v>863400.92526429542</v>
      </c>
      <c r="N67">
        <f t="shared" si="167"/>
        <v>968756.58616540476</v>
      </c>
      <c r="O67">
        <f t="shared" si="168"/>
        <v>1079966.2996569846</v>
      </c>
      <c r="P67">
        <f t="shared" si="115"/>
        <v>1196204.531702176</v>
      </c>
      <c r="Q67">
        <f t="shared" si="116"/>
        <v>1317039.1809571628</v>
      </c>
      <c r="R67">
        <f t="shared" si="117"/>
        <v>1442652.0038956518</v>
      </c>
      <c r="S67">
        <f t="shared" si="118"/>
        <v>1573231.9442013502</v>
      </c>
      <c r="T67">
        <f t="shared" si="119"/>
        <v>1708975.416972355</v>
      </c>
      <c r="U67">
        <f t="shared" si="120"/>
        <v>1850086.6041638567</v>
      </c>
      <c r="V67">
        <f t="shared" si="121"/>
        <v>1996777.7617135572</v>
      </c>
      <c r="W67" s="3">
        <f t="shared" si="122"/>
        <v>2149269.5388117731</v>
      </c>
      <c r="X67">
        <f t="shared" si="123"/>
        <v>2307791.3097964586</v>
      </c>
      <c r="Y67">
        <f t="shared" si="124"/>
        <v>2472581.5191723774</v>
      </c>
      <c r="Z67">
        <f t="shared" si="125"/>
        <v>2643888.0402733982</v>
      </c>
      <c r="AA67">
        <f t="shared" si="126"/>
        <v>2821968.5481073968</v>
      </c>
      <c r="AB67" s="3">
        <f t="shared" si="127"/>
        <v>3007090.9069445916</v>
      </c>
      <c r="AC67">
        <f t="shared" si="128"/>
        <v>3199533.5732323183</v>
      </c>
      <c r="AD67">
        <f t="shared" si="129"/>
        <v>3399586.0144422925</v>
      </c>
      <c r="AE67">
        <f t="shared" si="130"/>
        <v>3607549.1444803751</v>
      </c>
      <c r="AI67">
        <f t="shared" si="111"/>
        <v>73933.476726954133</v>
      </c>
      <c r="AJ67">
        <f t="shared" si="131"/>
        <v>151559.80140481569</v>
      </c>
      <c r="AK67">
        <f t="shared" si="132"/>
        <v>233063.42533483874</v>
      </c>
      <c r="AL67">
        <f t="shared" si="133"/>
        <v>318638.01283841435</v>
      </c>
      <c r="AM67">
        <f t="shared" si="134"/>
        <v>408486.90143132466</v>
      </c>
      <c r="AN67">
        <f t="shared" si="135"/>
        <v>502823.58498289774</v>
      </c>
      <c r="AO67">
        <f t="shared" si="136"/>
        <v>601872.22100811708</v>
      </c>
      <c r="AP67">
        <f t="shared" si="137"/>
        <v>705868.16329808498</v>
      </c>
      <c r="AQ67">
        <f t="shared" si="138"/>
        <v>815058.52115444792</v>
      </c>
      <c r="AR67">
        <f t="shared" si="139"/>
        <v>929702.746556603</v>
      </c>
      <c r="AS67">
        <f t="shared" si="140"/>
        <v>1050073.2506568811</v>
      </c>
      <c r="AT67">
        <f t="shared" si="141"/>
        <v>1176456.0510685858</v>
      </c>
      <c r="AU67">
        <f t="shared" si="142"/>
        <v>1309151.4514849395</v>
      </c>
      <c r="AV67">
        <f t="shared" si="143"/>
        <v>1448474.7552438092</v>
      </c>
      <c r="AW67">
        <f t="shared" si="144"/>
        <v>1594757.0145337395</v>
      </c>
      <c r="AX67">
        <f t="shared" si="145"/>
        <v>1748345.8170215224</v>
      </c>
      <c r="AY67">
        <f t="shared" si="146"/>
        <v>1909606.1117704366</v>
      </c>
      <c r="AZ67">
        <f t="shared" si="147"/>
        <v>2078921.0764116587</v>
      </c>
      <c r="BA67">
        <f t="shared" si="148"/>
        <v>2256693.0276293731</v>
      </c>
      <c r="BB67" s="3">
        <f t="shared" si="149"/>
        <v>2443344.3771230225</v>
      </c>
      <c r="BC67">
        <f t="shared" si="150"/>
        <v>2639318.6353181978</v>
      </c>
      <c r="BD67">
        <f t="shared" si="151"/>
        <v>2845081.4652111353</v>
      </c>
      <c r="BE67">
        <f t="shared" si="152"/>
        <v>3061121.7888509072</v>
      </c>
      <c r="BF67">
        <f t="shared" si="153"/>
        <v>3287952.9490884617</v>
      </c>
      <c r="BG67" s="3">
        <f t="shared" si="154"/>
        <v>3526113.9293529955</v>
      </c>
      <c r="BH67">
        <f t="shared" si="155"/>
        <v>3776170.6343540256</v>
      </c>
      <c r="BI67">
        <f t="shared" si="156"/>
        <v>4038717.2347522932</v>
      </c>
      <c r="BJ67">
        <f t="shared" si="157"/>
        <v>4314377.5789946252</v>
      </c>
    </row>
    <row r="70" spans="1:62" x14ac:dyDescent="0.3">
      <c r="D70" t="s">
        <v>57</v>
      </c>
      <c r="AI70" t="s">
        <v>57</v>
      </c>
      <c r="AJ70" t="s">
        <v>66</v>
      </c>
    </row>
    <row r="71" spans="1:62" x14ac:dyDescent="0.3">
      <c r="D71" t="s">
        <v>58</v>
      </c>
      <c r="AI71" t="s">
        <v>58</v>
      </c>
    </row>
    <row r="72" spans="1:62" x14ac:dyDescent="0.3">
      <c r="D72" t="s">
        <v>79</v>
      </c>
      <c r="AI72" t="s">
        <v>79</v>
      </c>
    </row>
    <row r="73" spans="1:62" x14ac:dyDescent="0.3">
      <c r="D73" t="s">
        <v>15</v>
      </c>
      <c r="E73" t="s">
        <v>16</v>
      </c>
      <c r="F73" t="s">
        <v>17</v>
      </c>
      <c r="G73" t="s">
        <v>18</v>
      </c>
      <c r="H73" t="s">
        <v>19</v>
      </c>
      <c r="I73" t="s">
        <v>20</v>
      </c>
      <c r="J73" t="s">
        <v>21</v>
      </c>
      <c r="K73" t="s">
        <v>22</v>
      </c>
      <c r="L73" t="s">
        <v>23</v>
      </c>
      <c r="M73" t="s">
        <v>24</v>
      </c>
      <c r="N73" t="s">
        <v>25</v>
      </c>
      <c r="O73" t="s">
        <v>26</v>
      </c>
      <c r="P73" t="s">
        <v>27</v>
      </c>
      <c r="Q73" t="s">
        <v>28</v>
      </c>
      <c r="R73" t="s">
        <v>29</v>
      </c>
      <c r="S73" t="s">
        <v>30</v>
      </c>
      <c r="T73" t="s">
        <v>31</v>
      </c>
      <c r="U73" t="s">
        <v>32</v>
      </c>
      <c r="V73" t="s">
        <v>33</v>
      </c>
      <c r="W73" t="s">
        <v>34</v>
      </c>
      <c r="X73" t="s">
        <v>35</v>
      </c>
      <c r="Y73" t="s">
        <v>36</v>
      </c>
      <c r="Z73" t="s">
        <v>37</v>
      </c>
      <c r="AA73" t="s">
        <v>38</v>
      </c>
      <c r="AB73" t="s">
        <v>39</v>
      </c>
      <c r="AC73" t="s">
        <v>67</v>
      </c>
      <c r="AD73" t="s">
        <v>68</v>
      </c>
      <c r="AE73" t="s">
        <v>69</v>
      </c>
      <c r="AI73" t="s">
        <v>15</v>
      </c>
      <c r="AJ73" t="s">
        <v>16</v>
      </c>
      <c r="AK73" t="s">
        <v>17</v>
      </c>
      <c r="AL73" t="s">
        <v>18</v>
      </c>
      <c r="AM73" t="s">
        <v>19</v>
      </c>
      <c r="AN73" t="s">
        <v>20</v>
      </c>
      <c r="AO73" t="s">
        <v>21</v>
      </c>
      <c r="AP73" t="s">
        <v>22</v>
      </c>
      <c r="AQ73" t="s">
        <v>23</v>
      </c>
      <c r="AR73" t="s">
        <v>24</v>
      </c>
      <c r="AS73" t="s">
        <v>25</v>
      </c>
      <c r="AT73" t="s">
        <v>26</v>
      </c>
      <c r="AU73" t="s">
        <v>27</v>
      </c>
      <c r="AV73" t="s">
        <v>28</v>
      </c>
      <c r="AW73" t="s">
        <v>29</v>
      </c>
      <c r="AX73" t="s">
        <v>30</v>
      </c>
      <c r="AY73" t="s">
        <v>31</v>
      </c>
      <c r="AZ73" t="s">
        <v>32</v>
      </c>
      <c r="BA73" t="s">
        <v>33</v>
      </c>
      <c r="BB73" t="s">
        <v>34</v>
      </c>
      <c r="BC73" t="s">
        <v>35</v>
      </c>
      <c r="BD73" t="s">
        <v>36</v>
      </c>
      <c r="BE73" t="s">
        <v>37</v>
      </c>
      <c r="BF73" t="s">
        <v>38</v>
      </c>
      <c r="BG73" t="s">
        <v>39</v>
      </c>
      <c r="BH73" t="s">
        <v>67</v>
      </c>
      <c r="BI73" t="s">
        <v>68</v>
      </c>
      <c r="BJ73" t="s">
        <v>69</v>
      </c>
    </row>
    <row r="74" spans="1:62" x14ac:dyDescent="0.3">
      <c r="D74">
        <v>0</v>
      </c>
      <c r="AI74">
        <v>0</v>
      </c>
    </row>
    <row r="75" spans="1:62" x14ac:dyDescent="0.3">
      <c r="D75">
        <f t="shared" ref="D75:D86" si="169">(D74+6000)*1.00487-(0.00146*(D74+6000))</f>
        <v>6020.4599999999991</v>
      </c>
      <c r="E75">
        <f>(D86+6000)*1.00487-(0.00146*(D86+6000))</f>
        <v>79887.495551752087</v>
      </c>
      <c r="F75">
        <f>(E86+6000)*1.00487-(0.00146*(E86+6000))</f>
        <v>156834.50913727208</v>
      </c>
      <c r="G75">
        <f>(F86+6000)*1.00487-(0.00146*(F86+6000))</f>
        <v>236989.92427616694</v>
      </c>
      <c r="H75">
        <f>(G86+6000)*1.00487-(0.00125*(G86+6000))</f>
        <v>321155.98546471132</v>
      </c>
      <c r="I75">
        <f>(H86+6000)*1.00487-(0.00125*(H86+6000))</f>
        <v>409104.99734635954</v>
      </c>
      <c r="J75">
        <f>(I86+6000)*1.00487-(0.00104*(I86+6000))</f>
        <v>501056.32631239522</v>
      </c>
      <c r="K75">
        <f>(J86+6000)*1.00487-(0.00104*(J86+6000))</f>
        <v>598394.07273310854</v>
      </c>
      <c r="L75">
        <f>(K86+6000)*1.00487-(0.00104*(K86+6000))</f>
        <v>700300.91279295366</v>
      </c>
      <c r="M75">
        <f>(L86+6000)*1.00487-(0.00104*(L86+6000))</f>
        <v>806991.32255544059</v>
      </c>
      <c r="N75">
        <f>(M86+6000)*1.00487-(0.00104*(M86+6000))</f>
        <v>918689.84572231234</v>
      </c>
      <c r="O75">
        <f t="shared" ref="O75:AE75" si="170">(N86+6000)*1.00487-(0.000833*(N86+6000))</f>
        <v>1036478.5870663916</v>
      </c>
      <c r="P75">
        <f t="shared" si="170"/>
        <v>1161737.3255222687</v>
      </c>
      <c r="Q75">
        <f t="shared" si="170"/>
        <v>1293200.6595174412</v>
      </c>
      <c r="R75">
        <f t="shared" si="170"/>
        <v>1431175.9289331888</v>
      </c>
      <c r="S75">
        <f t="shared" si="170"/>
        <v>1575985.697496088</v>
      </c>
      <c r="T75">
        <f t="shared" si="170"/>
        <v>1727968.5068795145</v>
      </c>
      <c r="U75">
        <f t="shared" si="170"/>
        <v>1887479.6681589815</v>
      </c>
      <c r="V75">
        <f t="shared" si="170"/>
        <v>2054892.0924716135</v>
      </c>
      <c r="W75">
        <f t="shared" si="170"/>
        <v>2230597.1628217017</v>
      </c>
      <c r="X75">
        <f t="shared" si="170"/>
        <v>2415005.6490704706</v>
      </c>
      <c r="Y75">
        <f t="shared" si="170"/>
        <v>2608548.668249175</v>
      </c>
      <c r="Z75">
        <f t="shared" si="170"/>
        <v>2811678.6924405545</v>
      </c>
      <c r="AA75">
        <f t="shared" si="170"/>
        <v>3024870.6065849354</v>
      </c>
      <c r="AB75">
        <f t="shared" si="170"/>
        <v>3248622.8186839372</v>
      </c>
      <c r="AC75">
        <f t="shared" si="170"/>
        <v>3483458.4249972748</v>
      </c>
      <c r="AD75">
        <f t="shared" si="170"/>
        <v>3729926.4329566876</v>
      </c>
      <c r="AE75">
        <f t="shared" si="170"/>
        <v>3988603.0446559717</v>
      </c>
      <c r="AI75">
        <f t="shared" ref="AI75:AI86" si="171">(AI74+6000)*1.00487-0</f>
        <v>6029.2199999999993</v>
      </c>
      <c r="AJ75">
        <f t="shared" ref="AJ75:BJ75" si="172">(AI86+6000)*1.00487-0</f>
        <v>80711.518216704993</v>
      </c>
      <c r="AK75">
        <f t="shared" si="172"/>
        <v>159877.0699482903</v>
      </c>
      <c r="AL75">
        <f t="shared" si="172"/>
        <v>243795.00941476028</v>
      </c>
      <c r="AM75">
        <f t="shared" si="172"/>
        <v>332750.62723417644</v>
      </c>
      <c r="AN75">
        <f t="shared" si="172"/>
        <v>427046.3403074909</v>
      </c>
      <c r="AO75">
        <f t="shared" si="172"/>
        <v>527002.71992654272</v>
      </c>
      <c r="AP75">
        <f t="shared" si="172"/>
        <v>632959.58160041168</v>
      </c>
      <c r="AQ75">
        <f t="shared" si="172"/>
        <v>745277.14030514401</v>
      </c>
      <c r="AR75">
        <f t="shared" si="172"/>
        <v>864337.23508428351</v>
      </c>
      <c r="AS75">
        <f t="shared" si="172"/>
        <v>990544.62716340285</v>
      </c>
      <c r="AT75">
        <f t="shared" si="172"/>
        <v>1124328.3759917584</v>
      </c>
      <c r="AU75">
        <f t="shared" si="172"/>
        <v>1266143.2978891076</v>
      </c>
      <c r="AV75">
        <f t="shared" si="172"/>
        <v>1416471.5122565671</v>
      </c>
      <c r="AW75">
        <f t="shared" si="172"/>
        <v>1575824.0806080585</v>
      </c>
      <c r="AX75">
        <f t="shared" si="172"/>
        <v>1744742.7439944674</v>
      </c>
      <c r="AY75">
        <f t="shared" si="172"/>
        <v>1923801.7647271184</v>
      </c>
      <c r="AZ75">
        <f t="shared" si="172"/>
        <v>2113609.8786617653</v>
      </c>
      <c r="BA75">
        <f t="shared" si="172"/>
        <v>2314812.3646801575</v>
      </c>
      <c r="BB75">
        <f t="shared" si="172"/>
        <v>2528093.2384046582</v>
      </c>
      <c r="BC75">
        <f t="shared" si="172"/>
        <v>2754177.5776037681</v>
      </c>
      <c r="BD75">
        <f t="shared" si="172"/>
        <v>2993833.9871940808</v>
      </c>
      <c r="BE75">
        <f t="shared" si="172"/>
        <v>3247877.2122187768</v>
      </c>
      <c r="BF75">
        <f t="shared" si="172"/>
        <v>3517170.9076858615</v>
      </c>
      <c r="BG75">
        <f t="shared" si="172"/>
        <v>3802630.5746825668</v>
      </c>
      <c r="BH75">
        <f t="shared" si="172"/>
        <v>4105226.6727476623</v>
      </c>
      <c r="BI75">
        <f t="shared" si="172"/>
        <v>4425987.9190826043</v>
      </c>
      <c r="BJ75">
        <f t="shared" si="172"/>
        <v>4766004.7858176557</v>
      </c>
    </row>
    <row r="76" spans="1:62" x14ac:dyDescent="0.3">
      <c r="D76">
        <f t="shared" si="169"/>
        <v>12061.449768599998</v>
      </c>
      <c r="E76">
        <f>(E75+6000)*1.00487-(0.00146*(E75+6000))</f>
        <v>86180.371911583556</v>
      </c>
      <c r="F76">
        <f>(F75+6000)*1.00487-(0.00146*(F75+6000))</f>
        <v>163389.77481343015</v>
      </c>
      <c r="G76">
        <f>(G75+6000)*1.00487-(0.00146*(G75+6000))</f>
        <v>243818.51991794867</v>
      </c>
      <c r="H76">
        <f t="shared" ref="H76:H86" si="173">(H75+6000)*1.00487-(0.00125*(H75+6000))</f>
        <v>328340.29013209353</v>
      </c>
      <c r="I76">
        <f t="shared" ref="I76:I86" si="174">(I75+6000)*1.00487-(0.00125*(I75+6000))</f>
        <v>416607.67743675335</v>
      </c>
      <c r="J76">
        <f t="shared" ref="J76:N83" si="175">(J75+6000)*1.00487-(0.00104*(J75+6000))</f>
        <v>508998.3520421717</v>
      </c>
      <c r="K76">
        <f t="shared" si="175"/>
        <v>606708.90203167626</v>
      </c>
      <c r="L76">
        <f t="shared" si="175"/>
        <v>709006.04528895055</v>
      </c>
      <c r="M76">
        <f t="shared" si="175"/>
        <v>816105.07932082796</v>
      </c>
      <c r="N76">
        <f t="shared" si="175"/>
        <v>928231.40783142869</v>
      </c>
      <c r="O76">
        <f t="shared" ref="O76:O86" si="176">(O75+6000)*1.00487-(0.000833*(O75+6000))</f>
        <v>1046687.0731223786</v>
      </c>
      <c r="P76">
        <f t="shared" ref="P76:P86" si="177">(P75+6000)*1.00487-(0.000833*(P75+6000))</f>
        <v>1172451.4811054019</v>
      </c>
      <c r="Q76">
        <f t="shared" ref="Q76:Q86" si="178">(Q75+6000)*1.00487-(0.000833*(Q75+6000))</f>
        <v>1304445.532579913</v>
      </c>
      <c r="R76">
        <f t="shared" ref="R76:R86" si="179">(R75+6000)*1.00487-(0.000833*(R75+6000))</f>
        <v>1442977.808158292</v>
      </c>
      <c r="S76">
        <f t="shared" ref="S76:S86" si="180">(S75+6000)*1.00487-(0.000833*(S75+6000))</f>
        <v>1588372.1737568798</v>
      </c>
      <c r="T76">
        <f t="shared" ref="T76:T86" si="181">(T75+6000)*1.00487-(0.000833*(T75+6000))</f>
        <v>1740968.537741787</v>
      </c>
      <c r="U76">
        <f t="shared" ref="U76:U86" si="182">(U75+6000)*1.00487-(0.000833*(U75+6000))</f>
        <v>1901123.645579339</v>
      </c>
      <c r="V76">
        <f t="shared" ref="V76:V86" si="183">(V75+6000)*1.00487-(0.000833*(V75+6000))</f>
        <v>2069211.9138489214</v>
      </c>
      <c r="W76">
        <f t="shared" ref="W76:W86" si="184">(W75+6000)*1.00487-(0.000833*(W75+6000))</f>
        <v>2245626.3055680129</v>
      </c>
      <c r="X76">
        <f t="shared" ref="X76:X86" si="185">(X75+6000)*1.00487-(0.000833*(X75+6000))</f>
        <v>2430779.2488757679</v>
      </c>
      <c r="Y76">
        <f t="shared" ref="Y76:Y86" si="186">(Y75+6000)*1.00487-(0.000833*(Y75+6000))</f>
        <v>2625103.6012228969</v>
      </c>
      <c r="Z76">
        <f t="shared" ref="Z76:Z86" si="187">(Z75+6000)*1.00487-(0.000833*(Z75+6000))</f>
        <v>2829053.6613219371</v>
      </c>
      <c r="AA76">
        <f t="shared" ref="AA76:AA86" si="188">(AA75+6000)*1.00487-(0.000833*(AA75+6000))</f>
        <v>3043106.2312237187</v>
      </c>
      <c r="AB76">
        <f t="shared" ref="AB76:AB86" si="189">(AB75+6000)*1.00487-(0.000833*(AB75+6000))</f>
        <v>3267761.7310029641</v>
      </c>
      <c r="AC76">
        <f t="shared" ref="AC76:AC86" si="190">(AC75+6000)*1.00487-(0.000833*(AC75+6000))</f>
        <v>3503545.3686589883</v>
      </c>
      <c r="AD76">
        <f t="shared" ref="AD76:AD86" si="191">(AD75+6000)*1.00487-(0.000833*(AD75+6000))</f>
        <v>3751008.3679665336</v>
      </c>
      <c r="AE76">
        <f t="shared" ref="AE76:AE86" si="192">(AE75+6000)*1.00487-(0.000833*(AE75+6000))</f>
        <v>4010729.2571472479</v>
      </c>
      <c r="AI76">
        <f t="shared" si="171"/>
        <v>12087.802301399999</v>
      </c>
      <c r="AJ76">
        <f t="shared" ref="AJ76:AJ86" si="193">(AJ75+6000)*1.00487-0</f>
        <v>87133.803310420335</v>
      </c>
      <c r="AK76">
        <f t="shared" ref="AK76:AK86" si="194">(AK75+6000)*1.00487-0</f>
        <v>166684.89127893845</v>
      </c>
      <c r="AL76">
        <f t="shared" ref="AL76:AL86" si="195">(AL75+6000)*1.00487-0</f>
        <v>251011.51111061015</v>
      </c>
      <c r="AM76">
        <f t="shared" ref="AM76:AM86" si="196">(AM75+6000)*1.00487-0</f>
        <v>340400.34278880688</v>
      </c>
      <c r="AN76">
        <f t="shared" ref="AN76:AN86" si="197">(AN75+6000)*1.00487-0</f>
        <v>435155.27598478837</v>
      </c>
      <c r="AO76">
        <f t="shared" ref="AO76:AO86" si="198">(AO75+6000)*1.00487-0</f>
        <v>535598.44317258499</v>
      </c>
      <c r="AP76">
        <f t="shared" ref="AP76:AP86" si="199">(AP75+6000)*1.00487-0</f>
        <v>642071.31476280559</v>
      </c>
      <c r="AQ76">
        <f t="shared" ref="AQ76:AQ86" si="200">(AQ75+6000)*1.00487-0</f>
        <v>754935.85997842997</v>
      </c>
      <c r="AR76">
        <f t="shared" ref="AR76:AR86" si="201">(AR75+6000)*1.00487-0</f>
        <v>874575.77741914394</v>
      </c>
      <c r="AS76">
        <f t="shared" ref="AS76:AS86" si="202">(AS75+6000)*1.00487-0</f>
        <v>1001397.7994976885</v>
      </c>
      <c r="AT76">
        <f t="shared" ref="AT76:AT86" si="203">(AT75+6000)*1.00487-0</f>
        <v>1135833.0751828381</v>
      </c>
      <c r="AU76">
        <f t="shared" ref="AU76:AU86" si="204">(AU75+6000)*1.00487-0</f>
        <v>1278338.6357498274</v>
      </c>
      <c r="AV76">
        <f t="shared" ref="AV76:AV86" si="205">(AV75+6000)*1.00487-0</f>
        <v>1429398.9485212564</v>
      </c>
      <c r="AW76">
        <f t="shared" ref="AW76:AW86" si="206">(AW75+6000)*1.00487-0</f>
        <v>1589527.5638806196</v>
      </c>
      <c r="AX76">
        <f t="shared" ref="AX76:AX86" si="207">(AX75+6000)*1.00487-0</f>
        <v>1759268.8611577204</v>
      </c>
      <c r="AY76">
        <f t="shared" ref="AY76:AY86" si="208">(AY75+6000)*1.00487-0</f>
        <v>1939199.8993213393</v>
      </c>
      <c r="AZ76">
        <f t="shared" ref="AZ76:AZ86" si="209">(AZ75+6000)*1.00487-0</f>
        <v>2129932.3787708478</v>
      </c>
      <c r="BA76">
        <f t="shared" ref="BA76:BA86" si="210">(BA75+6000)*1.00487-0</f>
        <v>2332114.7208961495</v>
      </c>
      <c r="BB76">
        <f t="shared" ref="BB76:BB86" si="211">(BB75+6000)*1.00487-0</f>
        <v>2546434.2724756887</v>
      </c>
      <c r="BC76">
        <f t="shared" ref="BC76:BC86" si="212">(BC75+6000)*1.00487-0</f>
        <v>2773619.6424066983</v>
      </c>
      <c r="BD76">
        <f t="shared" ref="BD76:BD86" si="213">(BD75+6000)*1.00487-0</f>
        <v>3014443.1787117156</v>
      </c>
      <c r="BE76">
        <f t="shared" ref="BE76:BE86" si="214">(BE75+6000)*1.00487-0</f>
        <v>3269723.5942422822</v>
      </c>
      <c r="BF76">
        <f t="shared" ref="BF76:BF86" si="215">(BF75+6000)*1.00487-0</f>
        <v>3540328.7500062915</v>
      </c>
      <c r="BG76">
        <f t="shared" ref="BG76:BG86" si="216">(BG75+6000)*1.00487-0</f>
        <v>3827178.6055812705</v>
      </c>
      <c r="BH76">
        <f t="shared" ref="BH76:BH86" si="217">(BH75+6000)*1.00487-0</f>
        <v>4131248.3466439433</v>
      </c>
      <c r="BI76">
        <f t="shared" ref="BI76:BI86" si="218">(BI75+6000)*1.00487-0</f>
        <v>4453571.7002485367</v>
      </c>
      <c r="BJ76">
        <f t="shared" ref="BJ76:BJ86" si="219">(BJ75+6000)*1.00487-0</f>
        <v>4795244.4491245877</v>
      </c>
    </row>
    <row r="77" spans="1:62" x14ac:dyDescent="0.3">
      <c r="A77">
        <f>0.0175/12</f>
        <v>1.4583333333333334E-3</v>
      </c>
      <c r="B77">
        <v>1.75</v>
      </c>
      <c r="D77">
        <f t="shared" si="169"/>
        <v>18123.039312310921</v>
      </c>
      <c r="E77">
        <f t="shared" ref="E77:E86" si="220">(E76+6000)*1.00487-(0.00146*(E76+6000))</f>
        <v>92494.706979802053</v>
      </c>
      <c r="F77">
        <f t="shared" ref="F77:F86" si="221">(F76+6000)*1.00487-(0.00146*(F76+6000))</f>
        <v>169967.39394554394</v>
      </c>
      <c r="G77">
        <f t="shared" ref="G77:G86" si="222">(G76+6000)*1.00487-(0.00125*(G76+6000))</f>
        <v>250722.86296005163</v>
      </c>
      <c r="H77">
        <f t="shared" si="173"/>
        <v>335550.60198237171</v>
      </c>
      <c r="I77">
        <f t="shared" si="174"/>
        <v>424137.51722907438</v>
      </c>
      <c r="J77">
        <f t="shared" si="175"/>
        <v>516970.79573049321</v>
      </c>
      <c r="K77">
        <f t="shared" si="175"/>
        <v>615055.57712645747</v>
      </c>
      <c r="L77">
        <f t="shared" si="175"/>
        <v>717744.51844240725</v>
      </c>
      <c r="M77">
        <f t="shared" si="175"/>
        <v>825253.74177462666</v>
      </c>
      <c r="N77">
        <f t="shared" si="175"/>
        <v>937809.51412342291</v>
      </c>
      <c r="O77">
        <f t="shared" si="176"/>
        <v>1056936.7708365736</v>
      </c>
      <c r="P77">
        <f t="shared" si="177"/>
        <v>1183208.8897346244</v>
      </c>
      <c r="Q77">
        <f t="shared" si="178"/>
        <v>1315735.8011949381</v>
      </c>
      <c r="R77">
        <f t="shared" si="179"/>
        <v>1454827.3315698269</v>
      </c>
      <c r="S77">
        <f t="shared" si="180"/>
        <v>1600808.6542223361</v>
      </c>
      <c r="T77">
        <f t="shared" si="181"/>
        <v>1754021.0497286506</v>
      </c>
      <c r="U77">
        <f t="shared" si="182"/>
        <v>1914822.7037365425</v>
      </c>
      <c r="V77">
        <f t="shared" si="183"/>
        <v>2083589.5443451293</v>
      </c>
      <c r="W77">
        <f t="shared" si="184"/>
        <v>2260716.1209635912</v>
      </c>
      <c r="X77">
        <f t="shared" si="185"/>
        <v>2446616.5267034792</v>
      </c>
      <c r="Y77">
        <f t="shared" si="186"/>
        <v>2641725.3664610335</v>
      </c>
      <c r="Z77">
        <f t="shared" si="187"/>
        <v>2846498.7729526935</v>
      </c>
      <c r="AA77">
        <f t="shared" si="188"/>
        <v>3061415.4730791687</v>
      </c>
      <c r="AB77">
        <f t="shared" si="189"/>
        <v>3286977.9071110231</v>
      </c>
      <c r="AC77">
        <f t="shared" si="190"/>
        <v>3523713.4033122645</v>
      </c>
      <c r="AD77">
        <f t="shared" si="191"/>
        <v>3772175.4107480142</v>
      </c>
      <c r="AE77">
        <f t="shared" si="192"/>
        <v>4032944.793158351</v>
      </c>
      <c r="AI77">
        <f t="shared" si="171"/>
        <v>18175.889898607817</v>
      </c>
      <c r="AJ77">
        <f t="shared" si="193"/>
        <v>93587.36493254207</v>
      </c>
      <c r="AK77">
        <f t="shared" si="194"/>
        <v>173525.86669946686</v>
      </c>
      <c r="AL77">
        <f t="shared" si="195"/>
        <v>258263.15716971882</v>
      </c>
      <c r="AM77">
        <f t="shared" si="196"/>
        <v>348087.31245818833</v>
      </c>
      <c r="AN77">
        <f t="shared" si="197"/>
        <v>443303.70217883424</v>
      </c>
      <c r="AO77">
        <f t="shared" si="198"/>
        <v>544236.02759083547</v>
      </c>
      <c r="AP77">
        <f t="shared" si="199"/>
        <v>651227.4220657004</v>
      </c>
      <c r="AQ77">
        <f t="shared" si="200"/>
        <v>764641.61761652492</v>
      </c>
      <c r="AR77">
        <f t="shared" si="201"/>
        <v>884864.18145517516</v>
      </c>
      <c r="AS77">
        <f t="shared" si="202"/>
        <v>1012303.8267812422</v>
      </c>
      <c r="AT77">
        <f t="shared" si="203"/>
        <v>1147393.8022589784</v>
      </c>
      <c r="AU77">
        <f t="shared" si="204"/>
        <v>1290593.364905929</v>
      </c>
      <c r="AV77">
        <f t="shared" si="205"/>
        <v>1442389.3414005549</v>
      </c>
      <c r="AW77">
        <f t="shared" si="206"/>
        <v>1603297.7831167181</v>
      </c>
      <c r="AX77">
        <f t="shared" si="207"/>
        <v>1773865.7205115585</v>
      </c>
      <c r="AY77">
        <f t="shared" si="208"/>
        <v>1954673.0228310341</v>
      </c>
      <c r="AZ77">
        <f t="shared" si="209"/>
        <v>2146334.3694554619</v>
      </c>
      <c r="BA77">
        <f t="shared" si="210"/>
        <v>2349501.3395869136</v>
      </c>
      <c r="BB77">
        <f t="shared" si="211"/>
        <v>2564864.6273826449</v>
      </c>
      <c r="BC77">
        <f t="shared" si="212"/>
        <v>2793156.3900652188</v>
      </c>
      <c r="BD77">
        <f t="shared" si="213"/>
        <v>3035152.7369920416</v>
      </c>
      <c r="BE77">
        <f t="shared" si="214"/>
        <v>3291676.3681462421</v>
      </c>
      <c r="BF77">
        <f t="shared" si="215"/>
        <v>3563599.3710188218</v>
      </c>
      <c r="BG77">
        <f t="shared" si="216"/>
        <v>3851846.185390451</v>
      </c>
      <c r="BH77">
        <f t="shared" si="217"/>
        <v>4157396.7460920992</v>
      </c>
      <c r="BI77">
        <f t="shared" si="218"/>
        <v>4481289.8144287467</v>
      </c>
      <c r="BJ77">
        <f t="shared" si="219"/>
        <v>4824626.5095918244</v>
      </c>
    </row>
    <row r="78" spans="1:62" x14ac:dyDescent="0.3">
      <c r="A78">
        <f>0.015/12</f>
        <v>1.25E-3</v>
      </c>
      <c r="B78">
        <v>1.5</v>
      </c>
      <c r="D78">
        <f t="shared" si="169"/>
        <v>24205.298876365898</v>
      </c>
      <c r="E78">
        <f t="shared" si="220"/>
        <v>98830.573930603161</v>
      </c>
      <c r="F78">
        <f t="shared" si="221"/>
        <v>176567.44275889822</v>
      </c>
      <c r="G78">
        <f t="shared" si="222"/>
        <v>257652.199723967</v>
      </c>
      <c r="H78">
        <f t="shared" si="173"/>
        <v>342787.01516154787</v>
      </c>
      <c r="I78">
        <f t="shared" si="174"/>
        <v>431694.61504144355</v>
      </c>
      <c r="J78">
        <f t="shared" si="175"/>
        <v>524973.77387814096</v>
      </c>
      <c r="K78">
        <f t="shared" si="175"/>
        <v>623434.21998685168</v>
      </c>
      <c r="L78">
        <f t="shared" si="175"/>
        <v>726516.45994804171</v>
      </c>
      <c r="M78">
        <f t="shared" si="175"/>
        <v>834437.44360562344</v>
      </c>
      <c r="N78">
        <f t="shared" si="175"/>
        <v>947424.30456251546</v>
      </c>
      <c r="O78">
        <f t="shared" si="176"/>
        <v>1067227.8465804409</v>
      </c>
      <c r="P78">
        <f t="shared" si="177"/>
        <v>1194009.7260224831</v>
      </c>
      <c r="Q78">
        <f t="shared" si="178"/>
        <v>1327071.6486243622</v>
      </c>
      <c r="R78">
        <f t="shared" si="179"/>
        <v>1466724.6915073742</v>
      </c>
      <c r="S78">
        <f t="shared" si="180"/>
        <v>1613295.3407594315</v>
      </c>
      <c r="T78">
        <f t="shared" si="181"/>
        <v>1767126.2547064051</v>
      </c>
      <c r="U78">
        <f t="shared" si="182"/>
        <v>1928577.0649915268</v>
      </c>
      <c r="V78">
        <f t="shared" si="183"/>
        <v>2098025.2173356507</v>
      </c>
      <c r="W78">
        <f t="shared" si="184"/>
        <v>2275866.8539439212</v>
      </c>
      <c r="X78">
        <f t="shared" si="185"/>
        <v>2462517.7396217813</v>
      </c>
      <c r="Y78">
        <f t="shared" si="186"/>
        <v>2658414.2337654363</v>
      </c>
      <c r="Z78">
        <f t="shared" si="187"/>
        <v>2864014.3104991033</v>
      </c>
      <c r="AA78">
        <f t="shared" si="188"/>
        <v>3079798.6293439888</v>
      </c>
      <c r="AB78">
        <f t="shared" si="189"/>
        <v>3306271.6589220297</v>
      </c>
      <c r="AC78">
        <f t="shared" si="190"/>
        <v>3543962.8563214359</v>
      </c>
      <c r="AD78">
        <f t="shared" si="191"/>
        <v>3793427.9048812035</v>
      </c>
      <c r="AE78">
        <f t="shared" si="192"/>
        <v>4055250.0132883308</v>
      </c>
      <c r="AI78">
        <f t="shared" si="171"/>
        <v>24293.626482414034</v>
      </c>
      <c r="AJ78">
        <f t="shared" si="193"/>
        <v>100072.35539976355</v>
      </c>
      <c r="AK78">
        <f t="shared" si="194"/>
        <v>180400.15767029327</v>
      </c>
      <c r="AL78">
        <f t="shared" si="195"/>
        <v>265550.11874513532</v>
      </c>
      <c r="AM78">
        <f t="shared" si="196"/>
        <v>355811.7176698597</v>
      </c>
      <c r="AN78">
        <f t="shared" si="197"/>
        <v>451491.81120844511</v>
      </c>
      <c r="AO78">
        <f t="shared" si="198"/>
        <v>552915.67704520281</v>
      </c>
      <c r="AP78">
        <f t="shared" si="199"/>
        <v>660428.11961116036</v>
      </c>
      <c r="AQ78">
        <f t="shared" si="200"/>
        <v>774394.64229431737</v>
      </c>
      <c r="AR78">
        <f t="shared" si="201"/>
        <v>895202.69001886179</v>
      </c>
      <c r="AS78">
        <f t="shared" si="202"/>
        <v>1023262.9664176668</v>
      </c>
      <c r="AT78">
        <f t="shared" si="203"/>
        <v>1159010.8300759795</v>
      </c>
      <c r="AU78">
        <f t="shared" si="204"/>
        <v>1302907.7745930208</v>
      </c>
      <c r="AV78">
        <f t="shared" si="205"/>
        <v>1455442.9974931756</v>
      </c>
      <c r="AW78">
        <f t="shared" si="206"/>
        <v>1617135.0633204964</v>
      </c>
      <c r="AX78">
        <f t="shared" si="207"/>
        <v>1788533.6665704497</v>
      </c>
      <c r="AY78">
        <f t="shared" si="208"/>
        <v>1970221.5004522211</v>
      </c>
      <c r="AZ78">
        <f t="shared" si="209"/>
        <v>2162816.2378347097</v>
      </c>
      <c r="BA78">
        <f t="shared" si="210"/>
        <v>2366972.6311107017</v>
      </c>
      <c r="BB78">
        <f t="shared" si="211"/>
        <v>2583384.738117998</v>
      </c>
      <c r="BC78">
        <f t="shared" si="212"/>
        <v>2812788.2816848364</v>
      </c>
      <c r="BD78">
        <f t="shared" si="213"/>
        <v>3055963.1508211927</v>
      </c>
      <c r="BE78">
        <f t="shared" si="214"/>
        <v>3313736.052059114</v>
      </c>
      <c r="BF78">
        <f t="shared" si="215"/>
        <v>3586983.3199556833</v>
      </c>
      <c r="BG78">
        <f t="shared" si="216"/>
        <v>3876633.8963133022</v>
      </c>
      <c r="BH78">
        <f t="shared" si="217"/>
        <v>4183672.4882455673</v>
      </c>
      <c r="BI78">
        <f t="shared" si="218"/>
        <v>4509142.915825014</v>
      </c>
      <c r="BJ78">
        <f t="shared" si="219"/>
        <v>4854151.6606935365</v>
      </c>
    </row>
    <row r="79" spans="1:62" x14ac:dyDescent="0.3">
      <c r="A79">
        <f>0.0125/12</f>
        <v>1.0416666666666667E-3</v>
      </c>
      <c r="B79">
        <v>1.25</v>
      </c>
      <c r="D79">
        <f t="shared" si="169"/>
        <v>30308.298945534305</v>
      </c>
      <c r="E79">
        <f t="shared" si="220"/>
        <v>105188.04618770651</v>
      </c>
      <c r="F79">
        <f t="shared" si="221"/>
        <v>183189.99773870606</v>
      </c>
      <c r="G79">
        <f t="shared" si="222"/>
        <v>264606.6206869678</v>
      </c>
      <c r="H79">
        <f t="shared" si="173"/>
        <v>350049.62415643263</v>
      </c>
      <c r="I79">
        <f t="shared" si="174"/>
        <v>439279.06954789354</v>
      </c>
      <c r="J79">
        <f t="shared" si="175"/>
        <v>533007.40343209414</v>
      </c>
      <c r="K79">
        <f t="shared" si="175"/>
        <v>631844.95304940129</v>
      </c>
      <c r="L79">
        <f t="shared" si="175"/>
        <v>735321.99798964267</v>
      </c>
      <c r="M79">
        <f t="shared" si="175"/>
        <v>843656.31901463284</v>
      </c>
      <c r="N79">
        <f t="shared" si="175"/>
        <v>957075.9196489898</v>
      </c>
      <c r="O79">
        <f t="shared" si="176"/>
        <v>1077560.4673970861</v>
      </c>
      <c r="P79">
        <f t="shared" si="177"/>
        <v>1204854.1652864357</v>
      </c>
      <c r="Q79">
        <f t="shared" si="178"/>
        <v>1338453.2588698587</v>
      </c>
      <c r="R79">
        <f t="shared" si="179"/>
        <v>1478670.0810869893</v>
      </c>
      <c r="S79">
        <f t="shared" si="180"/>
        <v>1625832.4360500772</v>
      </c>
      <c r="T79">
        <f t="shared" si="181"/>
        <v>1780284.3653966547</v>
      </c>
      <c r="U79">
        <f t="shared" si="182"/>
        <v>1942386.9526028975</v>
      </c>
      <c r="V79">
        <f t="shared" si="183"/>
        <v>2112519.1671380345</v>
      </c>
      <c r="W79">
        <f t="shared" si="184"/>
        <v>2291078.7504332927</v>
      </c>
      <c r="X79">
        <f t="shared" si="185"/>
        <v>2478483.1457366338</v>
      </c>
      <c r="Y79">
        <f t="shared" si="186"/>
        <v>2675170.4740271471</v>
      </c>
      <c r="Z79">
        <f t="shared" si="187"/>
        <v>2881600.5582705881</v>
      </c>
      <c r="AA79">
        <f t="shared" si="188"/>
        <v>3098255.9984106505</v>
      </c>
      <c r="AB79">
        <f t="shared" si="189"/>
        <v>3325643.2996090977</v>
      </c>
      <c r="AC79">
        <f t="shared" si="190"/>
        <v>3564294.056372405</v>
      </c>
      <c r="AD79">
        <f t="shared" si="191"/>
        <v>3814766.1953332089</v>
      </c>
      <c r="AE79">
        <f t="shared" si="192"/>
        <v>4077645.2795919757</v>
      </c>
      <c r="AI79">
        <f t="shared" si="171"/>
        <v>30441.156443383388</v>
      </c>
      <c r="AJ79">
        <f t="shared" si="193"/>
        <v>106588.92777056039</v>
      </c>
      <c r="AK79">
        <f t="shared" si="194"/>
        <v>187307.92643814758</v>
      </c>
      <c r="AL79">
        <f t="shared" si="195"/>
        <v>272872.56782342412</v>
      </c>
      <c r="AM79">
        <f t="shared" si="196"/>
        <v>363573.74073491187</v>
      </c>
      <c r="AN79">
        <f t="shared" si="197"/>
        <v>459719.79632903019</v>
      </c>
      <c r="AO79">
        <f t="shared" si="198"/>
        <v>561637.5963924129</v>
      </c>
      <c r="AP79">
        <f t="shared" si="199"/>
        <v>669673.62455366668</v>
      </c>
      <c r="AQ79">
        <f t="shared" si="200"/>
        <v>784195.16420229059</v>
      </c>
      <c r="AR79">
        <f t="shared" si="201"/>
        <v>905591.54711925355</v>
      </c>
      <c r="AS79">
        <f t="shared" si="202"/>
        <v>1034275.4770641207</v>
      </c>
      <c r="AT79">
        <f t="shared" si="203"/>
        <v>1170684.4328184493</v>
      </c>
      <c r="AU79">
        <f t="shared" si="204"/>
        <v>1315282.1554552887</v>
      </c>
      <c r="AV79">
        <f t="shared" si="205"/>
        <v>1468560.2248909671</v>
      </c>
      <c r="AW79">
        <f t="shared" si="206"/>
        <v>1631039.7310788671</v>
      </c>
      <c r="AX79">
        <f t="shared" si="207"/>
        <v>1803273.0455266477</v>
      </c>
      <c r="AY79">
        <f t="shared" si="208"/>
        <v>1985845.6991594234</v>
      </c>
      <c r="AZ79">
        <f t="shared" si="209"/>
        <v>2179378.3729129648</v>
      </c>
      <c r="BA79">
        <f t="shared" si="210"/>
        <v>2384529.0078242105</v>
      </c>
      <c r="BB79">
        <f t="shared" si="211"/>
        <v>2601995.0417926325</v>
      </c>
      <c r="BC79">
        <f t="shared" si="212"/>
        <v>2832515.7806166415</v>
      </c>
      <c r="BD79">
        <f t="shared" si="213"/>
        <v>3076874.9113656916</v>
      </c>
      <c r="BE79">
        <f t="shared" si="214"/>
        <v>3335903.1666326416</v>
      </c>
      <c r="BF79">
        <f t="shared" si="215"/>
        <v>3610481.1487238673</v>
      </c>
      <c r="BG79">
        <f t="shared" si="216"/>
        <v>3901542.3233883479</v>
      </c>
      <c r="BH79">
        <f t="shared" si="217"/>
        <v>4210076.193263323</v>
      </c>
      <c r="BI79">
        <f t="shared" si="218"/>
        <v>4537131.6618250813</v>
      </c>
      <c r="BJ79">
        <f t="shared" si="219"/>
        <v>4883820.5992811136</v>
      </c>
    </row>
    <row r="80" spans="1:62" x14ac:dyDescent="0.3">
      <c r="A80">
        <f>0.01/12</f>
        <v>8.3333333333333339E-4</v>
      </c>
      <c r="B80">
        <v>1</v>
      </c>
      <c r="D80">
        <f t="shared" si="169"/>
        <v>36432.110244938573</v>
      </c>
      <c r="E80">
        <f t="shared" si="220"/>
        <v>111567.19742520658</v>
      </c>
      <c r="F80">
        <f t="shared" si="221"/>
        <v>189835.13563099504</v>
      </c>
      <c r="G80">
        <f t="shared" si="222"/>
        <v>271586.21665385459</v>
      </c>
      <c r="H80">
        <f t="shared" si="173"/>
        <v>357338.52379587886</v>
      </c>
      <c r="I80">
        <f t="shared" si="174"/>
        <v>446890.97977965686</v>
      </c>
      <c r="J80">
        <f t="shared" si="175"/>
        <v>541071.80178723903</v>
      </c>
      <c r="K80">
        <f t="shared" si="175"/>
        <v>640287.89921958046</v>
      </c>
      <c r="L80">
        <f t="shared" si="175"/>
        <v>744161.26124194299</v>
      </c>
      <c r="M80">
        <f t="shared" si="175"/>
        <v>852910.50271645875</v>
      </c>
      <c r="N80">
        <f t="shared" si="175"/>
        <v>966764.50042124535</v>
      </c>
      <c r="O80">
        <f t="shared" si="176"/>
        <v>1087934.8010039679</v>
      </c>
      <c r="P80">
        <f t="shared" si="177"/>
        <v>1215742.383551697</v>
      </c>
      <c r="Q80">
        <f t="shared" si="178"/>
        <v>1349880.8166759163</v>
      </c>
      <c r="R80">
        <f t="shared" si="179"/>
        <v>1490663.6942043374</v>
      </c>
      <c r="S80">
        <f t="shared" si="180"/>
        <v>1638420.1435944114</v>
      </c>
      <c r="T80">
        <f t="shared" si="181"/>
        <v>1793495.595379761</v>
      </c>
      <c r="U80">
        <f t="shared" si="182"/>
        <v>1956252.5907305551</v>
      </c>
      <c r="V80">
        <f t="shared" si="183"/>
        <v>2127071.6290157707</v>
      </c>
      <c r="W80">
        <f t="shared" si="184"/>
        <v>2306352.0573487915</v>
      </c>
      <c r="X80">
        <f t="shared" si="185"/>
        <v>2494513.0041959728</v>
      </c>
      <c r="Y80">
        <f t="shared" si="186"/>
        <v>2691994.3592307945</v>
      </c>
      <c r="Z80">
        <f t="shared" si="187"/>
        <v>2899257.8017243263</v>
      </c>
      <c r="AA80">
        <f t="shared" si="188"/>
        <v>3116787.8798762341</v>
      </c>
      <c r="AB80">
        <f t="shared" si="189"/>
        <v>3345093.1436096197</v>
      </c>
      <c r="AC80">
        <f t="shared" si="190"/>
        <v>3584707.3334779805</v>
      </c>
      <c r="AD80">
        <f t="shared" si="191"/>
        <v>3836190.6284637684</v>
      </c>
      <c r="AE80">
        <f t="shared" si="192"/>
        <v>4100130.9555856884</v>
      </c>
      <c r="AI80">
        <f t="shared" si="171"/>
        <v>36618.624875262656</v>
      </c>
      <c r="AJ80">
        <f t="shared" si="193"/>
        <v>113137.23584880301</v>
      </c>
      <c r="AK80">
        <f t="shared" si="194"/>
        <v>194249.33603990133</v>
      </c>
      <c r="AL80">
        <f t="shared" si="195"/>
        <v>280230.67722872418</v>
      </c>
      <c r="AM80">
        <f t="shared" si="196"/>
        <v>371373.56485229085</v>
      </c>
      <c r="AN80">
        <f t="shared" si="197"/>
        <v>467987.85173715255</v>
      </c>
      <c r="AO80">
        <f t="shared" si="198"/>
        <v>570401.99148684391</v>
      </c>
      <c r="AP80">
        <f t="shared" si="199"/>
        <v>678964.15510524297</v>
      </c>
      <c r="AQ80">
        <f t="shared" si="200"/>
        <v>794043.41465195571</v>
      </c>
      <c r="AR80">
        <f t="shared" si="201"/>
        <v>916030.99795372423</v>
      </c>
      <c r="AS80">
        <f t="shared" si="202"/>
        <v>1045341.6186374229</v>
      </c>
      <c r="AT80">
        <f t="shared" si="203"/>
        <v>1182414.8860062752</v>
      </c>
      <c r="AU80">
        <f t="shared" si="204"/>
        <v>1327716.7995523559</v>
      </c>
      <c r="AV80">
        <f t="shared" si="205"/>
        <v>1481741.3331861862</v>
      </c>
      <c r="AW80">
        <f t="shared" si="206"/>
        <v>1645012.1145692212</v>
      </c>
      <c r="AX80">
        <f t="shared" si="207"/>
        <v>1818084.2052583625</v>
      </c>
      <c r="AY80">
        <f t="shared" si="208"/>
        <v>2001545.9877143295</v>
      </c>
      <c r="AZ80">
        <f t="shared" si="209"/>
        <v>2196021.1655890509</v>
      </c>
      <c r="BA80">
        <f t="shared" si="210"/>
        <v>2402170.8840923142</v>
      </c>
      <c r="BB80">
        <f t="shared" si="211"/>
        <v>2620695.9776461623</v>
      </c>
      <c r="BC80">
        <f t="shared" si="212"/>
        <v>2852339.3524682443</v>
      </c>
      <c r="BD80">
        <f t="shared" si="213"/>
        <v>3097888.5121840425</v>
      </c>
      <c r="BE80">
        <f t="shared" si="214"/>
        <v>3358178.2350541423</v>
      </c>
      <c r="BF80">
        <f t="shared" si="215"/>
        <v>3634093.4119181521</v>
      </c>
      <c r="BG80">
        <f t="shared" si="216"/>
        <v>3926572.054503249</v>
      </c>
      <c r="BH80">
        <f t="shared" si="217"/>
        <v>4236608.4843245149</v>
      </c>
      <c r="BI80">
        <f t="shared" si="218"/>
        <v>4565256.7130181696</v>
      </c>
      <c r="BJ80">
        <f t="shared" si="219"/>
        <v>4913634.0255996119</v>
      </c>
    </row>
    <row r="81" spans="1:62" x14ac:dyDescent="0.3">
      <c r="D81">
        <f t="shared" si="169"/>
        <v>42576.803740873816</v>
      </c>
      <c r="E81">
        <f t="shared" si="220"/>
        <v>117968.10156842653</v>
      </c>
      <c r="F81">
        <f t="shared" si="221"/>
        <v>196502.93344349673</v>
      </c>
      <c r="G81">
        <f t="shared" si="222"/>
        <v>278591.07875814155</v>
      </c>
      <c r="H81">
        <f t="shared" si="173"/>
        <v>364653.80925201991</v>
      </c>
      <c r="I81">
        <f t="shared" si="174"/>
        <v>454530.44512645918</v>
      </c>
      <c r="J81">
        <f t="shared" si="175"/>
        <v>549167.08678808413</v>
      </c>
      <c r="K81">
        <f t="shared" si="175"/>
        <v>648763.18187359138</v>
      </c>
      <c r="L81">
        <f t="shared" si="175"/>
        <v>753034.37887249957</v>
      </c>
      <c r="M81">
        <f t="shared" si="175"/>
        <v>862200.12994186266</v>
      </c>
      <c r="N81">
        <f t="shared" si="175"/>
        <v>976490.18845785863</v>
      </c>
      <c r="O81">
        <f t="shared" si="176"/>
        <v>1098351.0157956206</v>
      </c>
      <c r="P81">
        <f t="shared" si="177"/>
        <v>1226674.5575540951</v>
      </c>
      <c r="Q81">
        <f t="shared" si="178"/>
        <v>1361354.5075328369</v>
      </c>
      <c r="R81">
        <f t="shared" si="179"/>
        <v>1502705.7255378403</v>
      </c>
      <c r="S81">
        <f t="shared" si="180"/>
        <v>1651058.667714102</v>
      </c>
      <c r="T81">
        <f t="shared" si="181"/>
        <v>1806760.1590983088</v>
      </c>
      <c r="U81">
        <f t="shared" si="182"/>
        <v>1970174.2044393341</v>
      </c>
      <c r="V81">
        <f t="shared" si="183"/>
        <v>2141682.8391821072</v>
      </c>
      <c r="W81">
        <f t="shared" si="184"/>
        <v>2321687.0226043081</v>
      </c>
      <c r="X81">
        <f t="shared" si="185"/>
        <v>2510607.5751939118</v>
      </c>
      <c r="Y81">
        <f t="shared" si="186"/>
        <v>2708886.1624590093</v>
      </c>
      <c r="Z81">
        <f t="shared" si="187"/>
        <v>2916986.3274698872</v>
      </c>
      <c r="AA81">
        <f t="shared" si="188"/>
        <v>3135394.5745472945</v>
      </c>
      <c r="AB81">
        <f t="shared" si="189"/>
        <v>3364621.5066303713</v>
      </c>
      <c r="AC81">
        <f t="shared" si="190"/>
        <v>3605203.0189832309</v>
      </c>
      <c r="AD81">
        <f t="shared" si="191"/>
        <v>3857701.5520308763</v>
      </c>
      <c r="AE81">
        <f t="shared" si="192"/>
        <v>4122707.4062533872</v>
      </c>
      <c r="AI81">
        <f t="shared" si="171"/>
        <v>42826.177578405179</v>
      </c>
      <c r="AJ81">
        <f t="shared" si="193"/>
        <v>119717.43418738668</v>
      </c>
      <c r="AK81">
        <f t="shared" si="194"/>
        <v>201224.55030641565</v>
      </c>
      <c r="AL81">
        <f t="shared" si="195"/>
        <v>287624.62062682805</v>
      </c>
      <c r="AM81">
        <f t="shared" si="196"/>
        <v>379211.37411312148</v>
      </c>
      <c r="AN81">
        <f t="shared" si="197"/>
        <v>476296.17257511243</v>
      </c>
      <c r="AO81">
        <f t="shared" si="198"/>
        <v>579209.06918538478</v>
      </c>
      <c r="AP81">
        <f t="shared" si="199"/>
        <v>688299.93054060545</v>
      </c>
      <c r="AQ81">
        <f t="shared" si="200"/>
        <v>803939.62608131068</v>
      </c>
      <c r="AR81">
        <f t="shared" si="201"/>
        <v>926521.28891375882</v>
      </c>
      <c r="AS81">
        <f t="shared" si="202"/>
        <v>1056461.6523201873</v>
      </c>
      <c r="AT81">
        <f t="shared" si="203"/>
        <v>1194202.4665011256</v>
      </c>
      <c r="AU81">
        <f t="shared" si="204"/>
        <v>1340212.0003661758</v>
      </c>
      <c r="AV81">
        <f t="shared" si="205"/>
        <v>1494986.6334788029</v>
      </c>
      <c r="AW81">
        <f t="shared" si="206"/>
        <v>1659052.5435671732</v>
      </c>
      <c r="AX81">
        <f t="shared" si="207"/>
        <v>1832967.4953379706</v>
      </c>
      <c r="AY81">
        <f t="shared" si="208"/>
        <v>2017322.7366744981</v>
      </c>
      <c r="AZ81">
        <f t="shared" si="209"/>
        <v>2212745.0086654695</v>
      </c>
      <c r="BA81">
        <f t="shared" si="210"/>
        <v>2419898.6762978435</v>
      </c>
      <c r="BB81">
        <f t="shared" si="211"/>
        <v>2639487.9870572989</v>
      </c>
      <c r="BC81">
        <f t="shared" si="212"/>
        <v>2872259.4651147644</v>
      </c>
      <c r="BD81">
        <f t="shared" si="213"/>
        <v>3119004.4492383786</v>
      </c>
      <c r="BE81">
        <f t="shared" si="214"/>
        <v>3380561.7830588557</v>
      </c>
      <c r="BF81">
        <f t="shared" si="215"/>
        <v>3657820.6668341933</v>
      </c>
      <c r="BG81">
        <f t="shared" si="216"/>
        <v>3951723.6804086794</v>
      </c>
      <c r="BH81">
        <f t="shared" si="217"/>
        <v>4263269.9876431748</v>
      </c>
      <c r="BI81">
        <f t="shared" si="218"/>
        <v>4593518.7332105674</v>
      </c>
      <c r="BJ81">
        <f t="shared" si="219"/>
        <v>4943592.6433042819</v>
      </c>
    </row>
    <row r="82" spans="1:62" x14ac:dyDescent="0.3">
      <c r="D82">
        <f t="shared" si="169"/>
        <v>48742.450641630196</v>
      </c>
      <c r="E82">
        <f t="shared" si="220"/>
        <v>124390.83279477485</v>
      </c>
      <c r="F82">
        <f t="shared" si="221"/>
        <v>203193.46844653905</v>
      </c>
      <c r="G82">
        <f t="shared" si="222"/>
        <v>285621.29846324597</v>
      </c>
      <c r="H82">
        <f t="shared" si="173"/>
        <v>371995.57604151219</v>
      </c>
      <c r="I82">
        <f t="shared" si="174"/>
        <v>462197.56533781695</v>
      </c>
      <c r="J82">
        <f t="shared" si="175"/>
        <v>557293.37673048256</v>
      </c>
      <c r="K82">
        <f t="shared" si="175"/>
        <v>657270.9248601672</v>
      </c>
      <c r="L82">
        <f t="shared" si="175"/>
        <v>761941.48054358119</v>
      </c>
      <c r="M82">
        <f t="shared" si="175"/>
        <v>871525.33643953991</v>
      </c>
      <c r="N82">
        <f t="shared" si="175"/>
        <v>986253.12587965222</v>
      </c>
      <c r="O82">
        <f t="shared" si="176"/>
        <v>1108809.2808463874</v>
      </c>
      <c r="P82">
        <f t="shared" si="177"/>
        <v>1237650.8647429408</v>
      </c>
      <c r="Q82">
        <f t="shared" si="178"/>
        <v>1372874.5176797467</v>
      </c>
      <c r="R82">
        <f t="shared" si="179"/>
        <v>1514796.3705518364</v>
      </c>
      <c r="S82">
        <f t="shared" si="180"/>
        <v>1663748.2135556636</v>
      </c>
      <c r="T82">
        <f t="shared" si="181"/>
        <v>1820078.2718605886</v>
      </c>
      <c r="U82">
        <f t="shared" si="182"/>
        <v>1984152.0197026557</v>
      </c>
      <c r="V82">
        <f t="shared" si="183"/>
        <v>2156353.034803885</v>
      </c>
      <c r="W82">
        <f t="shared" si="184"/>
        <v>2337083.8951145615</v>
      </c>
      <c r="X82">
        <f t="shared" si="185"/>
        <v>2526767.1199749694</v>
      </c>
      <c r="Y82">
        <f t="shared" si="186"/>
        <v>2725846.1578968558</v>
      </c>
      <c r="Z82">
        <f t="shared" si="187"/>
        <v>2934786.4232738828</v>
      </c>
      <c r="AA82">
        <f t="shared" si="188"/>
        <v>3154076.3844447415</v>
      </c>
      <c r="AB82">
        <f t="shared" si="189"/>
        <v>3384228.7056526379</v>
      </c>
      <c r="AC82">
        <f t="shared" si="190"/>
        <v>3625781.4455708656</v>
      </c>
      <c r="AD82">
        <f t="shared" si="191"/>
        <v>3879299.3151964247</v>
      </c>
      <c r="AE82">
        <f t="shared" si="192"/>
        <v>4145374.9980524317</v>
      </c>
      <c r="AI82">
        <f t="shared" si="171"/>
        <v>49063.961063212009</v>
      </c>
      <c r="AJ82">
        <f t="shared" si="193"/>
        <v>126329.67809187925</v>
      </c>
      <c r="AK82">
        <f t="shared" si="194"/>
        <v>208233.73386640789</v>
      </c>
      <c r="AL82">
        <f t="shared" si="195"/>
        <v>295054.57252928067</v>
      </c>
      <c r="AM82">
        <f t="shared" si="196"/>
        <v>387087.35350505234</v>
      </c>
      <c r="AN82">
        <f t="shared" si="197"/>
        <v>484644.95493555319</v>
      </c>
      <c r="AO82">
        <f t="shared" si="198"/>
        <v>588059.03735231759</v>
      </c>
      <c r="AP82">
        <f t="shared" si="199"/>
        <v>697681.17120233818</v>
      </c>
      <c r="AQ82">
        <f t="shared" si="200"/>
        <v>813884.03206032666</v>
      </c>
      <c r="AR82">
        <f t="shared" si="201"/>
        <v>937062.66759076877</v>
      </c>
      <c r="AS82">
        <f t="shared" si="202"/>
        <v>1067635.8405669865</v>
      </c>
      <c r="AT82">
        <f t="shared" si="203"/>
        <v>1206047.452512986</v>
      </c>
      <c r="AU82">
        <f t="shared" si="204"/>
        <v>1352768.052807959</v>
      </c>
      <c r="AV82">
        <f t="shared" si="205"/>
        <v>1508296.4383838444</v>
      </c>
      <c r="AW82">
        <f t="shared" si="206"/>
        <v>1673161.3494543452</v>
      </c>
      <c r="AX82">
        <f t="shared" si="207"/>
        <v>1847923.2670402664</v>
      </c>
      <c r="AY82">
        <f t="shared" si="208"/>
        <v>2033176.3184021027</v>
      </c>
      <c r="AZ82">
        <f t="shared" si="209"/>
        <v>2229550.2968576699</v>
      </c>
      <c r="BA82">
        <f t="shared" si="210"/>
        <v>2437712.8028514138</v>
      </c>
      <c r="BB82">
        <f t="shared" si="211"/>
        <v>2658371.5135542676</v>
      </c>
      <c r="BC82">
        <f t="shared" si="212"/>
        <v>2892276.5887098731</v>
      </c>
      <c r="BD82">
        <f t="shared" si="213"/>
        <v>3140223.2209061692</v>
      </c>
      <c r="BE82">
        <f t="shared" si="214"/>
        <v>3403054.3389423522</v>
      </c>
      <c r="BF82">
        <f t="shared" si="215"/>
        <v>3681663.4734816756</v>
      </c>
      <c r="BG82">
        <f t="shared" si="216"/>
        <v>3976997.7947322694</v>
      </c>
      <c r="BH82">
        <f t="shared" si="217"/>
        <v>4290061.3324829964</v>
      </c>
      <c r="BI82">
        <f t="shared" si="218"/>
        <v>4621918.389441303</v>
      </c>
      <c r="BJ82">
        <f t="shared" si="219"/>
        <v>4973697.1594771734</v>
      </c>
    </row>
    <row r="83" spans="1:62" x14ac:dyDescent="0.3">
      <c r="D83">
        <f t="shared" si="169"/>
        <v>54929.122398318155</v>
      </c>
      <c r="E83">
        <f t="shared" si="220"/>
        <v>130835.46553460503</v>
      </c>
      <c r="F83">
        <f t="shared" si="221"/>
        <v>209906.81817394172</v>
      </c>
      <c r="G83">
        <f t="shared" si="222"/>
        <v>292676.96756368293</v>
      </c>
      <c r="H83">
        <f t="shared" si="173"/>
        <v>379363.92002678243</v>
      </c>
      <c r="I83">
        <f t="shared" si="174"/>
        <v>469892.44052433979</v>
      </c>
      <c r="J83">
        <f t="shared" si="175"/>
        <v>565450.7903633602</v>
      </c>
      <c r="K83">
        <f t="shared" si="175"/>
        <v>665811.25250238157</v>
      </c>
      <c r="L83">
        <f t="shared" si="175"/>
        <v>770882.6964140631</v>
      </c>
      <c r="M83">
        <f t="shared" si="175"/>
        <v>880886.25847810332</v>
      </c>
      <c r="N83">
        <f t="shared" si="175"/>
        <v>996053.4553517712</v>
      </c>
      <c r="O83">
        <f t="shared" si="176"/>
        <v>1119309.7659131642</v>
      </c>
      <c r="P83">
        <f t="shared" si="177"/>
        <v>1248671.4832839079</v>
      </c>
      <c r="Q83">
        <f t="shared" si="178"/>
        <v>1384441.0341076197</v>
      </c>
      <c r="R83">
        <f t="shared" si="179"/>
        <v>1526935.8254997539</v>
      </c>
      <c r="S83">
        <f t="shared" si="180"/>
        <v>1676488.9870937879</v>
      </c>
      <c r="T83">
        <f t="shared" si="181"/>
        <v>1833450.1498440898</v>
      </c>
      <c r="U83">
        <f t="shared" si="182"/>
        <v>1998186.2634061952</v>
      </c>
      <c r="V83">
        <f t="shared" si="183"/>
        <v>2171082.4540053881</v>
      </c>
      <c r="W83">
        <f t="shared" si="184"/>
        <v>2352542.9247991387</v>
      </c>
      <c r="X83">
        <f t="shared" si="185"/>
        <v>2542991.900838308</v>
      </c>
      <c r="Y83">
        <f t="shared" si="186"/>
        <v>2742874.6208362854</v>
      </c>
      <c r="Z83">
        <f t="shared" si="187"/>
        <v>2952658.3780646394</v>
      </c>
      <c r="AA83">
        <f t="shared" si="188"/>
        <v>3172833.6128087444</v>
      </c>
      <c r="AB83">
        <f t="shared" si="189"/>
        <v>3403915.0589373573</v>
      </c>
      <c r="AC83">
        <f t="shared" si="190"/>
        <v>3646442.947266635</v>
      </c>
      <c r="AD83">
        <f t="shared" si="191"/>
        <v>3900984.2685318724</v>
      </c>
      <c r="AE83">
        <f t="shared" si="192"/>
        <v>4168134.098919569</v>
      </c>
      <c r="AI83">
        <f t="shared" si="171"/>
        <v>55332.122553589848</v>
      </c>
      <c r="AJ83">
        <f t="shared" si="193"/>
        <v>132974.12362418667</v>
      </c>
      <c r="AK83">
        <f t="shared" si="194"/>
        <v>215277.05215033729</v>
      </c>
      <c r="AL83">
        <f t="shared" si="195"/>
        <v>302520.70829749823</v>
      </c>
      <c r="AM83">
        <f t="shared" si="196"/>
        <v>395001.6889166219</v>
      </c>
      <c r="AN83">
        <f t="shared" si="197"/>
        <v>493034.39586608933</v>
      </c>
      <c r="AO83">
        <f t="shared" si="198"/>
        <v>596952.10486422339</v>
      </c>
      <c r="AP83">
        <f t="shared" si="199"/>
        <v>707108.09850609349</v>
      </c>
      <c r="AQ83">
        <f t="shared" si="200"/>
        <v>823876.86729646043</v>
      </c>
      <c r="AR83">
        <f t="shared" si="201"/>
        <v>947655.38278193574</v>
      </c>
      <c r="AS83">
        <f t="shared" si="202"/>
        <v>1078864.4471105477</v>
      </c>
      <c r="AT83">
        <f t="shared" si="203"/>
        <v>1217950.1236067242</v>
      </c>
      <c r="AU83">
        <f t="shared" si="204"/>
        <v>1365385.2532251338</v>
      </c>
      <c r="AV83">
        <f t="shared" si="205"/>
        <v>1521671.0620387737</v>
      </c>
      <c r="AW83">
        <f t="shared" si="206"/>
        <v>1687338.8652261877</v>
      </c>
      <c r="AX83">
        <f t="shared" si="207"/>
        <v>1862951.8733507523</v>
      </c>
      <c r="AY83">
        <f t="shared" si="208"/>
        <v>2049107.1070727208</v>
      </c>
      <c r="AZ83">
        <f t="shared" si="209"/>
        <v>2246437.4268033667</v>
      </c>
      <c r="BA83">
        <f t="shared" si="210"/>
        <v>2455613.6842013001</v>
      </c>
      <c r="BB83">
        <f t="shared" si="211"/>
        <v>2677347.0028252765</v>
      </c>
      <c r="BC83">
        <f t="shared" si="212"/>
        <v>2912391.1956968899</v>
      </c>
      <c r="BD83">
        <f t="shared" si="213"/>
        <v>3161545.327991982</v>
      </c>
      <c r="BE83">
        <f t="shared" si="214"/>
        <v>3425656.4335730011</v>
      </c>
      <c r="BF83">
        <f t="shared" si="215"/>
        <v>3705622.3945975313</v>
      </c>
      <c r="BG83">
        <f t="shared" si="216"/>
        <v>4002394.993992615</v>
      </c>
      <c r="BH83">
        <f t="shared" si="217"/>
        <v>4316983.1511721881</v>
      </c>
      <c r="BI83">
        <f t="shared" si="218"/>
        <v>4650456.3519978821</v>
      </c>
      <c r="BJ83">
        <f t="shared" si="219"/>
        <v>5003948.284643827</v>
      </c>
    </row>
    <row r="84" spans="1:62" x14ac:dyDescent="0.3">
      <c r="D84">
        <f t="shared" si="169"/>
        <v>61136.890705696416</v>
      </c>
      <c r="E84">
        <f t="shared" si="220"/>
        <v>137302.07447207803</v>
      </c>
      <c r="F84">
        <f t="shared" si="221"/>
        <v>216643.06042391484</v>
      </c>
      <c r="G84">
        <f t="shared" si="222"/>
        <v>299758.17818626348</v>
      </c>
      <c r="H84">
        <f t="shared" si="173"/>
        <v>386758.93741727935</v>
      </c>
      <c r="I84">
        <f t="shared" si="174"/>
        <v>477615.17115903791</v>
      </c>
      <c r="J84">
        <f t="shared" ref="J84:M86" si="223">(J83+6000)*1.00487-(0.00104*(J83+6000))</f>
        <v>573639.44689045183</v>
      </c>
      <c r="K84">
        <f t="shared" si="223"/>
        <v>674384.28959946556</v>
      </c>
      <c r="L84">
        <f t="shared" si="223"/>
        <v>779858.15714132891</v>
      </c>
      <c r="M84">
        <f t="shared" si="223"/>
        <v>890283.03284807445</v>
      </c>
      <c r="N84">
        <f>(N83+6000)*1.00487-(0.000833*(N83+6000))</f>
        <v>1006098.7451510262</v>
      </c>
      <c r="O84">
        <f t="shared" si="176"/>
        <v>1129852.6414381554</v>
      </c>
      <c r="P84">
        <f t="shared" si="177"/>
        <v>1259736.592061925</v>
      </c>
      <c r="Q84">
        <f t="shared" si="178"/>
        <v>1396054.244562312</v>
      </c>
      <c r="R84">
        <f t="shared" si="179"/>
        <v>1539124.2874272964</v>
      </c>
      <c r="S84">
        <f t="shared" si="180"/>
        <v>1689281.1951346854</v>
      </c>
      <c r="T84">
        <f t="shared" si="181"/>
        <v>1846876.0100990101</v>
      </c>
      <c r="U84">
        <f t="shared" si="182"/>
        <v>2012277.1633515658</v>
      </c>
      <c r="V84">
        <f t="shared" si="183"/>
        <v>2185871.3358722078</v>
      </c>
      <c r="W84">
        <f t="shared" si="184"/>
        <v>2368064.3625865527</v>
      </c>
      <c r="X84">
        <f t="shared" si="185"/>
        <v>2559282.1811419921</v>
      </c>
      <c r="Y84">
        <f t="shared" si="186"/>
        <v>2759971.8276806013</v>
      </c>
      <c r="Z84">
        <f t="shared" si="187"/>
        <v>2970602.481936886</v>
      </c>
      <c r="AA84">
        <f t="shared" si="188"/>
        <v>3191666.5641036532</v>
      </c>
      <c r="AB84">
        <f t="shared" si="189"/>
        <v>3423680.886030287</v>
      </c>
      <c r="AC84">
        <f t="shared" si="190"/>
        <v>3667187.8594447505</v>
      </c>
      <c r="AD84">
        <f t="shared" si="191"/>
        <v>3922756.7640239354</v>
      </c>
      <c r="AE84">
        <f t="shared" si="192"/>
        <v>4190985.0782769066</v>
      </c>
      <c r="AI84">
        <f t="shared" si="171"/>
        <v>61630.809990425827</v>
      </c>
      <c r="AJ84">
        <f t="shared" si="193"/>
        <v>139650.92760623645</v>
      </c>
      <c r="AK84">
        <f t="shared" si="194"/>
        <v>222354.67139430941</v>
      </c>
      <c r="AL84">
        <f t="shared" si="195"/>
        <v>310023.20414690702</v>
      </c>
      <c r="AM84">
        <f t="shared" si="196"/>
        <v>402954.56714164582</v>
      </c>
      <c r="AN84">
        <f t="shared" si="197"/>
        <v>501464.69337395713</v>
      </c>
      <c r="AO84">
        <f t="shared" si="198"/>
        <v>605888.48161491216</v>
      </c>
      <c r="AP84">
        <f t="shared" si="199"/>
        <v>716580.93494581815</v>
      </c>
      <c r="AQ84">
        <f t="shared" si="200"/>
        <v>833918.36764019413</v>
      </c>
      <c r="AR84">
        <f t="shared" si="201"/>
        <v>958299.68449608365</v>
      </c>
      <c r="AS84">
        <f t="shared" si="202"/>
        <v>1090147.736967976</v>
      </c>
      <c r="AT84">
        <f t="shared" si="203"/>
        <v>1229910.7607086888</v>
      </c>
      <c r="AU84">
        <f t="shared" si="204"/>
        <v>1378063.89940834</v>
      </c>
      <c r="AV84">
        <f t="shared" si="205"/>
        <v>1535110.8201109024</v>
      </c>
      <c r="AW84">
        <f t="shared" si="206"/>
        <v>1701585.4254998392</v>
      </c>
      <c r="AX84">
        <f t="shared" si="207"/>
        <v>1878053.6689739702</v>
      </c>
      <c r="AY84">
        <f t="shared" si="208"/>
        <v>2065115.4786841648</v>
      </c>
      <c r="AZ84">
        <f t="shared" si="209"/>
        <v>2263406.7970718988</v>
      </c>
      <c r="BA84">
        <f t="shared" si="210"/>
        <v>2473601.7428433602</v>
      </c>
      <c r="BB84">
        <f t="shared" si="211"/>
        <v>2696414.9027290354</v>
      </c>
      <c r="BC84">
        <f t="shared" si="212"/>
        <v>2932603.7608199334</v>
      </c>
      <c r="BD84">
        <f t="shared" si="213"/>
        <v>3182971.2737393025</v>
      </c>
      <c r="BE84">
        <f t="shared" si="214"/>
        <v>3448368.6004045014</v>
      </c>
      <c r="BF84">
        <f t="shared" si="215"/>
        <v>3729697.995659221</v>
      </c>
      <c r="BG84">
        <f t="shared" si="216"/>
        <v>4027915.8776133587</v>
      </c>
      <c r="BH84">
        <f t="shared" si="217"/>
        <v>4344036.0791183962</v>
      </c>
      <c r="BI84">
        <f t="shared" si="218"/>
        <v>4679133.2944321111</v>
      </c>
      <c r="BJ84">
        <f t="shared" si="219"/>
        <v>5034346.7327900417</v>
      </c>
    </row>
    <row r="85" spans="1:62" x14ac:dyDescent="0.3">
      <c r="D85">
        <f t="shared" si="169"/>
        <v>67365.827503002845</v>
      </c>
      <c r="E85">
        <f t="shared" si="220"/>
        <v>143790.73454602782</v>
      </c>
      <c r="F85">
        <f t="shared" si="221"/>
        <v>223402.27325996038</v>
      </c>
      <c r="G85">
        <f t="shared" si="222"/>
        <v>306865.0227912977</v>
      </c>
      <c r="H85">
        <f t="shared" si="173"/>
        <v>394180.72477072984</v>
      </c>
      <c r="I85">
        <f t="shared" si="174"/>
        <v>485365.85807863355</v>
      </c>
      <c r="J85">
        <f t="shared" si="223"/>
        <v>581859.46597204229</v>
      </c>
      <c r="K85">
        <f t="shared" si="223"/>
        <v>682990.16142863152</v>
      </c>
      <c r="L85">
        <f t="shared" si="223"/>
        <v>788867.9938831802</v>
      </c>
      <c r="M85">
        <f t="shared" si="223"/>
        <v>899715.79686388245</v>
      </c>
      <c r="N85">
        <f>(N84+6000)*1.00487-(0.000833*(N84+6000))</f>
        <v>1016184.5877852008</v>
      </c>
      <c r="O85">
        <f t="shared" si="176"/>
        <v>1140438.0785516412</v>
      </c>
      <c r="P85">
        <f t="shared" si="177"/>
        <v>1270846.3706840789</v>
      </c>
      <c r="Q85">
        <f t="shared" si="178"/>
        <v>1407714.3375476098</v>
      </c>
      <c r="R85">
        <f t="shared" si="179"/>
        <v>1551361.9541756404</v>
      </c>
      <c r="S85">
        <f t="shared" si="180"/>
        <v>1702125.0453194438</v>
      </c>
      <c r="T85">
        <f t="shared" si="181"/>
        <v>1860356.0705517796</v>
      </c>
      <c r="U85">
        <f t="shared" si="182"/>
        <v>2026424.948260016</v>
      </c>
      <c r="V85">
        <f t="shared" si="183"/>
        <v>2200719.9204551238</v>
      </c>
      <c r="W85">
        <f t="shared" si="184"/>
        <v>2383648.4604183142</v>
      </c>
      <c r="X85">
        <f t="shared" si="185"/>
        <v>2575638.2253072625</v>
      </c>
      <c r="Y85">
        <f t="shared" si="186"/>
        <v>2777138.0559489476</v>
      </c>
      <c r="Z85">
        <f t="shared" si="187"/>
        <v>2988619.0261564651</v>
      </c>
      <c r="AA85">
        <f t="shared" si="188"/>
        <v>3210575.5440229392</v>
      </c>
      <c r="AB85">
        <f t="shared" si="189"/>
        <v>3443526.5077671907</v>
      </c>
      <c r="AC85">
        <f t="shared" si="190"/>
        <v>3688016.5188333285</v>
      </c>
      <c r="AD85">
        <f t="shared" si="191"/>
        <v>3944617.1550802998</v>
      </c>
      <c r="AE85">
        <f t="shared" si="192"/>
        <v>4213928.3070379095</v>
      </c>
      <c r="AI85">
        <f t="shared" si="171"/>
        <v>67960.172035079202</v>
      </c>
      <c r="AJ85">
        <f t="shared" si="193"/>
        <v>146360.24762367882</v>
      </c>
      <c r="AK85">
        <f t="shared" si="194"/>
        <v>229466.75864399967</v>
      </c>
      <c r="AL85">
        <f t="shared" si="195"/>
        <v>317562.23715110245</v>
      </c>
      <c r="AM85">
        <f t="shared" si="196"/>
        <v>410946.17588362563</v>
      </c>
      <c r="AN85">
        <f t="shared" si="197"/>
        <v>509936.04643068823</v>
      </c>
      <c r="AO85">
        <f t="shared" si="198"/>
        <v>614868.37852037675</v>
      </c>
      <c r="AP85">
        <f t="shared" si="199"/>
        <v>726099.90409900423</v>
      </c>
      <c r="AQ85">
        <f t="shared" si="200"/>
        <v>844008.77009060187</v>
      </c>
      <c r="AR85">
        <f t="shared" si="201"/>
        <v>968995.82395957946</v>
      </c>
      <c r="AS85">
        <f t="shared" si="202"/>
        <v>1101485.9764470099</v>
      </c>
      <c r="AT85">
        <f t="shared" si="203"/>
        <v>1241929.64611334</v>
      </c>
      <c r="AU85">
        <f t="shared" si="204"/>
        <v>1390804.2905984586</v>
      </c>
      <c r="AV85">
        <f t="shared" si="205"/>
        <v>1548616.0298048423</v>
      </c>
      <c r="AW85">
        <f t="shared" si="206"/>
        <v>1715901.3665220235</v>
      </c>
      <c r="AX85">
        <f t="shared" si="207"/>
        <v>1893229.0103418734</v>
      </c>
      <c r="AY85">
        <f t="shared" si="208"/>
        <v>2081201.8110653565</v>
      </c>
      <c r="AZ85">
        <f t="shared" si="209"/>
        <v>2280458.8081736388</v>
      </c>
      <c r="BA85">
        <f t="shared" si="210"/>
        <v>2491677.4033310073</v>
      </c>
      <c r="BB85">
        <f t="shared" si="211"/>
        <v>2715575.6633053254</v>
      </c>
      <c r="BC85">
        <f t="shared" si="212"/>
        <v>2952914.7611351265</v>
      </c>
      <c r="BD85">
        <f t="shared" si="213"/>
        <v>3204501.5638424126</v>
      </c>
      <c r="BE85">
        <f t="shared" si="214"/>
        <v>3471191.3754884712</v>
      </c>
      <c r="BF85">
        <f t="shared" si="215"/>
        <v>3753890.8448980809</v>
      </c>
      <c r="BG85">
        <f t="shared" si="216"/>
        <v>4053561.0479373354</v>
      </c>
      <c r="BH85">
        <f t="shared" si="217"/>
        <v>4371220.7548237024</v>
      </c>
      <c r="BI85">
        <f t="shared" si="218"/>
        <v>4707949.8935759952</v>
      </c>
      <c r="BJ85">
        <f t="shared" si="219"/>
        <v>5064893.2213787287</v>
      </c>
    </row>
    <row r="86" spans="1:62" x14ac:dyDescent="0.3">
      <c r="D86">
        <f t="shared" si="169"/>
        <v>73616.004974788069</v>
      </c>
      <c r="E86">
        <f t="shared" si="220"/>
        <v>150301.52095082976</v>
      </c>
      <c r="F86">
        <f t="shared" si="221"/>
        <v>230184.53501177681</v>
      </c>
      <c r="G86">
        <f t="shared" si="222"/>
        <v>313997.59417380218</v>
      </c>
      <c r="H86">
        <f t="shared" si="173"/>
        <v>401629.37899439986</v>
      </c>
      <c r="I86">
        <f t="shared" si="174"/>
        <v>493144.60248487815</v>
      </c>
      <c r="J86">
        <f t="shared" si="223"/>
        <v>590110.96772671526</v>
      </c>
      <c r="K86">
        <f t="shared" si="223"/>
        <v>691628.99374690303</v>
      </c>
      <c r="L86">
        <f t="shared" si="223"/>
        <v>797912.33829975268</v>
      </c>
      <c r="M86">
        <f t="shared" si="223"/>
        <v>909184.68836587109</v>
      </c>
      <c r="N86">
        <f>(N85+6000)*1.00487-(0.000833*(N85+6000))</f>
        <v>1026311.1469660896</v>
      </c>
      <c r="O86">
        <f t="shared" si="176"/>
        <v>1151066.2490747541</v>
      </c>
      <c r="P86">
        <f t="shared" si="177"/>
        <v>1282000.9994825304</v>
      </c>
      <c r="Q86">
        <f t="shared" si="178"/>
        <v>1419421.5023282894</v>
      </c>
      <c r="R86">
        <f t="shared" si="179"/>
        <v>1563649.0243846474</v>
      </c>
      <c r="S86">
        <f t="shared" si="180"/>
        <v>1715020.7461273982</v>
      </c>
      <c r="T86">
        <f t="shared" si="181"/>
        <v>1873890.5500085971</v>
      </c>
      <c r="U86">
        <f t="shared" si="182"/>
        <v>2040629.8477761415</v>
      </c>
      <c r="V86">
        <f t="shared" si="183"/>
        <v>2215628.4487740011</v>
      </c>
      <c r="W86" s="3">
        <f t="shared" si="184"/>
        <v>2399295.4712530226</v>
      </c>
      <c r="X86">
        <f t="shared" si="185"/>
        <v>2592060.2988228276</v>
      </c>
      <c r="Y86">
        <f t="shared" si="186"/>
        <v>2794373.5842808131</v>
      </c>
      <c r="Z86">
        <f t="shared" si="187"/>
        <v>3006708.3031650586</v>
      </c>
      <c r="AA86">
        <f t="shared" si="188"/>
        <v>3229560.8594941595</v>
      </c>
      <c r="AB86" s="3">
        <f t="shared" si="189"/>
        <v>3463452.2462790464</v>
      </c>
      <c r="AC86">
        <f t="shared" si="190"/>
        <v>3708929.2635198585</v>
      </c>
      <c r="AD86">
        <f t="shared" si="191"/>
        <v>3966565.7965353588</v>
      </c>
      <c r="AE86">
        <f t="shared" si="192"/>
        <v>4236964.1576134209</v>
      </c>
      <c r="AI86">
        <f t="shared" si="171"/>
        <v>74320.358072890027</v>
      </c>
      <c r="AJ86">
        <f t="shared" si="193"/>
        <v>153102.24202960613</v>
      </c>
      <c r="AK86">
        <f t="shared" si="194"/>
        <v>236613.48175859594</v>
      </c>
      <c r="AL86">
        <f t="shared" si="195"/>
        <v>325137.98524602829</v>
      </c>
      <c r="AM86">
        <f t="shared" si="196"/>
        <v>418976.70376017888</v>
      </c>
      <c r="AN86">
        <f t="shared" si="197"/>
        <v>518448.65497680567</v>
      </c>
      <c r="AO86">
        <f t="shared" si="198"/>
        <v>623892.00752377091</v>
      </c>
      <c r="AP86">
        <f t="shared" si="199"/>
        <v>735665.23063196638</v>
      </c>
      <c r="AQ86">
        <f t="shared" si="200"/>
        <v>854148.31280094304</v>
      </c>
      <c r="AR86">
        <f t="shared" si="201"/>
        <v>979744.05362226255</v>
      </c>
      <c r="AS86">
        <f t="shared" si="202"/>
        <v>1112879.4331523068</v>
      </c>
      <c r="AT86">
        <f t="shared" si="203"/>
        <v>1254007.0634899118</v>
      </c>
      <c r="AU86">
        <f t="shared" si="204"/>
        <v>1403606.7274936731</v>
      </c>
      <c r="AV86">
        <f t="shared" si="205"/>
        <v>1562187.0098699918</v>
      </c>
      <c r="AW86">
        <f t="shared" si="206"/>
        <v>1730287.0261769856</v>
      </c>
      <c r="AX86">
        <f t="shared" si="207"/>
        <v>1908478.2556222382</v>
      </c>
      <c r="AY86">
        <f t="shared" si="208"/>
        <v>2097366.4838852445</v>
      </c>
      <c r="AZ86">
        <f t="shared" si="209"/>
        <v>2297593.8625694443</v>
      </c>
      <c r="BA86">
        <f t="shared" si="210"/>
        <v>2509841.0922852294</v>
      </c>
      <c r="BB86" s="3">
        <f t="shared" si="211"/>
        <v>2734829.7367856223</v>
      </c>
      <c r="BC86">
        <f t="shared" si="212"/>
        <v>2973324.6760218544</v>
      </c>
      <c r="BD86">
        <f t="shared" si="213"/>
        <v>3226136.706458325</v>
      </c>
      <c r="BE86">
        <f t="shared" si="214"/>
        <v>3494125.2974870997</v>
      </c>
      <c r="BF86">
        <f t="shared" si="215"/>
        <v>3778201.5133127342</v>
      </c>
      <c r="BG86" s="3">
        <f t="shared" si="216"/>
        <v>4079331.1102407901</v>
      </c>
      <c r="BH86">
        <f t="shared" si="217"/>
        <v>4398537.8198996931</v>
      </c>
      <c r="BI86">
        <f t="shared" si="218"/>
        <v>4736906.8295577103</v>
      </c>
      <c r="BJ86">
        <f t="shared" si="219"/>
        <v>5095588.4713668432</v>
      </c>
    </row>
    <row r="89" spans="1:62" x14ac:dyDescent="0.3">
      <c r="D89" t="s">
        <v>59</v>
      </c>
      <c r="AI89" t="s">
        <v>59</v>
      </c>
      <c r="AJ89" t="s">
        <v>66</v>
      </c>
    </row>
    <row r="90" spans="1:62" x14ac:dyDescent="0.3">
      <c r="D90" t="s">
        <v>8</v>
      </c>
      <c r="AI90" t="s">
        <v>8</v>
      </c>
    </row>
    <row r="91" spans="1:62" x14ac:dyDescent="0.3">
      <c r="D91" t="s">
        <v>79</v>
      </c>
      <c r="AI91" t="s">
        <v>79</v>
      </c>
    </row>
    <row r="92" spans="1:62" x14ac:dyDescent="0.3">
      <c r="D92" t="s">
        <v>15</v>
      </c>
      <c r="E92" t="s">
        <v>16</v>
      </c>
      <c r="F92" t="s">
        <v>17</v>
      </c>
      <c r="G92" t="s">
        <v>18</v>
      </c>
      <c r="H92" t="s">
        <v>19</v>
      </c>
      <c r="I92" t="s">
        <v>20</v>
      </c>
      <c r="J92" t="s">
        <v>21</v>
      </c>
      <c r="K92" t="s">
        <v>22</v>
      </c>
      <c r="L92" t="s">
        <v>23</v>
      </c>
      <c r="M92" t="s">
        <v>24</v>
      </c>
      <c r="N92" t="s">
        <v>25</v>
      </c>
      <c r="O92" t="s">
        <v>26</v>
      </c>
      <c r="P92" t="s">
        <v>27</v>
      </c>
      <c r="Q92" t="s">
        <v>28</v>
      </c>
      <c r="R92" t="s">
        <v>29</v>
      </c>
      <c r="S92" t="s">
        <v>30</v>
      </c>
      <c r="T92" t="s">
        <v>31</v>
      </c>
      <c r="U92" t="s">
        <v>32</v>
      </c>
      <c r="V92" t="s">
        <v>33</v>
      </c>
      <c r="W92" t="s">
        <v>34</v>
      </c>
      <c r="X92" t="s">
        <v>35</v>
      </c>
      <c r="Y92" t="s">
        <v>36</v>
      </c>
      <c r="Z92" t="s">
        <v>37</v>
      </c>
      <c r="AA92" t="s">
        <v>38</v>
      </c>
      <c r="AB92" t="s">
        <v>39</v>
      </c>
      <c r="AC92" t="s">
        <v>67</v>
      </c>
      <c r="AD92" t="s">
        <v>68</v>
      </c>
      <c r="AE92" t="s">
        <v>69</v>
      </c>
      <c r="AI92" t="s">
        <v>15</v>
      </c>
      <c r="AJ92" t="s">
        <v>16</v>
      </c>
      <c r="AK92" t="s">
        <v>17</v>
      </c>
      <c r="AL92" t="s">
        <v>18</v>
      </c>
      <c r="AM92" t="s">
        <v>19</v>
      </c>
      <c r="AN92" t="s">
        <v>20</v>
      </c>
      <c r="AO92" t="s">
        <v>21</v>
      </c>
      <c r="AP92" t="s">
        <v>22</v>
      </c>
      <c r="AQ92" t="s">
        <v>23</v>
      </c>
      <c r="AR92" t="s">
        <v>24</v>
      </c>
      <c r="AS92" t="s">
        <v>25</v>
      </c>
      <c r="AT92" t="s">
        <v>26</v>
      </c>
      <c r="AU92" t="s">
        <v>27</v>
      </c>
      <c r="AV92" t="s">
        <v>28</v>
      </c>
      <c r="AW92" t="s">
        <v>29</v>
      </c>
      <c r="AX92" t="s">
        <v>30</v>
      </c>
      <c r="AY92" t="s">
        <v>31</v>
      </c>
      <c r="AZ92" t="s">
        <v>32</v>
      </c>
      <c r="BA92" t="s">
        <v>33</v>
      </c>
      <c r="BB92" t="s">
        <v>34</v>
      </c>
      <c r="BC92" t="s">
        <v>35</v>
      </c>
      <c r="BD92" t="s">
        <v>36</v>
      </c>
      <c r="BE92" t="s">
        <v>37</v>
      </c>
      <c r="BF92" t="s">
        <v>38</v>
      </c>
      <c r="BG92" t="s">
        <v>39</v>
      </c>
      <c r="BH92" t="s">
        <v>67</v>
      </c>
      <c r="BI92" t="s">
        <v>68</v>
      </c>
      <c r="BJ92" t="s">
        <v>69</v>
      </c>
    </row>
    <row r="93" spans="1:62" x14ac:dyDescent="0.3">
      <c r="D93">
        <v>0</v>
      </c>
      <c r="AI93">
        <v>0</v>
      </c>
    </row>
    <row r="94" spans="1:62" x14ac:dyDescent="0.3">
      <c r="D94">
        <f t="shared" ref="D94:D105" si="224">(D93+6000)*1.00566-(0.00146*(D93+6000))</f>
        <v>6025.2</v>
      </c>
      <c r="E94">
        <f>(D105+6000)*1.00566-(0.00146*(D105+6000))</f>
        <v>80332.17449395865</v>
      </c>
      <c r="F94">
        <f>(E105+6000)*1.00566-(0.00146*(E105+6000))</f>
        <v>158471.95433324229</v>
      </c>
      <c r="G94">
        <f>(F105+6000)*1.00566-(0.00146*(F105+6000))</f>
        <v>240642.23827917446</v>
      </c>
      <c r="H94">
        <f>(G105+6000)*1.00566-(0.00125*(G105+6000))</f>
        <v>327733.75396966311</v>
      </c>
      <c r="I94">
        <f>(H105+6000)*1.00566-(0.00125*(H105+6000))</f>
        <v>419601.96442023595</v>
      </c>
      <c r="J94">
        <f>(I105+6000)*1.00566-(0.00104*(I105+6000))</f>
        <v>516666.23058640031</v>
      </c>
      <c r="K94">
        <f>(J105+6000)*1.00566-(0.00104*(J105+6000))</f>
        <v>620248.58957777347</v>
      </c>
      <c r="L94">
        <f>(K105+6000)*1.00566-(0.00104*(K105+6000))</f>
        <v>729721.74486461654</v>
      </c>
      <c r="M94">
        <f>(L105+6000)*1.00566-(0.00104*(L105+6000))</f>
        <v>845420.70987327618</v>
      </c>
      <c r="N94">
        <f>(M105+6000)*1.00566-(0.00104*(M105+6000))</f>
        <v>967699.55046209635</v>
      </c>
      <c r="O94">
        <f t="shared" ref="O94:AE94" si="225">(N105+6000)*1.00566-(0.000833*(N105+6000))</f>
        <v>1098923.0828202991</v>
      </c>
      <c r="P94">
        <f t="shared" si="225"/>
        <v>1238594.0160242282</v>
      </c>
      <c r="Q94">
        <f t="shared" si="225"/>
        <v>1386573.5273903639</v>
      </c>
      <c r="R94">
        <f t="shared" si="225"/>
        <v>1543355.8677230366</v>
      </c>
      <c r="S94">
        <f t="shared" si="225"/>
        <v>1709464.6892298982</v>
      </c>
      <c r="T94">
        <f t="shared" si="225"/>
        <v>1885454.794517593</v>
      </c>
      <c r="U94">
        <f t="shared" si="225"/>
        <v>2071913.9896296032</v>
      </c>
      <c r="V94">
        <f t="shared" si="225"/>
        <v>2269465.0473153992</v>
      </c>
      <c r="W94">
        <f t="shared" si="225"/>
        <v>2478767.7870882079</v>
      </c>
      <c r="X94">
        <f t="shared" si="225"/>
        <v>2700521.2790187867</v>
      </c>
      <c r="Y94">
        <f t="shared" si="225"/>
        <v>2935466.1786258463</v>
      </c>
      <c r="Z94">
        <f t="shared" si="225"/>
        <v>3184387.2006616644</v>
      </c>
      <c r="AA94">
        <f t="shared" si="225"/>
        <v>3448115.7400553115</v>
      </c>
      <c r="AB94">
        <f t="shared" si="225"/>
        <v>3727532.648767415</v>
      </c>
      <c r="AC94">
        <f t="shared" si="225"/>
        <v>4023571.1778311706</v>
      </c>
      <c r="AD94">
        <f t="shared" si="225"/>
        <v>4337220.0944059752</v>
      </c>
      <c r="AE94">
        <f t="shared" si="225"/>
        <v>4669526.9842546349</v>
      </c>
      <c r="AI94">
        <f t="shared" ref="AI94:AI105" si="226">(AI93+6000)*1.00566-0</f>
        <v>6033.96</v>
      </c>
      <c r="AJ94">
        <f t="shared" ref="AJ94:BJ94" si="227">(AI105+6000)*1.00566-0</f>
        <v>81161.427200318649</v>
      </c>
      <c r="AK94">
        <f t="shared" si="227"/>
        <v>161553.4331058567</v>
      </c>
      <c r="AL94">
        <f t="shared" si="227"/>
        <v>247578.88896587613</v>
      </c>
      <c r="AM94">
        <f t="shared" si="227"/>
        <v>339632.55739429797</v>
      </c>
      <c r="AN94">
        <f t="shared" si="227"/>
        <v>438136.86389769556</v>
      </c>
      <c r="AO94">
        <f t="shared" si="227"/>
        <v>543543.83534566266</v>
      </c>
      <c r="AP94">
        <f t="shared" si="227"/>
        <v>656337.17427901493</v>
      </c>
      <c r="AQ94">
        <f t="shared" si="227"/>
        <v>777034.47857462626</v>
      </c>
      <c r="AR94">
        <f t="shared" si="227"/>
        <v>906189.61665272946</v>
      </c>
      <c r="AS94">
        <f t="shared" si="227"/>
        <v>1044395.2691262821</v>
      </c>
      <c r="AT94">
        <f t="shared" si="227"/>
        <v>1192285.6485557836</v>
      </c>
      <c r="AU94">
        <f t="shared" si="227"/>
        <v>1350539.4097902412</v>
      </c>
      <c r="AV94">
        <f t="shared" si="227"/>
        <v>1519882.764249556</v>
      </c>
      <c r="AW94">
        <f t="shared" si="227"/>
        <v>1701092.8124394824</v>
      </c>
      <c r="AX94">
        <f t="shared" si="227"/>
        <v>1895001.1099917477</v>
      </c>
      <c r="AY94">
        <f t="shared" si="227"/>
        <v>2102497.4835935505</v>
      </c>
      <c r="AZ94">
        <f t="shared" si="227"/>
        <v>2324534.1143173818</v>
      </c>
      <c r="BA94">
        <f t="shared" si="227"/>
        <v>2562129.9070891673</v>
      </c>
      <c r="BB94">
        <f t="shared" si="227"/>
        <v>2816375.1663458161</v>
      </c>
      <c r="BC94">
        <f t="shared" si="227"/>
        <v>3088436.5993383131</v>
      </c>
      <c r="BD94">
        <f t="shared" si="227"/>
        <v>3379562.6700400435</v>
      </c>
      <c r="BE94">
        <f t="shared" si="227"/>
        <v>3691089.3282289202</v>
      </c>
      <c r="BF94">
        <f t="shared" si="227"/>
        <v>4024446.140033518</v>
      </c>
      <c r="BG94">
        <f t="shared" si="227"/>
        <v>4381162.8480757233</v>
      </c>
      <c r="BH94">
        <f t="shared" si="227"/>
        <v>4762876.3913137624</v>
      </c>
      <c r="BI94">
        <f t="shared" si="227"/>
        <v>5171338.4167989781</v>
      </c>
      <c r="BJ94">
        <f t="shared" si="227"/>
        <v>5608423.3178171264</v>
      </c>
    </row>
    <row r="95" spans="1:62" x14ac:dyDescent="0.3">
      <c r="D95">
        <f t="shared" si="224"/>
        <v>12075.705840000001</v>
      </c>
      <c r="E95">
        <f>(E94+6000)*1.00566-(0.00146*(E94+6000))</f>
        <v>86694.769626833266</v>
      </c>
      <c r="F95">
        <f>(F94+6000)*1.00566-(0.00146*(F94+6000))</f>
        <v>165162.7365414419</v>
      </c>
      <c r="G95">
        <f>(G94+6000)*1.00566-(0.00146*(G94+6000))</f>
        <v>247678.13567994698</v>
      </c>
      <c r="H95">
        <f t="shared" ref="H95:H104" si="228">(H94+6000)*1.00566-(0.00125*(H94+6000))</f>
        <v>335205.51982466935</v>
      </c>
      <c r="I95">
        <f t="shared" ref="I95:I104" si="229">(I94+6000)*1.00566-(0.00125*(I94+6000))</f>
        <v>427478.86908332922</v>
      </c>
      <c r="J95">
        <f t="shared" ref="J95:N97" si="230">(J94+6000)*1.00566-(0.00104*(J94+6000))</f>
        <v>525080.94857170945</v>
      </c>
      <c r="K95">
        <f t="shared" si="230"/>
        <v>629141.85806162271</v>
      </c>
      <c r="L95">
        <f t="shared" si="230"/>
        <v>739120.77932589105</v>
      </c>
      <c r="M95">
        <f t="shared" si="230"/>
        <v>855354.27355289075</v>
      </c>
      <c r="N95">
        <f t="shared" si="230"/>
        <v>978198.04238523124</v>
      </c>
      <c r="O95">
        <f t="shared" ref="O95:O105" si="231">(O94+6000)*1.00566-(0.000833*(O94+6000))</f>
        <v>1110256.5465410727</v>
      </c>
      <c r="P95">
        <f t="shared" ref="P95:P105" si="232">(P94+6000)*1.00566-(0.000833*(P94+6000))</f>
        <v>1250601.6713395771</v>
      </c>
      <c r="Q95">
        <f t="shared" ref="Q95:Q105" si="233">(Q94+6000)*1.00566-(0.000833*(Q94+6000))</f>
        <v>1399295.4798070772</v>
      </c>
      <c r="R95">
        <f t="shared" ref="R95:R105" si="234">(R94+6000)*1.00566-(0.000833*(R94+6000))</f>
        <v>1556834.6084965358</v>
      </c>
      <c r="S95">
        <f t="shared" ref="S95:S105" si="235">(S94+6000)*1.00566-(0.000833*(S94+6000))</f>
        <v>1723745.2372848107</v>
      </c>
      <c r="T95">
        <f t="shared" ref="T95:T105" si="236">(T94+6000)*1.00566-(0.000833*(T94+6000))</f>
        <v>1900584.8468107295</v>
      </c>
      <c r="U95">
        <f t="shared" ref="U95:U105" si="237">(U94+6000)*1.00566-(0.000833*(U94+6000))</f>
        <v>2087944.0804575454</v>
      </c>
      <c r="V95">
        <f t="shared" ref="V95:V105" si="238">(V94+6000)*1.00566-(0.000833*(V94+6000))</f>
        <v>2286448.7170987902</v>
      </c>
      <c r="W95">
        <f t="shared" ref="W95:W105" si="239">(W94+6000)*1.00566-(0.000833*(W94+6000))</f>
        <v>2496761.7611964829</v>
      </c>
      <c r="X95">
        <f t="shared" ref="X95:X105" si="240">(X94+6000)*1.00566-(0.000833*(X94+6000))</f>
        <v>2719585.6572326105</v>
      </c>
      <c r="Y95">
        <f t="shared" ref="Y95:Y105" si="241">(Y94+6000)*1.00566-(0.000833*(Y94+6000))</f>
        <v>2955664.635870073</v>
      </c>
      <c r="Z95">
        <f t="shared" ref="Z95:Z105" si="242">(Z94+6000)*1.00566-(0.000833*(Z94+6000))</f>
        <v>3205787.1996792583</v>
      </c>
      <c r="AA95">
        <f t="shared" ref="AA95:AA105" si="243">(AA94+6000)*1.00566-(0.000833*(AA94+6000))</f>
        <v>3470788.7567325584</v>
      </c>
      <c r="AB95">
        <f t="shared" ref="AB95:AB105" si="244">(AB94+6000)*1.00566-(0.000833*(AB94+6000))</f>
        <v>3751554.4108630153</v>
      </c>
      <c r="AC95">
        <f t="shared" ref="AC95:AC105" si="245">(AC94+6000)*1.00566-(0.000833*(AC94+6000))</f>
        <v>4049021.9179065614</v>
      </c>
      <c r="AD95">
        <f t="shared" ref="AD95:AD105" si="246">(AD94+6000)*1.00566-(0.000833*(AD94+6000))</f>
        <v>4364184.817801673</v>
      </c>
      <c r="AE95">
        <f t="shared" ref="AE95:AE105" si="247">(AE94+6000)*1.00566-(0.000833*(AE94+6000))</f>
        <v>4698095.7530076317</v>
      </c>
      <c r="AI95">
        <f t="shared" si="226"/>
        <v>12102.072213599999</v>
      </c>
      <c r="AJ95">
        <f t="shared" ref="AJ95:AJ105" si="248">(AJ94+6000)*1.00566-0</f>
        <v>87654.760878272456</v>
      </c>
      <c r="AK95">
        <f t="shared" ref="AK95:AK105" si="249">(AK94+6000)*1.00566-0</f>
        <v>168501.78553723585</v>
      </c>
      <c r="AL95">
        <f t="shared" ref="AL95:AL105" si="250">(AL94+6000)*1.00566-0</f>
        <v>255014.14547742298</v>
      </c>
      <c r="AM95">
        <f t="shared" ref="AM95:AM105" si="251">(AM94+6000)*1.00566-0</f>
        <v>347588.83766914968</v>
      </c>
      <c r="AN95">
        <f t="shared" ref="AN95:AN105" si="252">(AN94+6000)*1.00566-0</f>
        <v>446650.67854735651</v>
      </c>
      <c r="AO95">
        <f t="shared" ref="AO95:AO105" si="253">(AO94+6000)*1.00566-0</f>
        <v>552654.25345371908</v>
      </c>
      <c r="AP95">
        <f t="shared" ref="AP95:AP105" si="254">(AP94+6000)*1.00566-0</f>
        <v>666086.00268543418</v>
      </c>
      <c r="AQ95">
        <f t="shared" ref="AQ95:AQ105" si="255">(AQ94+6000)*1.00566-0</f>
        <v>787466.45372335869</v>
      </c>
      <c r="AR95">
        <f t="shared" ref="AR95:AR105" si="256">(AR94+6000)*1.00566-0</f>
        <v>917352.60988298384</v>
      </c>
      <c r="AS95">
        <f t="shared" ref="AS95:AS105" si="257">(AS94+6000)*1.00566-0</f>
        <v>1056340.5063495368</v>
      </c>
      <c r="AT95">
        <f t="shared" ref="AT95:AT105" si="258">(AT94+6000)*1.00566-0</f>
        <v>1205067.9453266093</v>
      </c>
      <c r="AU95">
        <f t="shared" ref="AU95:AU105" si="259">(AU94+6000)*1.00566-0</f>
        <v>1364217.422849654</v>
      </c>
      <c r="AV95">
        <f t="shared" ref="AV95:AV105" si="260">(AV94+6000)*1.00566-0</f>
        <v>1534519.2606952086</v>
      </c>
      <c r="AW95">
        <f t="shared" ref="AW95:AW105" si="261">(AW94+6000)*1.00566-0</f>
        <v>1716754.95775789</v>
      </c>
      <c r="AX95">
        <f t="shared" ref="AX95:AX105" si="262">(AX94+6000)*1.00566-0</f>
        <v>1911760.7762743009</v>
      </c>
      <c r="AY95">
        <f t="shared" ref="AY95:AY105" si="263">(AY94+6000)*1.00566-0</f>
        <v>2120431.5793506899</v>
      </c>
      <c r="AZ95">
        <f t="shared" ref="AZ95:AZ105" si="264">(AZ94+6000)*1.00566-0</f>
        <v>2343724.9374044184</v>
      </c>
      <c r="BA95">
        <f t="shared" ref="BA95:BA105" si="265">(BA94+6000)*1.00566-0</f>
        <v>2582665.5223632921</v>
      </c>
      <c r="BB95">
        <f t="shared" ref="BB95:BB105" si="266">(BB94+6000)*1.00566-0</f>
        <v>2838349.8097873335</v>
      </c>
      <c r="BC95">
        <f t="shared" ref="BC95:BC105" si="267">(BC94+6000)*1.00566-0</f>
        <v>3111951.110490568</v>
      </c>
      <c r="BD95">
        <f t="shared" ref="BD95:BD105" si="268">(BD94+6000)*1.00566-0</f>
        <v>3404724.9547524704</v>
      </c>
      <c r="BE95">
        <f t="shared" ref="BE95:BE105" si="269">(BE94+6000)*1.00566-0</f>
        <v>3718014.8538266961</v>
      </c>
      <c r="BF95">
        <f t="shared" ref="BF95:BF105" si="270">(BF94+6000)*1.00566-0</f>
        <v>4053258.4651861074</v>
      </c>
      <c r="BG95">
        <f t="shared" ref="BG95:BG105" si="271">(BG94+6000)*1.00566-0</f>
        <v>4411994.1897958321</v>
      </c>
      <c r="BH95">
        <f t="shared" ref="BH95:BH105" si="272">(BH94+6000)*1.00566-0</f>
        <v>4795868.2316885982</v>
      </c>
      <c r="BI95">
        <f t="shared" ref="BI95:BI105" si="273">(BI94+6000)*1.00566-0</f>
        <v>5206642.1522380607</v>
      </c>
      <c r="BJ95">
        <f t="shared" ref="BJ95:BJ105" si="274">(BJ94+6000)*1.00566-0</f>
        <v>5646200.9537959713</v>
      </c>
    </row>
    <row r="96" spans="1:62" x14ac:dyDescent="0.3">
      <c r="A96">
        <f>0.0175/12</f>
        <v>1.4583333333333334E-3</v>
      </c>
      <c r="B96">
        <v>1.75</v>
      </c>
      <c r="D96">
        <f t="shared" si="224"/>
        <v>18151.623804528001</v>
      </c>
      <c r="E96">
        <f t="shared" ref="E96:E105" si="275">(E95+6000)*1.00566-(0.00146*(E95+6000))</f>
        <v>93084.087659265962</v>
      </c>
      <c r="F96">
        <f t="shared" ref="F96:F105" si="276">(F95+6000)*1.00566-(0.00146*(F95+6000))</f>
        <v>171881.62003491595</v>
      </c>
      <c r="G96">
        <f t="shared" ref="G96:G105" si="277">(G95+6000)*1.00566-(0.00125*(G95+6000))</f>
        <v>254796.85625829556</v>
      </c>
      <c r="H96">
        <f t="shared" si="228"/>
        <v>342710.23616709613</v>
      </c>
      <c r="I96">
        <f t="shared" si="229"/>
        <v>435390.51089598669</v>
      </c>
      <c r="J96">
        <f t="shared" si="230"/>
        <v>533534.54255411075</v>
      </c>
      <c r="K96">
        <f t="shared" si="230"/>
        <v>638076.21344586741</v>
      </c>
      <c r="L96">
        <f t="shared" si="230"/>
        <v>748563.23732637672</v>
      </c>
      <c r="M96">
        <f t="shared" si="230"/>
        <v>865333.73029670515</v>
      </c>
      <c r="N96">
        <f t="shared" si="230"/>
        <v>988745.03734105104</v>
      </c>
      <c r="O96">
        <f t="shared" si="231"/>
        <v>1121644.7168912264</v>
      </c>
      <c r="P96">
        <f t="shared" si="232"/>
        <v>1262667.2876071332</v>
      </c>
      <c r="Q96">
        <f t="shared" si="233"/>
        <v>1412078.8410881059</v>
      </c>
      <c r="R96">
        <f t="shared" si="234"/>
        <v>1570378.4111517486</v>
      </c>
      <c r="S96">
        <f t="shared" si="235"/>
        <v>1738094.7175451845</v>
      </c>
      <c r="T96">
        <f t="shared" si="236"/>
        <v>1915787.9318662849</v>
      </c>
      <c r="U96">
        <f t="shared" si="237"/>
        <v>2104051.5485339141</v>
      </c>
      <c r="V96">
        <f t="shared" si="238"/>
        <v>2303514.3670562259</v>
      </c>
      <c r="W96">
        <f t="shared" si="239"/>
        <v>2514842.5922177783</v>
      </c>
      <c r="X96">
        <f t="shared" si="240"/>
        <v>2738742.0592000722</v>
      </c>
      <c r="Y96">
        <f t="shared" si="241"/>
        <v>2975960.5910674175</v>
      </c>
      <c r="Z96">
        <f t="shared" si="242"/>
        <v>3227290.4964921102</v>
      </c>
      <c r="AA96">
        <f t="shared" si="243"/>
        <v>3493571.2160613062</v>
      </c>
      <c r="AB96">
        <f t="shared" si="244"/>
        <v>3775692.1260042512</v>
      </c>
      <c r="AC96">
        <f t="shared" si="245"/>
        <v>4074595.5087042963</v>
      </c>
      <c r="AD96">
        <f t="shared" si="246"/>
        <v>4391279.699917201</v>
      </c>
      <c r="AE96">
        <f t="shared" si="247"/>
        <v>4726802.4232073994</v>
      </c>
      <c r="AI96">
        <f t="shared" si="226"/>
        <v>18204.529942328973</v>
      </c>
      <c r="AJ96">
        <f t="shared" si="248"/>
        <v>94184.84682484348</v>
      </c>
      <c r="AK96">
        <f t="shared" si="249"/>
        <v>175489.46564337661</v>
      </c>
      <c r="AL96">
        <f t="shared" si="250"/>
        <v>262491.48554082518</v>
      </c>
      <c r="AM96">
        <f t="shared" si="251"/>
        <v>355590.15049035707</v>
      </c>
      <c r="AN96">
        <f t="shared" si="252"/>
        <v>455212.68138793454</v>
      </c>
      <c r="AO96">
        <f t="shared" si="253"/>
        <v>561816.23652826715</v>
      </c>
      <c r="AP96">
        <f t="shared" si="254"/>
        <v>675890.00946063374</v>
      </c>
      <c r="AQ96">
        <f t="shared" si="255"/>
        <v>797957.47385143291</v>
      </c>
      <c r="AR96">
        <f t="shared" si="256"/>
        <v>928578.78565492155</v>
      </c>
      <c r="AS96">
        <f t="shared" si="257"/>
        <v>1068353.3536154751</v>
      </c>
      <c r="AT96">
        <f t="shared" si="258"/>
        <v>1217922.5898971579</v>
      </c>
      <c r="AU96">
        <f t="shared" si="259"/>
        <v>1377972.8534629829</v>
      </c>
      <c r="AV96">
        <f t="shared" si="260"/>
        <v>1549238.5997107434</v>
      </c>
      <c r="AW96">
        <f t="shared" si="261"/>
        <v>1732505.7508187997</v>
      </c>
      <c r="AX96">
        <f t="shared" si="262"/>
        <v>1928615.3022680134</v>
      </c>
      <c r="AY96">
        <f t="shared" si="263"/>
        <v>2138467.1820898149</v>
      </c>
      <c r="AZ96">
        <f t="shared" si="264"/>
        <v>2363024.3805501275</v>
      </c>
      <c r="BA96">
        <f t="shared" si="265"/>
        <v>2603317.3692198684</v>
      </c>
      <c r="BB96">
        <f t="shared" si="266"/>
        <v>2860448.8297107299</v>
      </c>
      <c r="BC96">
        <f t="shared" si="267"/>
        <v>3135598.7137759444</v>
      </c>
      <c r="BD96">
        <f t="shared" si="268"/>
        <v>3430029.6579963695</v>
      </c>
      <c r="BE96">
        <f t="shared" si="269"/>
        <v>3745092.7778993552</v>
      </c>
      <c r="BF96">
        <f t="shared" si="270"/>
        <v>4082233.8680990608</v>
      </c>
      <c r="BG96">
        <f t="shared" si="271"/>
        <v>4443000.0369100766</v>
      </c>
      <c r="BH96">
        <f t="shared" si="272"/>
        <v>4829046.8058799552</v>
      </c>
      <c r="BI96">
        <f t="shared" si="273"/>
        <v>5242145.706819728</v>
      </c>
      <c r="BJ96">
        <f t="shared" si="274"/>
        <v>5684192.4111944567</v>
      </c>
    </row>
    <row r="97" spans="1:62" x14ac:dyDescent="0.3">
      <c r="A97">
        <f>0.015/12</f>
        <v>1.25E-3</v>
      </c>
      <c r="B97">
        <v>1.5</v>
      </c>
      <c r="D97">
        <f t="shared" si="224"/>
        <v>24253.060624507016</v>
      </c>
      <c r="E97">
        <f t="shared" si="275"/>
        <v>99500.240827434871</v>
      </c>
      <c r="F97">
        <f t="shared" si="276"/>
        <v>178628.72283906257</v>
      </c>
      <c r="G97">
        <f t="shared" si="277"/>
        <v>261946.97039439465</v>
      </c>
      <c r="H97">
        <f t="shared" si="228"/>
        <v>350248.04830859299</v>
      </c>
      <c r="I97">
        <f t="shared" si="229"/>
        <v>443337.04304903798</v>
      </c>
      <c r="J97">
        <f t="shared" si="230"/>
        <v>542027.19214071077</v>
      </c>
      <c r="K97">
        <f t="shared" si="230"/>
        <v>647051.8455519873</v>
      </c>
      <c r="L97">
        <f t="shared" si="230"/>
        <v>758049.31948282453</v>
      </c>
      <c r="M97">
        <f t="shared" si="230"/>
        <v>875359.29213067598</v>
      </c>
      <c r="N97">
        <f t="shared" si="230"/>
        <v>999340.75941356667</v>
      </c>
      <c r="O97">
        <f t="shared" si="231"/>
        <v>1133087.8579396603</v>
      </c>
      <c r="P97">
        <f t="shared" si="232"/>
        <v>1274791.1446044128</v>
      </c>
      <c r="Q97">
        <f t="shared" si="233"/>
        <v>1424923.9076540382</v>
      </c>
      <c r="R97">
        <f t="shared" si="234"/>
        <v>1583987.5897423781</v>
      </c>
      <c r="S97">
        <f t="shared" si="235"/>
        <v>1752513.462746775</v>
      </c>
      <c r="T97">
        <f t="shared" si="236"/>
        <v>1931064.4022134035</v>
      </c>
      <c r="U97">
        <f t="shared" si="237"/>
        <v>2120236.7673586872</v>
      </c>
      <c r="V97">
        <f t="shared" si="238"/>
        <v>2320662.3929060064</v>
      </c>
      <c r="W97">
        <f t="shared" si="239"/>
        <v>2533010.6994104134</v>
      </c>
      <c r="X97">
        <f t="shared" si="240"/>
        <v>2757990.929119831</v>
      </c>
      <c r="Y97">
        <f t="shared" si="241"/>
        <v>2996354.5148405</v>
      </c>
      <c r="Z97">
        <f t="shared" si="242"/>
        <v>3248897.5897186776</v>
      </c>
      <c r="AA97">
        <f t="shared" si="243"/>
        <v>3516463.6463212343</v>
      </c>
      <c r="AB97">
        <f t="shared" si="244"/>
        <v>3799946.3538964735</v>
      </c>
      <c r="AC97">
        <f t="shared" si="245"/>
        <v>4100292.543224812</v>
      </c>
      <c r="AD97">
        <f t="shared" si="246"/>
        <v>4418505.3690287005</v>
      </c>
      <c r="AE97">
        <f t="shared" si="247"/>
        <v>4755647.6605042219</v>
      </c>
      <c r="AI97">
        <f t="shared" si="226"/>
        <v>24341.527581802555</v>
      </c>
      <c r="AJ97">
        <f t="shared" si="248"/>
        <v>100751.89305787209</v>
      </c>
      <c r="AK97">
        <f t="shared" si="249"/>
        <v>182516.69601891813</v>
      </c>
      <c r="AL97">
        <f t="shared" si="250"/>
        <v>270011.14734898624</v>
      </c>
      <c r="AM97">
        <f t="shared" si="251"/>
        <v>363636.75074213248</v>
      </c>
      <c r="AN97">
        <f t="shared" si="252"/>
        <v>463823.14516459027</v>
      </c>
      <c r="AO97">
        <f t="shared" si="253"/>
        <v>571030.07642701711</v>
      </c>
      <c r="AP97">
        <f t="shared" si="254"/>
        <v>685749.50691418094</v>
      </c>
      <c r="AQ97">
        <f t="shared" si="255"/>
        <v>808507.87315343204</v>
      </c>
      <c r="AR97">
        <f t="shared" si="256"/>
        <v>939868.50158172846</v>
      </c>
      <c r="AS97">
        <f t="shared" si="257"/>
        <v>1080434.1935969386</v>
      </c>
      <c r="AT97">
        <f t="shared" si="258"/>
        <v>1230849.9917559759</v>
      </c>
      <c r="AU97">
        <f t="shared" si="259"/>
        <v>1391806.1398135833</v>
      </c>
      <c r="AV97">
        <f t="shared" si="260"/>
        <v>1564041.2501851062</v>
      </c>
      <c r="AW97">
        <f t="shared" si="261"/>
        <v>1748345.6933684342</v>
      </c>
      <c r="AX97">
        <f t="shared" si="262"/>
        <v>1945565.2248788504</v>
      </c>
      <c r="AY97">
        <f t="shared" si="263"/>
        <v>2156604.8663404435</v>
      </c>
      <c r="AZ97">
        <f t="shared" si="264"/>
        <v>2382433.0585440411</v>
      </c>
      <c r="BA97">
        <f t="shared" si="265"/>
        <v>2624086.1055296529</v>
      </c>
      <c r="BB97">
        <f t="shared" si="266"/>
        <v>2882672.9300868926</v>
      </c>
      <c r="BC97">
        <f t="shared" si="267"/>
        <v>3159380.1624959162</v>
      </c>
      <c r="BD97">
        <f t="shared" si="268"/>
        <v>3455477.5858606291</v>
      </c>
      <c r="BE97">
        <f t="shared" si="269"/>
        <v>3772323.9630222656</v>
      </c>
      <c r="BF97">
        <f t="shared" si="270"/>
        <v>4111373.2717925017</v>
      </c>
      <c r="BG97">
        <f t="shared" si="271"/>
        <v>4474181.377118988</v>
      </c>
      <c r="BH97">
        <f t="shared" si="272"/>
        <v>4862413.1708012354</v>
      </c>
      <c r="BI97">
        <f t="shared" si="273"/>
        <v>5277850.2115203273</v>
      </c>
      <c r="BJ97">
        <f t="shared" si="274"/>
        <v>5722398.9002418173</v>
      </c>
    </row>
    <row r="98" spans="1:62" x14ac:dyDescent="0.3">
      <c r="A98">
        <f>0.0125/12</f>
        <v>1.0416666666666667E-3</v>
      </c>
      <c r="B98">
        <v>1.25</v>
      </c>
      <c r="D98">
        <f t="shared" si="224"/>
        <v>30380.123479129947</v>
      </c>
      <c r="E98">
        <f t="shared" si="275"/>
        <v>105943.3418389101</v>
      </c>
      <c r="F98">
        <f t="shared" si="276"/>
        <v>185404.16347498662</v>
      </c>
      <c r="G98">
        <f t="shared" si="277"/>
        <v>269128.61653383391</v>
      </c>
      <c r="H98">
        <f t="shared" si="228"/>
        <v>357819.10220163391</v>
      </c>
      <c r="I98">
        <f t="shared" si="229"/>
        <v>451318.6194088842</v>
      </c>
      <c r="J98">
        <f t="shared" ref="J98:M105" si="278">(J97+6000)*1.00566-(0.00104*(J97+6000))</f>
        <v>550559.07776840089</v>
      </c>
      <c r="K98">
        <f t="shared" si="278"/>
        <v>656068.94507843745</v>
      </c>
      <c r="L98">
        <f t="shared" si="278"/>
        <v>767579.22733883525</v>
      </c>
      <c r="M98">
        <f t="shared" si="278"/>
        <v>885431.17206031969</v>
      </c>
      <c r="N98">
        <f t="shared" ref="N98:N105" si="279">(N97+6000)*1.00566-(0.000833*(N97+6000))</f>
        <v>1010193.539259256</v>
      </c>
      <c r="O98">
        <f t="shared" si="231"/>
        <v>1144586.2350299351</v>
      </c>
      <c r="P98">
        <f t="shared" si="232"/>
        <v>1286973.5234594182</v>
      </c>
      <c r="Q98">
        <f t="shared" si="233"/>
        <v>1437830.9773562844</v>
      </c>
      <c r="R98">
        <f t="shared" si="234"/>
        <v>1597662.4598380646</v>
      </c>
      <c r="S98">
        <f t="shared" si="235"/>
        <v>1767001.8072314537</v>
      </c>
      <c r="T98">
        <f t="shared" si="236"/>
        <v>1946414.6120828874</v>
      </c>
      <c r="U98">
        <f t="shared" si="237"/>
        <v>2136500.1122347275</v>
      </c>
      <c r="V98">
        <f t="shared" si="238"/>
        <v>2337893.1922765635</v>
      </c>
      <c r="W98">
        <f t="shared" si="239"/>
        <v>2551266.5040564677</v>
      </c>
      <c r="X98">
        <f t="shared" si="240"/>
        <v>2777332.7133346922</v>
      </c>
      <c r="Y98">
        <f t="shared" si="241"/>
        <v>3016846.880083635</v>
      </c>
      <c r="Z98">
        <f t="shared" si="242"/>
        <v>3270608.9803842497</v>
      </c>
      <c r="AA98">
        <f t="shared" si="243"/>
        <v>3539466.578342027</v>
      </c>
      <c r="AB98">
        <f t="shared" si="244"/>
        <v>3824317.6569467317</v>
      </c>
      <c r="AC98">
        <f t="shared" si="245"/>
        <v>4126113.6173309581</v>
      </c>
      <c r="AD98">
        <f t="shared" si="246"/>
        <v>4445862.456445002</v>
      </c>
      <c r="AE98">
        <f t="shared" si="247"/>
        <v>4784632.1337614758</v>
      </c>
      <c r="AI98">
        <f t="shared" si="226"/>
        <v>30513.260627915559</v>
      </c>
      <c r="AJ98">
        <f t="shared" si="248"/>
        <v>107356.10877257964</v>
      </c>
      <c r="AK98">
        <f t="shared" si="249"/>
        <v>189583.70051838522</v>
      </c>
      <c r="AL98">
        <f t="shared" si="250"/>
        <v>277573.37044298148</v>
      </c>
      <c r="AM98">
        <f t="shared" si="251"/>
        <v>371728.89475133293</v>
      </c>
      <c r="AN98">
        <f t="shared" si="252"/>
        <v>472482.34416622185</v>
      </c>
      <c r="AO98">
        <f t="shared" si="253"/>
        <v>580296.06665959407</v>
      </c>
      <c r="AP98">
        <f t="shared" si="254"/>
        <v>695664.80912331515</v>
      </c>
      <c r="AQ98">
        <f t="shared" si="255"/>
        <v>819117.9877154805</v>
      </c>
      <c r="AR98">
        <f t="shared" si="256"/>
        <v>951222.11730068107</v>
      </c>
      <c r="AS98">
        <f t="shared" si="257"/>
        <v>1092583.4111326972</v>
      </c>
      <c r="AT98">
        <f t="shared" si="258"/>
        <v>1243850.5627093147</v>
      </c>
      <c r="AU98">
        <f t="shared" si="259"/>
        <v>1405717.7225649282</v>
      </c>
      <c r="AV98">
        <f t="shared" si="260"/>
        <v>1578927.6836611538</v>
      </c>
      <c r="AW98">
        <f t="shared" si="261"/>
        <v>1764275.2899928996</v>
      </c>
      <c r="AX98">
        <f t="shared" si="262"/>
        <v>1962611.0840516647</v>
      </c>
      <c r="AY98">
        <f t="shared" si="263"/>
        <v>2174845.2098839306</v>
      </c>
      <c r="AZ98">
        <f t="shared" si="264"/>
        <v>2401951.5896554003</v>
      </c>
      <c r="BA98">
        <f t="shared" si="265"/>
        <v>2644972.3928869506</v>
      </c>
      <c r="BB98">
        <f t="shared" si="266"/>
        <v>2905022.8188711843</v>
      </c>
      <c r="BC98">
        <f t="shared" si="267"/>
        <v>3183296.2142156432</v>
      </c>
      <c r="BD98">
        <f t="shared" si="268"/>
        <v>3481069.5489966003</v>
      </c>
      <c r="BE98">
        <f t="shared" si="269"/>
        <v>3799709.2766529717</v>
      </c>
      <c r="BF98">
        <f t="shared" si="270"/>
        <v>4140677.604510847</v>
      </c>
      <c r="BG98">
        <f t="shared" si="271"/>
        <v>4505539.2037134813</v>
      </c>
      <c r="BH98">
        <f t="shared" si="272"/>
        <v>4895968.3893479705</v>
      </c>
      <c r="BI98">
        <f t="shared" si="273"/>
        <v>5313756.8037175322</v>
      </c>
      <c r="BJ98">
        <f t="shared" si="274"/>
        <v>5760821.638017186</v>
      </c>
    </row>
    <row r="99" spans="1:62" x14ac:dyDescent="0.3">
      <c r="A99">
        <f>0.01/12</f>
        <v>8.3333333333333339E-4</v>
      </c>
      <c r="B99">
        <v>1</v>
      </c>
      <c r="D99">
        <f t="shared" si="224"/>
        <v>36532.919997742298</v>
      </c>
      <c r="E99">
        <f t="shared" si="275"/>
        <v>112413.50387463352</v>
      </c>
      <c r="F99">
        <f t="shared" si="276"/>
        <v>192208.06096158156</v>
      </c>
      <c r="G99">
        <f t="shared" si="277"/>
        <v>276341.93373274809</v>
      </c>
      <c r="H99">
        <f t="shared" si="228"/>
        <v>365423.54444234312</v>
      </c>
      <c r="I99">
        <f t="shared" si="229"/>
        <v>459335.39452047739</v>
      </c>
      <c r="J99">
        <f t="shared" si="278"/>
        <v>559130.38070769096</v>
      </c>
      <c r="K99">
        <f t="shared" si="278"/>
        <v>665127.70360469981</v>
      </c>
      <c r="L99">
        <f t="shared" si="278"/>
        <v>777153.1633691407</v>
      </c>
      <c r="M99">
        <f t="shared" si="278"/>
        <v>895549.58407523832</v>
      </c>
      <c r="N99">
        <f t="shared" si="279"/>
        <v>1021098.7054732604</v>
      </c>
      <c r="O99">
        <f t="shared" si="231"/>
        <v>1156140.1147864244</v>
      </c>
      <c r="P99">
        <f t="shared" si="232"/>
        <v>1299214.7066571568</v>
      </c>
      <c r="Q99">
        <f t="shared" si="233"/>
        <v>1450800.3494839831</v>
      </c>
      <c r="R99">
        <f t="shared" si="234"/>
        <v>1611403.338531703</v>
      </c>
      <c r="S99">
        <f t="shared" si="235"/>
        <v>1781560.0869549599</v>
      </c>
      <c r="T99">
        <f t="shared" si="236"/>
        <v>1961838.9174154114</v>
      </c>
      <c r="U99">
        <f t="shared" si="237"/>
        <v>2152841.9602764845</v>
      </c>
      <c r="V99">
        <f t="shared" si="238"/>
        <v>2355207.1647156826</v>
      </c>
      <c r="W99">
        <f t="shared" si="239"/>
        <v>2569610.4294715482</v>
      </c>
      <c r="X99">
        <f t="shared" si="240"/>
        <v>2796767.8603419587</v>
      </c>
      <c r="Y99">
        <f t="shared" si="241"/>
        <v>3037438.1619737986</v>
      </c>
      <c r="Z99">
        <f t="shared" si="242"/>
        <v>3292425.1719325646</v>
      </c>
      <c r="AA99">
        <f t="shared" si="243"/>
        <v>3562580.5455156839</v>
      </c>
      <c r="AB99">
        <f t="shared" si="244"/>
        <v>3848806.6002768134</v>
      </c>
      <c r="AC99">
        <f t="shared" si="245"/>
        <v>4152059.3297618143</v>
      </c>
      <c r="AD99">
        <f t="shared" si="246"/>
        <v>4473351.5965222623</v>
      </c>
      <c r="AE99">
        <f t="shared" si="247"/>
        <v>4813756.5150711425</v>
      </c>
      <c r="AI99">
        <f t="shared" si="226"/>
        <v>36719.925683069559</v>
      </c>
      <c r="AJ99">
        <f t="shared" si="248"/>
        <v>113997.70434823244</v>
      </c>
      <c r="AK99">
        <f t="shared" si="249"/>
        <v>196690.70426331929</v>
      </c>
      <c r="AL99">
        <f t="shared" si="250"/>
        <v>285178.39571968873</v>
      </c>
      <c r="AM99">
        <f t="shared" si="251"/>
        <v>379866.8402956255</v>
      </c>
      <c r="AN99">
        <f t="shared" si="252"/>
        <v>481190.55423420266</v>
      </c>
      <c r="AO99">
        <f t="shared" si="253"/>
        <v>589614.5023968874</v>
      </c>
      <c r="AP99">
        <f t="shared" si="254"/>
        <v>705636.23194295308</v>
      </c>
      <c r="AQ99">
        <f t="shared" si="255"/>
        <v>829788.15552595013</v>
      </c>
      <c r="AR99">
        <f t="shared" si="256"/>
        <v>962639.99448460294</v>
      </c>
      <c r="AS99">
        <f t="shared" si="257"/>
        <v>1104801.3932397084</v>
      </c>
      <c r="AT99">
        <f t="shared" si="258"/>
        <v>1256924.7168942494</v>
      </c>
      <c r="AU99">
        <f t="shared" si="259"/>
        <v>1419708.0448746458</v>
      </c>
      <c r="AV99">
        <f t="shared" si="260"/>
        <v>1593898.3743506758</v>
      </c>
      <c r="AW99">
        <f t="shared" si="261"/>
        <v>1780295.0481342594</v>
      </c>
      <c r="AX99">
        <f t="shared" si="262"/>
        <v>1979753.4227873972</v>
      </c>
      <c r="AY99">
        <f t="shared" si="263"/>
        <v>2193188.7937718737</v>
      </c>
      <c r="AZ99">
        <f t="shared" si="264"/>
        <v>2421580.5956528499</v>
      </c>
      <c r="BA99">
        <f t="shared" si="265"/>
        <v>2665976.8966306909</v>
      </c>
      <c r="BB99">
        <f t="shared" si="266"/>
        <v>2927499.2080259952</v>
      </c>
      <c r="BC99">
        <f t="shared" si="267"/>
        <v>3207347.6307881037</v>
      </c>
      <c r="BD99">
        <f t="shared" si="268"/>
        <v>3506806.3626439213</v>
      </c>
      <c r="BE99">
        <f t="shared" si="269"/>
        <v>3827249.5911588278</v>
      </c>
      <c r="BF99">
        <f t="shared" si="270"/>
        <v>4170147.7997523784</v>
      </c>
      <c r="BG99">
        <f t="shared" si="271"/>
        <v>4537074.5156064993</v>
      </c>
      <c r="BH99">
        <f t="shared" si="272"/>
        <v>4929713.5304316804</v>
      </c>
      <c r="BI99">
        <f t="shared" si="273"/>
        <v>5349866.6272265734</v>
      </c>
      <c r="BJ99">
        <f t="shared" si="274"/>
        <v>5799461.8484883634</v>
      </c>
    </row>
    <row r="100" spans="1:62" x14ac:dyDescent="0.3">
      <c r="D100">
        <f t="shared" si="224"/>
        <v>42711.558261732818</v>
      </c>
      <c r="E100">
        <f t="shared" si="275"/>
        <v>118910.84059090698</v>
      </c>
      <c r="F100">
        <f t="shared" si="276"/>
        <v>199040.53481762021</v>
      </c>
      <c r="G100">
        <f t="shared" si="277"/>
        <v>283587.0616605095</v>
      </c>
      <c r="H100">
        <f t="shared" si="228"/>
        <v>373061.52227333386</v>
      </c>
      <c r="I100">
        <f t="shared" si="229"/>
        <v>467387.52361031267</v>
      </c>
      <c r="J100">
        <f t="shared" si="278"/>
        <v>567741.28306656051</v>
      </c>
      <c r="K100">
        <f t="shared" si="278"/>
        <v>674228.31359535351</v>
      </c>
      <c r="L100">
        <f t="shared" si="278"/>
        <v>786771.33098390617</v>
      </c>
      <c r="M100">
        <f t="shared" si="278"/>
        <v>905714.74315366591</v>
      </c>
      <c r="N100">
        <f t="shared" si="279"/>
        <v>1032056.5109245798</v>
      </c>
      <c r="O100">
        <f t="shared" si="231"/>
        <v>1167749.7651204986</v>
      </c>
      <c r="P100">
        <f t="shared" si="232"/>
        <v>1311514.9780461909</v>
      </c>
      <c r="Q100">
        <f t="shared" si="233"/>
        <v>1463832.3247709423</v>
      </c>
      <c r="R100">
        <f t="shared" si="234"/>
        <v>1625210.5444467955</v>
      </c>
      <c r="S100">
        <f t="shared" si="235"/>
        <v>1796188.6394946915</v>
      </c>
      <c r="T100">
        <f t="shared" si="236"/>
        <v>1977337.6758697757</v>
      </c>
      <c r="U100">
        <f t="shared" si="237"/>
        <v>2169262.6904187393</v>
      </c>
      <c r="V100">
        <f t="shared" si="238"/>
        <v>2372604.7116997652</v>
      </c>
      <c r="W100">
        <f t="shared" si="239"/>
        <v>2588042.9010146074</v>
      </c>
      <c r="X100">
        <f t="shared" si="240"/>
        <v>2816296.8208038295</v>
      </c>
      <c r="Y100">
        <f t="shared" si="241"/>
        <v>3058128.8379816464</v>
      </c>
      <c r="Z100">
        <f t="shared" si="242"/>
        <v>3314346.6702374835</v>
      </c>
      <c r="AA100">
        <f t="shared" si="243"/>
        <v>3585806.0838088882</v>
      </c>
      <c r="AB100">
        <f t="shared" si="244"/>
        <v>3873413.7517363499</v>
      </c>
      <c r="AC100">
        <f t="shared" si="245"/>
        <v>4178130.2821465749</v>
      </c>
      <c r="AD100">
        <f t="shared" si="246"/>
        <v>4500973.4266786752</v>
      </c>
      <c r="AE100">
        <f t="shared" si="247"/>
        <v>4843021.479769391</v>
      </c>
      <c r="AI100">
        <f t="shared" si="226"/>
        <v>42961.720462435733</v>
      </c>
      <c r="AJ100">
        <f t="shared" si="248"/>
        <v>120676.89135484344</v>
      </c>
      <c r="AK100">
        <f t="shared" si="249"/>
        <v>203837.93364944967</v>
      </c>
      <c r="AL100">
        <f t="shared" si="250"/>
        <v>292826.46543946216</v>
      </c>
      <c r="AM100">
        <f t="shared" si="251"/>
        <v>388050.84661169874</v>
      </c>
      <c r="AN100">
        <f t="shared" si="252"/>
        <v>489948.05277116824</v>
      </c>
      <c r="AO100">
        <f t="shared" si="253"/>
        <v>598985.68048045377</v>
      </c>
      <c r="AP100">
        <f t="shared" si="254"/>
        <v>715664.09301575017</v>
      </c>
      <c r="AQ100">
        <f t="shared" si="255"/>
        <v>840518.716486227</v>
      </c>
      <c r="AR100">
        <f t="shared" si="256"/>
        <v>974122.49685338582</v>
      </c>
      <c r="AS100">
        <f t="shared" si="257"/>
        <v>1117088.5291254451</v>
      </c>
      <c r="AT100">
        <f t="shared" si="258"/>
        <v>1270072.8707918709</v>
      </c>
      <c r="AU100">
        <f t="shared" si="259"/>
        <v>1433777.5524086363</v>
      </c>
      <c r="AV100">
        <f t="shared" si="260"/>
        <v>1608953.7991495007</v>
      </c>
      <c r="AW100">
        <f t="shared" si="261"/>
        <v>1796405.4781066994</v>
      </c>
      <c r="AX100">
        <f t="shared" si="262"/>
        <v>1996992.7871603738</v>
      </c>
      <c r="AY100">
        <f t="shared" si="263"/>
        <v>2211636.2023446225</v>
      </c>
      <c r="AZ100">
        <f t="shared" si="264"/>
        <v>2441320.701824245</v>
      </c>
      <c r="BA100">
        <f t="shared" si="265"/>
        <v>2687100.2858656207</v>
      </c>
      <c r="BB100">
        <f t="shared" si="266"/>
        <v>2950102.8135434221</v>
      </c>
      <c r="BC100">
        <f t="shared" si="267"/>
        <v>3231535.1783783645</v>
      </c>
      <c r="BD100">
        <f t="shared" si="268"/>
        <v>3532688.8466564859</v>
      </c>
      <c r="BE100">
        <f t="shared" si="269"/>
        <v>3854945.7838447867</v>
      </c>
      <c r="BF100">
        <f t="shared" si="270"/>
        <v>4199784.796298977</v>
      </c>
      <c r="BG100">
        <f t="shared" si="271"/>
        <v>4568788.3173648324</v>
      </c>
      <c r="BH100">
        <f t="shared" si="272"/>
        <v>4963649.669013924</v>
      </c>
      <c r="BI100">
        <f t="shared" si="273"/>
        <v>5386180.8323366754</v>
      </c>
      <c r="BJ100">
        <f t="shared" si="274"/>
        <v>5838320.7625508076</v>
      </c>
    </row>
    <row r="101" spans="1:62" x14ac:dyDescent="0.3">
      <c r="D101">
        <f t="shared" si="224"/>
        <v>48916.146806432094</v>
      </c>
      <c r="E101">
        <f t="shared" si="275"/>
        <v>125435.46612138879</v>
      </c>
      <c r="F101">
        <f t="shared" si="276"/>
        <v>205901.7050638542</v>
      </c>
      <c r="G101">
        <f t="shared" si="277"/>
        <v>290864.14060243237</v>
      </c>
      <c r="H101">
        <f t="shared" si="228"/>
        <v>380733.18358655926</v>
      </c>
      <c r="I101">
        <f t="shared" si="229"/>
        <v>475475.16258943413</v>
      </c>
      <c r="J101">
        <f t="shared" si="278"/>
        <v>576391.967794328</v>
      </c>
      <c r="K101">
        <f t="shared" si="278"/>
        <v>683370.96840416407</v>
      </c>
      <c r="L101">
        <f t="shared" si="278"/>
        <v>796433.9345330518</v>
      </c>
      <c r="M101">
        <f t="shared" si="278"/>
        <v>915926.8652670359</v>
      </c>
      <c r="N101">
        <f t="shared" si="279"/>
        <v>1043067.2097028127</v>
      </c>
      <c r="O101">
        <f t="shared" si="231"/>
        <v>1179415.4552367353</v>
      </c>
      <c r="P101">
        <f t="shared" si="232"/>
        <v>1323874.6228452199</v>
      </c>
      <c r="Q101">
        <f t="shared" si="233"/>
        <v>1476927.2054026118</v>
      </c>
      <c r="R101">
        <f t="shared" si="234"/>
        <v>1639084.3977448402</v>
      </c>
      <c r="S101">
        <f t="shared" si="235"/>
        <v>1810887.8040575325</v>
      </c>
      <c r="T101">
        <f t="shared" si="236"/>
        <v>1992911.2468311992</v>
      </c>
      <c r="U101">
        <f t="shared" si="237"/>
        <v>2185762.6834253906</v>
      </c>
      <c r="V101">
        <f t="shared" si="238"/>
        <v>2390086.2366431397</v>
      </c>
      <c r="W101">
        <f t="shared" si="239"/>
        <v>2606564.3460978051</v>
      </c>
      <c r="X101">
        <f t="shared" si="240"/>
        <v>2835920.0475578494</v>
      </c>
      <c r="Y101">
        <f t="shared" si="241"/>
        <v>3078919.3878825838</v>
      </c>
      <c r="Z101">
        <f t="shared" si="242"/>
        <v>3336373.9836147199</v>
      </c>
      <c r="AA101">
        <f t="shared" si="243"/>
        <v>3609143.7317754338</v>
      </c>
      <c r="AB101">
        <f t="shared" si="244"/>
        <v>3898139.6819159812</v>
      </c>
      <c r="AC101">
        <f t="shared" si="245"/>
        <v>4204327.079018496</v>
      </c>
      <c r="AD101">
        <f t="shared" si="246"/>
        <v>4528728.5874092532</v>
      </c>
      <c r="AE101">
        <f t="shared" si="247"/>
        <v>4872427.7064522384</v>
      </c>
      <c r="AI101">
        <f t="shared" si="226"/>
        <v>49238.843800253118</v>
      </c>
      <c r="AJ101">
        <f t="shared" si="248"/>
        <v>127393.88255991184</v>
      </c>
      <c r="AK101">
        <f t="shared" si="249"/>
        <v>211025.61635390556</v>
      </c>
      <c r="AL101">
        <f t="shared" si="250"/>
        <v>300517.82323384954</v>
      </c>
      <c r="AM101">
        <f t="shared" si="251"/>
        <v>396281.17440352094</v>
      </c>
      <c r="AN101">
        <f t="shared" si="252"/>
        <v>498755.11874985305</v>
      </c>
      <c r="AO101">
        <f t="shared" si="253"/>
        <v>608409.89943197311</v>
      </c>
      <c r="AP101">
        <f t="shared" si="254"/>
        <v>725748.71178221935</v>
      </c>
      <c r="AQ101">
        <f t="shared" si="255"/>
        <v>851310.01242153905</v>
      </c>
      <c r="AR101">
        <f t="shared" si="256"/>
        <v>985669.99018557603</v>
      </c>
      <c r="AS101">
        <f t="shared" si="257"/>
        <v>1129445.2102002951</v>
      </c>
      <c r="AT101">
        <f t="shared" si="258"/>
        <v>1283295.4432405529</v>
      </c>
      <c r="AU101">
        <f t="shared" si="259"/>
        <v>1447926.6933552693</v>
      </c>
      <c r="AV101">
        <f t="shared" si="260"/>
        <v>1624094.4376526868</v>
      </c>
      <c r="AW101">
        <f t="shared" si="261"/>
        <v>1812607.0931127833</v>
      </c>
      <c r="AX101">
        <f t="shared" si="262"/>
        <v>2014329.7263357015</v>
      </c>
      <c r="AY101">
        <f t="shared" si="263"/>
        <v>2230188.023249893</v>
      </c>
      <c r="AZ101">
        <f t="shared" si="264"/>
        <v>2461172.5369965704</v>
      </c>
      <c r="BA101">
        <f t="shared" si="265"/>
        <v>2708343.23348362</v>
      </c>
      <c r="BB101">
        <f t="shared" si="266"/>
        <v>2972834.3554680781</v>
      </c>
      <c r="BC101">
        <f t="shared" si="267"/>
        <v>3255859.6274879859</v>
      </c>
      <c r="BD101">
        <f t="shared" si="268"/>
        <v>3558717.8255285616</v>
      </c>
      <c r="BE101">
        <f t="shared" si="269"/>
        <v>3882798.7369813481</v>
      </c>
      <c r="BF101">
        <f t="shared" si="270"/>
        <v>4229589.5382460291</v>
      </c>
      <c r="BG101">
        <f t="shared" si="271"/>
        <v>4600681.6192411175</v>
      </c>
      <c r="BH101">
        <f t="shared" si="272"/>
        <v>4997777.886140543</v>
      </c>
      <c r="BI101">
        <f t="shared" si="273"/>
        <v>5422700.5758477012</v>
      </c>
      <c r="BJ101">
        <f t="shared" si="274"/>
        <v>5877399.6180668455</v>
      </c>
    </row>
    <row r="102" spans="1:62" x14ac:dyDescent="0.3">
      <c r="D102">
        <f t="shared" si="224"/>
        <v>55146.794623019116</v>
      </c>
      <c r="E102">
        <f t="shared" si="275"/>
        <v>131987.49507909862</v>
      </c>
      <c r="F102">
        <f t="shared" si="276"/>
        <v>212791.69222512239</v>
      </c>
      <c r="G102">
        <f t="shared" si="277"/>
        <v>298173.31146248907</v>
      </c>
      <c r="H102">
        <f t="shared" si="228"/>
        <v>388438.67692617601</v>
      </c>
      <c r="I102">
        <f t="shared" si="229"/>
        <v>483598.46805645351</v>
      </c>
      <c r="J102">
        <f t="shared" si="278"/>
        <v>585082.61868553772</v>
      </c>
      <c r="K102">
        <f t="shared" si="278"/>
        <v>692555.86227819137</v>
      </c>
      <c r="L102">
        <f t="shared" si="278"/>
        <v>806141.17931059445</v>
      </c>
      <c r="M102">
        <f t="shared" si="278"/>
        <v>926186.16738456965</v>
      </c>
      <c r="N102">
        <f t="shared" si="279"/>
        <v>1054131.057124048</v>
      </c>
      <c r="O102">
        <f t="shared" si="231"/>
        <v>1191137.455639163</v>
      </c>
      <c r="P102">
        <f t="shared" si="232"/>
        <v>1336293.9276496938</v>
      </c>
      <c r="Q102">
        <f t="shared" si="233"/>
        <v>1490085.29502309</v>
      </c>
      <c r="R102">
        <f t="shared" si="234"/>
        <v>1653025.2201327546</v>
      </c>
      <c r="S102">
        <f t="shared" si="235"/>
        <v>1825657.9214877181</v>
      </c>
      <c r="T102">
        <f t="shared" si="236"/>
        <v>2008559.9914196534</v>
      </c>
      <c r="U102">
        <f t="shared" si="237"/>
        <v>2202342.3218982848</v>
      </c>
      <c r="V102">
        <f t="shared" si="238"/>
        <v>2407652.1449074163</v>
      </c>
      <c r="W102">
        <f t="shared" si="239"/>
        <v>2625175.1941964193</v>
      </c>
      <c r="X102">
        <f t="shared" si="240"/>
        <v>2855637.9956274112</v>
      </c>
      <c r="Y102">
        <f t="shared" si="241"/>
        <v>3099810.2937678928</v>
      </c>
      <c r="Z102">
        <f t="shared" si="242"/>
        <v>3358507.6228336282</v>
      </c>
      <c r="AA102">
        <f t="shared" si="243"/>
        <v>3632594.0305687138</v>
      </c>
      <c r="AB102">
        <f t="shared" si="244"/>
        <v>3922984.9641605895</v>
      </c>
      <c r="AC102">
        <f t="shared" si="245"/>
        <v>4230650.3278289177</v>
      </c>
      <c r="AD102">
        <f t="shared" si="246"/>
        <v>4556617.7223006776</v>
      </c>
      <c r="AE102">
        <f t="shared" si="247"/>
        <v>4901975.8769912831</v>
      </c>
      <c r="AI102">
        <f t="shared" si="226"/>
        <v>55551.495656162551</v>
      </c>
      <c r="AJ102">
        <f t="shared" si="248"/>
        <v>134148.89193520095</v>
      </c>
      <c r="AK102">
        <f t="shared" si="249"/>
        <v>218253.98134246867</v>
      </c>
      <c r="AL102">
        <f t="shared" si="250"/>
        <v>308252.71411335311</v>
      </c>
      <c r="AM102">
        <f t="shared" si="251"/>
        <v>404558.08585064486</v>
      </c>
      <c r="AN102">
        <f t="shared" si="252"/>
        <v>507612.03272197722</v>
      </c>
      <c r="AO102">
        <f t="shared" si="253"/>
        <v>617887.45946275804</v>
      </c>
      <c r="AP102">
        <f t="shared" si="254"/>
        <v>735890.40949090675</v>
      </c>
      <c r="AQ102">
        <f t="shared" si="255"/>
        <v>862162.38709184492</v>
      </c>
      <c r="AR102">
        <f t="shared" si="256"/>
        <v>997282.84233002644</v>
      </c>
      <c r="AS102">
        <f t="shared" si="257"/>
        <v>1141871.8300900287</v>
      </c>
      <c r="AT102">
        <f t="shared" si="258"/>
        <v>1296592.8554492944</v>
      </c>
      <c r="AU102">
        <f t="shared" si="259"/>
        <v>1462155.91843966</v>
      </c>
      <c r="AV102">
        <f t="shared" si="260"/>
        <v>1639320.7721698009</v>
      </c>
      <c r="AW102">
        <f t="shared" si="261"/>
        <v>1828900.4092598017</v>
      </c>
      <c r="AX102">
        <f t="shared" si="262"/>
        <v>2031764.7925867615</v>
      </c>
      <c r="AY102">
        <f t="shared" si="263"/>
        <v>2248844.8474614872</v>
      </c>
      <c r="AZ102">
        <f t="shared" si="264"/>
        <v>2481136.7335559712</v>
      </c>
      <c r="BA102">
        <f t="shared" si="265"/>
        <v>2729706.4161851374</v>
      </c>
      <c r="BB102">
        <f t="shared" si="266"/>
        <v>2995694.5579200275</v>
      </c>
      <c r="BC102">
        <f t="shared" si="267"/>
        <v>3280321.7529795677</v>
      </c>
      <c r="BD102">
        <f t="shared" si="268"/>
        <v>3584894.1284210533</v>
      </c>
      <c r="BE102">
        <f t="shared" si="269"/>
        <v>3910809.3378326627</v>
      </c>
      <c r="BF102">
        <f t="shared" si="270"/>
        <v>4259562.9750325019</v>
      </c>
      <c r="BG102">
        <f t="shared" si="271"/>
        <v>4632755.4372060224</v>
      </c>
      <c r="BH102">
        <f t="shared" si="272"/>
        <v>5032099.2689760989</v>
      </c>
      <c r="BI102">
        <f t="shared" si="273"/>
        <v>5459427.0211069994</v>
      </c>
      <c r="BJ102">
        <f t="shared" si="274"/>
        <v>5916699.659905104</v>
      </c>
    </row>
    <row r="103" spans="1:62" x14ac:dyDescent="0.3">
      <c r="D103">
        <f t="shared" si="224"/>
        <v>61403.611160435801</v>
      </c>
      <c r="E103">
        <f t="shared" si="275"/>
        <v>138567.04255843084</v>
      </c>
      <c r="F103">
        <f t="shared" si="276"/>
        <v>219710.6173324679</v>
      </c>
      <c r="G103">
        <f t="shared" si="277"/>
        <v>305514.71576603863</v>
      </c>
      <c r="H103">
        <f t="shared" si="228"/>
        <v>396178.15149142046</v>
      </c>
      <c r="I103">
        <f t="shared" si="229"/>
        <v>491757.59730058245</v>
      </c>
      <c r="J103">
        <f t="shared" si="278"/>
        <v>593813.4203838649</v>
      </c>
      <c r="K103">
        <f t="shared" si="278"/>
        <v>701783.19036191655</v>
      </c>
      <c r="L103">
        <f t="shared" si="278"/>
        <v>815893.27155900933</v>
      </c>
      <c r="M103">
        <f t="shared" si="278"/>
        <v>936492.86747788626</v>
      </c>
      <c r="N103">
        <f t="shared" si="279"/>
        <v>1065248.3097367859</v>
      </c>
      <c r="O103">
        <f t="shared" si="231"/>
        <v>1202916.0381375335</v>
      </c>
      <c r="P103">
        <f t="shared" si="232"/>
        <v>1348773.1804384587</v>
      </c>
      <c r="Q103">
        <f t="shared" si="233"/>
        <v>1503306.8987421663</v>
      </c>
      <c r="R103">
        <f t="shared" si="234"/>
        <v>1667033.3348703354</v>
      </c>
      <c r="S103">
        <f t="shared" si="235"/>
        <v>1840499.3342747395</v>
      </c>
      <c r="T103">
        <f t="shared" si="236"/>
        <v>2024284.272498236</v>
      </c>
      <c r="U103">
        <f t="shared" si="237"/>
        <v>2219001.9902860876</v>
      </c>
      <c r="V103">
        <f t="shared" si="238"/>
        <v>2425302.8438108843</v>
      </c>
      <c r="W103">
        <f t="shared" si="239"/>
        <v>2643875.8768588053</v>
      </c>
      <c r="X103">
        <f t="shared" si="240"/>
        <v>2875451.1222323044</v>
      </c>
      <c r="Y103">
        <f t="shared" si="241"/>
        <v>3120802.0400559101</v>
      </c>
      <c r="Z103">
        <f t="shared" si="242"/>
        <v>3380748.1011290462</v>
      </c>
      <c r="AA103">
        <f t="shared" si="243"/>
        <v>3656157.523954269</v>
      </c>
      <c r="AB103">
        <f t="shared" si="244"/>
        <v>3947950.1745825927</v>
      </c>
      <c r="AC103">
        <f t="shared" si="245"/>
        <v>4257100.6389613478</v>
      </c>
      <c r="AD103">
        <f t="shared" si="246"/>
        <v>4584641.4780462226</v>
      </c>
      <c r="AE103">
        <f t="shared" si="247"/>
        <v>4931666.6765495203</v>
      </c>
      <c r="AI103">
        <f t="shared" si="226"/>
        <v>61899.877121576428</v>
      </c>
      <c r="AJ103">
        <f t="shared" si="248"/>
        <v>140942.1346635542</v>
      </c>
      <c r="AK103">
        <f t="shared" si="249"/>
        <v>225523.25887686704</v>
      </c>
      <c r="AL103">
        <f t="shared" si="250"/>
        <v>316031.38447523466</v>
      </c>
      <c r="AM103">
        <f t="shared" si="251"/>
        <v>412881.84461655951</v>
      </c>
      <c r="AN103">
        <f t="shared" si="252"/>
        <v>516519.0768271836</v>
      </c>
      <c r="AO103">
        <f t="shared" si="253"/>
        <v>627418.6624833172</v>
      </c>
      <c r="AP103">
        <f t="shared" si="254"/>
        <v>746089.5092086253</v>
      </c>
      <c r="AQ103">
        <f t="shared" si="255"/>
        <v>873076.18620278477</v>
      </c>
      <c r="AR103">
        <f t="shared" si="256"/>
        <v>1008961.4232176144</v>
      </c>
      <c r="AS103">
        <f t="shared" si="257"/>
        <v>1154368.7846483383</v>
      </c>
      <c r="AT103">
        <f t="shared" si="258"/>
        <v>1309965.5310111374</v>
      </c>
      <c r="AU103">
        <f t="shared" si="259"/>
        <v>1476465.6809380285</v>
      </c>
      <c r="AV103">
        <f t="shared" si="260"/>
        <v>1654633.287740282</v>
      </c>
      <c r="AW103">
        <f t="shared" si="261"/>
        <v>1845285.9455762121</v>
      </c>
      <c r="AX103">
        <f t="shared" si="262"/>
        <v>2049298.5413128026</v>
      </c>
      <c r="AY103">
        <f t="shared" si="263"/>
        <v>2267607.269298119</v>
      </c>
      <c r="AZ103">
        <f t="shared" si="264"/>
        <v>2501213.927467898</v>
      </c>
      <c r="BA103">
        <f t="shared" si="265"/>
        <v>2751190.5145007451</v>
      </c>
      <c r="BB103">
        <f t="shared" si="266"/>
        <v>3018684.1491178549</v>
      </c>
      <c r="BC103">
        <f t="shared" si="267"/>
        <v>3304922.334101432</v>
      </c>
      <c r="BD103">
        <f t="shared" si="268"/>
        <v>3611218.5891879164</v>
      </c>
      <c r="BE103">
        <f t="shared" si="269"/>
        <v>3938978.4786847956</v>
      </c>
      <c r="BF103">
        <f t="shared" si="270"/>
        <v>4289706.0614711856</v>
      </c>
      <c r="BG103">
        <f t="shared" si="271"/>
        <v>4665010.7929806085</v>
      </c>
      <c r="BH103">
        <f t="shared" si="272"/>
        <v>5066614.9108385034</v>
      </c>
      <c r="BI103">
        <f t="shared" si="273"/>
        <v>5496361.3380464651</v>
      </c>
      <c r="BJ103">
        <f t="shared" si="274"/>
        <v>5956222.1399801672</v>
      </c>
    </row>
    <row r="104" spans="1:62" x14ac:dyDescent="0.3">
      <c r="D104">
        <f t="shared" si="224"/>
        <v>67686.706327309643</v>
      </c>
      <c r="E104">
        <f t="shared" si="275"/>
        <v>145174.22413717626</v>
      </c>
      <c r="F104">
        <f t="shared" si="276"/>
        <v>226658.60192526426</v>
      </c>
      <c r="G104">
        <f t="shared" si="277"/>
        <v>312888.49566256686</v>
      </c>
      <c r="H104">
        <f t="shared" si="228"/>
        <v>403951.75713949761</v>
      </c>
      <c r="I104">
        <f t="shared" si="229"/>
        <v>499952.70830467797</v>
      </c>
      <c r="J104">
        <f t="shared" si="278"/>
        <v>602584.55838603841</v>
      </c>
      <c r="K104">
        <f t="shared" si="278"/>
        <v>711053.14870138862</v>
      </c>
      <c r="L104">
        <f t="shared" si="278"/>
        <v>825690.41847361194</v>
      </c>
      <c r="M104">
        <f t="shared" si="278"/>
        <v>946847.18452563405</v>
      </c>
      <c r="N104">
        <f t="shared" si="279"/>
        <v>1076419.2253278855</v>
      </c>
      <c r="O104">
        <f t="shared" si="231"/>
        <v>1214751.4758536234</v>
      </c>
      <c r="P104">
        <f t="shared" si="232"/>
        <v>1361312.6705804351</v>
      </c>
      <c r="Q104">
        <f t="shared" si="233"/>
        <v>1516592.3231423947</v>
      </c>
      <c r="R104">
        <f t="shared" si="234"/>
        <v>1681109.0667777546</v>
      </c>
      <c r="S104">
        <f t="shared" si="235"/>
        <v>1855412.3865612836</v>
      </c>
      <c r="T104">
        <f t="shared" si="236"/>
        <v>2040084.4546815851</v>
      </c>
      <c r="U104">
        <f t="shared" si="237"/>
        <v>2235742.0748931989</v>
      </c>
      <c r="V104">
        <f t="shared" si="238"/>
        <v>2443038.7426379593</v>
      </c>
      <c r="W104">
        <f t="shared" si="239"/>
        <v>2662666.8277164027</v>
      </c>
      <c r="X104">
        <f t="shared" si="240"/>
        <v>2895359.8867993196</v>
      </c>
      <c r="Y104">
        <f t="shared" si="241"/>
        <v>3141895.1135032601</v>
      </c>
      <c r="Z104">
        <f t="shared" si="242"/>
        <v>3403095.9342131959</v>
      </c>
      <c r="AA104">
        <f t="shared" si="243"/>
        <v>3679834.7583223958</v>
      </c>
      <c r="AB104">
        <f t="shared" si="244"/>
        <v>3973035.8920753025</v>
      </c>
      <c r="AC104">
        <f t="shared" si="245"/>
        <v>4283678.6257456141</v>
      </c>
      <c r="AD104">
        <f t="shared" si="246"/>
        <v>4612800.504460752</v>
      </c>
      <c r="AE104">
        <f t="shared" si="247"/>
        <v>4961500.7935972251</v>
      </c>
      <c r="AI104">
        <f t="shared" si="226"/>
        <v>68284.190426084548</v>
      </c>
      <c r="AJ104">
        <f t="shared" si="248"/>
        <v>147773.82714574991</v>
      </c>
      <c r="AK104">
        <f t="shared" si="249"/>
        <v>232833.68052211011</v>
      </c>
      <c r="AL104">
        <f t="shared" si="250"/>
        <v>323854.08211136446</v>
      </c>
      <c r="AM104">
        <f t="shared" si="251"/>
        <v>421252.71585708921</v>
      </c>
      <c r="AN104">
        <f t="shared" si="252"/>
        <v>525476.53480202542</v>
      </c>
      <c r="AO104">
        <f t="shared" si="253"/>
        <v>637003.81211297272</v>
      </c>
      <c r="AP104">
        <f t="shared" si="254"/>
        <v>756346.3358307461</v>
      </c>
      <c r="AQ104">
        <f t="shared" si="255"/>
        <v>884051.75741669256</v>
      </c>
      <c r="AR104">
        <f t="shared" si="256"/>
        <v>1020706.1048730261</v>
      </c>
      <c r="AS104">
        <f t="shared" si="257"/>
        <v>1166936.471969448</v>
      </c>
      <c r="AT104">
        <f t="shared" si="258"/>
        <v>1323413.8959166605</v>
      </c>
      <c r="AU104">
        <f t="shared" si="259"/>
        <v>1490856.4366921377</v>
      </c>
      <c r="AV104">
        <f t="shared" si="260"/>
        <v>1670032.472148892</v>
      </c>
      <c r="AW104">
        <f t="shared" si="261"/>
        <v>1861764.2240281736</v>
      </c>
      <c r="AX104">
        <f t="shared" si="262"/>
        <v>2066931.531056633</v>
      </c>
      <c r="AY104">
        <f t="shared" si="263"/>
        <v>2286475.8864423465</v>
      </c>
      <c r="AZ104">
        <f t="shared" si="264"/>
        <v>2521404.7582973661</v>
      </c>
      <c r="BA104">
        <f t="shared" si="265"/>
        <v>2772796.2128128195</v>
      </c>
      <c r="BB104">
        <f t="shared" si="266"/>
        <v>3041803.861401862</v>
      </c>
      <c r="BC104">
        <f t="shared" si="267"/>
        <v>3329662.1545124459</v>
      </c>
      <c r="BD104">
        <f t="shared" si="268"/>
        <v>3637692.0464027198</v>
      </c>
      <c r="BE104">
        <f t="shared" si="269"/>
        <v>3967307.0568741513</v>
      </c>
      <c r="BF104">
        <f t="shared" si="270"/>
        <v>4320019.7577791121</v>
      </c>
      <c r="BG104">
        <f t="shared" si="271"/>
        <v>4697448.7140688784</v>
      </c>
      <c r="BH104">
        <f t="shared" si="272"/>
        <v>5101325.9112338489</v>
      </c>
      <c r="BI104">
        <f t="shared" si="273"/>
        <v>5533504.7032198077</v>
      </c>
      <c r="BJ104">
        <f t="shared" si="274"/>
        <v>5995968.3172924547</v>
      </c>
    </row>
    <row r="105" spans="1:62" x14ac:dyDescent="0.3">
      <c r="D105">
        <f t="shared" si="224"/>
        <v>73996.190493884336</v>
      </c>
      <c r="E105">
        <f t="shared" si="275"/>
        <v>151809.15587855238</v>
      </c>
      <c r="F105">
        <f t="shared" si="276"/>
        <v>233635.76805335039</v>
      </c>
      <c r="G105">
        <f t="shared" si="277"/>
        <v>320294.79392843874</v>
      </c>
      <c r="H105">
        <f>(H104+6000)*1.00566-(0.00125*(H104+6000))</f>
        <v>411759.64438848279</v>
      </c>
      <c r="I105">
        <f>(I104+6000)*1.00566-(0.00104*(I104+6000))</f>
        <v>508290.2098170456</v>
      </c>
      <c r="J105">
        <f t="shared" si="278"/>
        <v>611396.21904578188</v>
      </c>
      <c r="K105">
        <f t="shared" si="278"/>
        <v>720365.93424838898</v>
      </c>
      <c r="L105">
        <f t="shared" si="278"/>
        <v>835532.82820696</v>
      </c>
      <c r="M105">
        <f t="shared" si="278"/>
        <v>957249.33851814247</v>
      </c>
      <c r="N105">
        <f t="shared" si="279"/>
        <v>1087644.0629285432</v>
      </c>
      <c r="O105">
        <f t="shared" si="231"/>
        <v>1226644.0432275687</v>
      </c>
      <c r="P105">
        <f t="shared" si="232"/>
        <v>1373912.6888413269</v>
      </c>
      <c r="Q105">
        <f t="shared" si="233"/>
        <v>1529941.876286203</v>
      </c>
      <c r="R105">
        <f t="shared" si="234"/>
        <v>1695252.7422430909</v>
      </c>
      <c r="S105">
        <f t="shared" si="235"/>
        <v>1870397.424151215</v>
      </c>
      <c r="T105">
        <f t="shared" si="236"/>
        <v>2055960.9043443331</v>
      </c>
      <c r="U105">
        <f t="shared" si="237"/>
        <v>2252562.9638887085</v>
      </c>
      <c r="V105">
        <f t="shared" si="238"/>
        <v>2460860.252648673</v>
      </c>
      <c r="W105" s="3">
        <f t="shared" si="239"/>
        <v>2681548.4824937894</v>
      </c>
      <c r="X105">
        <f t="shared" si="240"/>
        <v>2915364.7509729001</v>
      </c>
      <c r="Y105">
        <f t="shared" si="241"/>
        <v>3163090.00321614</v>
      </c>
      <c r="Z105">
        <f t="shared" si="242"/>
        <v>3425551.6402876428</v>
      </c>
      <c r="AA105">
        <f t="shared" si="243"/>
        <v>3703626.282700818</v>
      </c>
      <c r="AB105" s="3">
        <f t="shared" si="244"/>
        <v>3998242.6983263497</v>
      </c>
      <c r="AC105">
        <f t="shared" si="245"/>
        <v>4310384.9044720884</v>
      </c>
      <c r="AD105">
        <f t="shared" si="246"/>
        <v>4641095.4544957839</v>
      </c>
      <c r="AE105">
        <f t="shared" si="247"/>
        <v>4991478.9199279193</v>
      </c>
      <c r="AI105">
        <f t="shared" si="226"/>
        <v>74704.638943896192</v>
      </c>
      <c r="AJ105">
        <f t="shared" si="248"/>
        <v>154644.18700739485</v>
      </c>
      <c r="AK105">
        <f t="shared" si="249"/>
        <v>240185.47915386525</v>
      </c>
      <c r="AL105">
        <f t="shared" si="250"/>
        <v>331721.05621611478</v>
      </c>
      <c r="AM105">
        <f t="shared" si="251"/>
        <v>429670.96622884035</v>
      </c>
      <c r="AN105">
        <f t="shared" si="252"/>
        <v>534484.69198900484</v>
      </c>
      <c r="AO105">
        <f t="shared" si="253"/>
        <v>646643.21368953213</v>
      </c>
      <c r="AP105">
        <f t="shared" si="254"/>
        <v>766661.21609154809</v>
      </c>
      <c r="AQ105">
        <f t="shared" si="255"/>
        <v>895089.45036367106</v>
      </c>
      <c r="AR105">
        <f t="shared" si="256"/>
        <v>1032517.2614266075</v>
      </c>
      <c r="AS105">
        <f t="shared" si="257"/>
        <v>1179575.292400795</v>
      </c>
      <c r="AT105">
        <f t="shared" si="258"/>
        <v>1336938.3785675489</v>
      </c>
      <c r="AU105">
        <f t="shared" si="259"/>
        <v>1505328.6441238152</v>
      </c>
      <c r="AV105">
        <f t="shared" si="260"/>
        <v>1685518.8159412548</v>
      </c>
      <c r="AW105">
        <f t="shared" si="261"/>
        <v>1878335.769536173</v>
      </c>
      <c r="AX105">
        <f t="shared" si="262"/>
        <v>2084664.3235224136</v>
      </c>
      <c r="AY105">
        <f t="shared" si="263"/>
        <v>2305451.2999596102</v>
      </c>
      <c r="AZ105">
        <f t="shared" si="264"/>
        <v>2541709.8692293293</v>
      </c>
      <c r="BA105">
        <f t="shared" si="265"/>
        <v>2794524.1993773403</v>
      </c>
      <c r="BB105" s="3">
        <f t="shared" si="266"/>
        <v>3065054.4312573965</v>
      </c>
      <c r="BC105">
        <f t="shared" si="267"/>
        <v>3354542.0023069861</v>
      </c>
      <c r="BD105">
        <f t="shared" si="268"/>
        <v>3664315.3433853593</v>
      </c>
      <c r="BE105">
        <f t="shared" si="269"/>
        <v>3995795.9748160592</v>
      </c>
      <c r="BF105">
        <f t="shared" si="270"/>
        <v>4350505.0296081416</v>
      </c>
      <c r="BG105" s="3">
        <f t="shared" si="271"/>
        <v>4730070.2337905085</v>
      </c>
      <c r="BH105">
        <f t="shared" si="272"/>
        <v>5136233.3758914322</v>
      </c>
      <c r="BI105">
        <f t="shared" si="273"/>
        <v>5570858.2998400321</v>
      </c>
      <c r="BJ105">
        <f t="shared" si="274"/>
        <v>6035939.45796833</v>
      </c>
    </row>
    <row r="108" spans="1:62" x14ac:dyDescent="0.3">
      <c r="D108" t="s">
        <v>60</v>
      </c>
      <c r="AI108" t="s">
        <v>60</v>
      </c>
      <c r="AJ108" t="s">
        <v>66</v>
      </c>
    </row>
    <row r="109" spans="1:62" x14ac:dyDescent="0.3">
      <c r="D109" t="s">
        <v>61</v>
      </c>
      <c r="AI109" t="s">
        <v>61</v>
      </c>
    </row>
    <row r="110" spans="1:62" x14ac:dyDescent="0.3">
      <c r="D110" t="s">
        <v>79</v>
      </c>
      <c r="AI110" t="s">
        <v>79</v>
      </c>
    </row>
    <row r="111" spans="1:62" x14ac:dyDescent="0.3">
      <c r="D111" t="s">
        <v>15</v>
      </c>
      <c r="E111" t="s">
        <v>16</v>
      </c>
      <c r="F111" t="s">
        <v>17</v>
      </c>
      <c r="G111" t="s">
        <v>18</v>
      </c>
      <c r="H111" t="s">
        <v>19</v>
      </c>
      <c r="I111" t="s">
        <v>20</v>
      </c>
      <c r="J111" t="s">
        <v>21</v>
      </c>
      <c r="K111" t="s">
        <v>22</v>
      </c>
      <c r="L111" t="s">
        <v>23</v>
      </c>
      <c r="M111" t="s">
        <v>24</v>
      </c>
      <c r="N111" t="s">
        <v>25</v>
      </c>
      <c r="O111" t="s">
        <v>26</v>
      </c>
      <c r="P111" t="s">
        <v>27</v>
      </c>
      <c r="Q111" t="s">
        <v>28</v>
      </c>
      <c r="R111" t="s">
        <v>29</v>
      </c>
      <c r="S111" t="s">
        <v>30</v>
      </c>
      <c r="T111" t="s">
        <v>31</v>
      </c>
      <c r="U111" t="s">
        <v>32</v>
      </c>
      <c r="V111" t="s">
        <v>33</v>
      </c>
      <c r="W111" t="s">
        <v>34</v>
      </c>
      <c r="X111" t="s">
        <v>35</v>
      </c>
      <c r="Y111" t="s">
        <v>36</v>
      </c>
      <c r="Z111" t="s">
        <v>37</v>
      </c>
      <c r="AA111" t="s">
        <v>38</v>
      </c>
      <c r="AB111" t="s">
        <v>39</v>
      </c>
      <c r="AC111" t="s">
        <v>67</v>
      </c>
      <c r="AD111" t="s">
        <v>68</v>
      </c>
      <c r="AE111" t="s">
        <v>69</v>
      </c>
      <c r="AI111" t="s">
        <v>15</v>
      </c>
      <c r="AJ111" t="s">
        <v>16</v>
      </c>
      <c r="AK111" t="s">
        <v>17</v>
      </c>
      <c r="AL111" t="s">
        <v>18</v>
      </c>
      <c r="AM111" t="s">
        <v>19</v>
      </c>
      <c r="AN111" t="s">
        <v>20</v>
      </c>
      <c r="AO111" t="s">
        <v>21</v>
      </c>
      <c r="AP111" t="s">
        <v>22</v>
      </c>
      <c r="AQ111" t="s">
        <v>23</v>
      </c>
      <c r="AR111" t="s">
        <v>24</v>
      </c>
      <c r="AS111" t="s">
        <v>25</v>
      </c>
      <c r="AT111" t="s">
        <v>26</v>
      </c>
      <c r="AU111" t="s">
        <v>27</v>
      </c>
      <c r="AV111" t="s">
        <v>28</v>
      </c>
      <c r="AW111" t="s">
        <v>29</v>
      </c>
      <c r="AX111" t="s">
        <v>30</v>
      </c>
      <c r="AY111" t="s">
        <v>31</v>
      </c>
      <c r="AZ111" t="s">
        <v>32</v>
      </c>
      <c r="BA111" t="s">
        <v>33</v>
      </c>
      <c r="BB111" t="s">
        <v>34</v>
      </c>
      <c r="BC111" t="s">
        <v>35</v>
      </c>
      <c r="BD111" t="s">
        <v>36</v>
      </c>
      <c r="BE111" t="s">
        <v>37</v>
      </c>
      <c r="BF111" t="s">
        <v>38</v>
      </c>
      <c r="BG111" t="s">
        <v>39</v>
      </c>
      <c r="BH111" t="s">
        <v>67</v>
      </c>
      <c r="BI111" t="s">
        <v>68</v>
      </c>
      <c r="BJ111" t="s">
        <v>69</v>
      </c>
    </row>
    <row r="112" spans="1:62" x14ac:dyDescent="0.3">
      <c r="D112">
        <v>0</v>
      </c>
      <c r="AI112">
        <v>0</v>
      </c>
    </row>
    <row r="113" spans="1:62" x14ac:dyDescent="0.3">
      <c r="D113">
        <f t="shared" ref="D113:D124" si="280">(D112+6000)*1.00644-(0.00146*(D112+6000))</f>
        <v>6029.88</v>
      </c>
      <c r="E113">
        <f>(D124+6000)*1.00644-(0.00146*(D124+6000))</f>
        <v>80773.993294191328</v>
      </c>
      <c r="F113">
        <f>(E124+6000)*1.00644-(0.00146*(E124+6000))</f>
        <v>160109.21177138694</v>
      </c>
      <c r="G113">
        <f>(F124+6000)*1.00644-(0.00146*(F124+6000))</f>
        <v>244317.5408748576</v>
      </c>
      <c r="H113">
        <f>(G124+6000)*1.00644-(0.00125*(G124+6000))</f>
        <v>334451.33113939821</v>
      </c>
      <c r="I113">
        <f>(H124+6000)*1.00644-(0.00125*(H124+6000))</f>
        <v>430361.69690983807</v>
      </c>
      <c r="J113">
        <f>(I124+6000)*1.00644-(0.00104*(I124+6000))</f>
        <v>532856.32479973254</v>
      </c>
      <c r="K113">
        <f>(J124+6000)*1.00644-(0.00104*(J124+6000))</f>
        <v>643007.53479074338</v>
      </c>
      <c r="L113">
        <f>(K124+6000)*1.00644-(0.00104*(K124+6000))</f>
        <v>760512.39843479521</v>
      </c>
      <c r="M113">
        <f>(L124+6000)*1.00644-(0.00104*(L124+6000))</f>
        <v>885861.84290421102</v>
      </c>
      <c r="N113">
        <f t="shared" ref="N113:AE113" si="281">(M124+6000)*1.00644-(0.000833*(M124+6000))</f>
        <v>1019998.2092624438</v>
      </c>
      <c r="O113">
        <f t="shared" si="281"/>
        <v>1165463.049398121</v>
      </c>
      <c r="P113">
        <f t="shared" si="281"/>
        <v>1321022.8893309899</v>
      </c>
      <c r="Q113">
        <f t="shared" si="281"/>
        <v>1487378.3039959294</v>
      </c>
      <c r="R113">
        <f t="shared" si="281"/>
        <v>1665278.48697559</v>
      </c>
      <c r="S113">
        <f t="shared" si="281"/>
        <v>1855524.6245476103</v>
      </c>
      <c r="T113">
        <f t="shared" si="281"/>
        <v>2058973.5038846831</v>
      </c>
      <c r="U113">
        <f t="shared" si="281"/>
        <v>2276541.37165725</v>
      </c>
      <c r="V113">
        <f t="shared" si="281"/>
        <v>2509208.0604163231</v>
      </c>
      <c r="W113">
        <f t="shared" si="281"/>
        <v>2758021.4013398997</v>
      </c>
      <c r="X113">
        <f t="shared" si="281"/>
        <v>3024101.9432160882</v>
      </c>
      <c r="Y113">
        <f t="shared" si="281"/>
        <v>3308647.9989152122</v>
      </c>
      <c r="Z113">
        <f t="shared" si="281"/>
        <v>3612941.0420780787</v>
      </c>
      <c r="AA113">
        <f t="shared" si="281"/>
        <v>3938351.478324736</v>
      </c>
      <c r="AB113">
        <f t="shared" si="281"/>
        <v>4286344.8169748187</v>
      </c>
      <c r="AC113">
        <f t="shared" si="281"/>
        <v>4658488.2710742457</v>
      </c>
      <c r="AD113">
        <f t="shared" si="281"/>
        <v>5056457.8154519508</v>
      </c>
      <c r="AE113">
        <f t="shared" si="281"/>
        <v>5482045.7345931679</v>
      </c>
      <c r="AI113">
        <f t="shared" ref="AI113:AI124" si="282">(AI112+6000)*1.00644-0</f>
        <v>6038.64</v>
      </c>
      <c r="AJ113">
        <f t="shared" ref="AJ113:BJ113" si="283">(AI124+6000)*1.00644-0</f>
        <v>81608.443347264561</v>
      </c>
      <c r="AK113">
        <f t="shared" si="283"/>
        <v>163229.64059236192</v>
      </c>
      <c r="AL113">
        <f t="shared" si="283"/>
        <v>251386.80846415358</v>
      </c>
      <c r="AM113">
        <f t="shared" si="283"/>
        <v>346603.32708293758</v>
      </c>
      <c r="AN113">
        <f t="shared" si="283"/>
        <v>449444.48721487768</v>
      </c>
      <c r="AO113">
        <f t="shared" si="283"/>
        <v>560520.84634566482</v>
      </c>
      <c r="AP113">
        <f t="shared" si="283"/>
        <v>680491.85349807935</v>
      </c>
      <c r="AQ113">
        <f t="shared" si="283"/>
        <v>810069.76431362552</v>
      </c>
      <c r="AR113">
        <f t="shared" si="283"/>
        <v>950023.86964167864</v>
      </c>
      <c r="AS113">
        <f t="shared" si="283"/>
        <v>1101185.0627408486</v>
      </c>
      <c r="AT113">
        <f t="shared" si="283"/>
        <v>1264450.7722075675</v>
      </c>
      <c r="AU113">
        <f t="shared" si="283"/>
        <v>1440790.2899181983</v>
      </c>
      <c r="AV113">
        <f t="shared" si="283"/>
        <v>1631250.5256161077</v>
      </c>
      <c r="AW113">
        <f t="shared" si="283"/>
        <v>1836962.2223081114</v>
      </c>
      <c r="AX113">
        <f t="shared" si="283"/>
        <v>2059146.6693704503</v>
      </c>
      <c r="AY113">
        <f t="shared" si="283"/>
        <v>2299122.953219342</v>
      </c>
      <c r="AZ113">
        <f t="shared" si="283"/>
        <v>2558315.788592584</v>
      </c>
      <c r="BA113">
        <f t="shared" si="283"/>
        <v>2838263.9769357415</v>
      </c>
      <c r="BB113">
        <f t="shared" si="283"/>
        <v>3140629.5421094876</v>
      </c>
      <c r="BC113">
        <f t="shared" si="283"/>
        <v>3467207.597655864</v>
      </c>
      <c r="BD113">
        <f t="shared" si="283"/>
        <v>3819937.0042044129</v>
      </c>
      <c r="BE113">
        <f t="shared" si="283"/>
        <v>4200911.8802901171</v>
      </c>
      <c r="BF113">
        <f t="shared" si="283"/>
        <v>4612394.0349217048</v>
      </c>
      <c r="BG113">
        <f t="shared" si="283"/>
        <v>5056826.3957111975</v>
      </c>
      <c r="BH113">
        <f t="shared" si="283"/>
        <v>5536847.512286149</v>
      </c>
      <c r="BI113">
        <f t="shared" si="283"/>
        <v>6055307.221089853</v>
      </c>
      <c r="BJ113">
        <f t="shared" si="283"/>
        <v>6615283.5645698393</v>
      </c>
    </row>
    <row r="114" spans="1:62" x14ac:dyDescent="0.3">
      <c r="D114">
        <f t="shared" si="280"/>
        <v>12089.788802400002</v>
      </c>
      <c r="E114">
        <f t="shared" ref="E114:E124" si="284">(E113+6000)*1.00644-(0.00146*(E113+6000))</f>
        <v>87206.127780796407</v>
      </c>
      <c r="F114">
        <f t="shared" ref="F114:F124" si="285">(F113+6000)*1.00644-(0.00146*(F113+6000))</f>
        <v>166936.43564600844</v>
      </c>
      <c r="G114">
        <f t="shared" ref="G114:I121" si="286">(G113+6000)*1.00644-(0.00125*(G113+6000))</f>
        <v>251616.68891199809</v>
      </c>
      <c r="H114">
        <f t="shared" si="286"/>
        <v>342218.27354801167</v>
      </c>
      <c r="I114">
        <f t="shared" si="286"/>
        <v>438626.41411680012</v>
      </c>
      <c r="J114">
        <f t="shared" ref="J114:J123" si="287">(J113+6000)*1.00644-(0.00104*(J113+6000))</f>
        <v>541766.14895365108</v>
      </c>
      <c r="K114">
        <f t="shared" ref="K114:K123" si="288">(K113+6000)*1.00644-(0.00104*(K113+6000))</f>
        <v>652512.17547861347</v>
      </c>
      <c r="L114">
        <f t="shared" ref="L114:L123" si="289">(L113+6000)*1.00644-(0.00104*(L113+6000))</f>
        <v>770651.56538634317</v>
      </c>
      <c r="M114">
        <f t="shared" ref="M114:M123" si="290">(M113+6000)*1.00644-(0.00104*(M113+6000))</f>
        <v>896677.89685589378</v>
      </c>
      <c r="N114">
        <f t="shared" ref="N114:N124" si="291">(N113+6000)*1.00644-(0.000833*(N113+6000))</f>
        <v>1031750.9812217783</v>
      </c>
      <c r="O114">
        <f t="shared" ref="O114:O124" si="292">(O113+6000)*1.00644-(0.000833*(O113+6000))</f>
        <v>1178031.4427160963</v>
      </c>
      <c r="P114">
        <f t="shared" ref="P114:P124" si="293">(P113+6000)*1.00644-(0.000833*(P113+6000))</f>
        <v>1334463.5066714687</v>
      </c>
      <c r="Q114">
        <f t="shared" ref="Q114:Q124" si="294">(Q113+6000)*1.00644-(0.000833*(Q113+6000))</f>
        <v>1501751.6761464346</v>
      </c>
      <c r="R114">
        <f t="shared" ref="R114:R124" si="295">(R113+6000)*1.00644-(0.000833*(R113+6000))</f>
        <v>1680649.3454520621</v>
      </c>
      <c r="S114">
        <f t="shared" ref="S114:S124" si="296">(S113+6000)*1.00644-(0.000833*(S113+6000))</f>
        <v>1871962.1931174486</v>
      </c>
      <c r="T114">
        <f t="shared" ref="T114:T124" si="297">(T113+6000)*1.00644-(0.000833*(T113+6000))</f>
        <v>2076551.8103209645</v>
      </c>
      <c r="U114">
        <f t="shared" ref="U114:U124" si="298">(U113+6000)*1.00644-(0.000833*(U113+6000))</f>
        <v>2295339.5811281321</v>
      </c>
      <c r="V114">
        <f t="shared" ref="V114:V124" si="299">(V113+6000)*1.00644-(0.000833*(V113+6000))</f>
        <v>2529310.8320110771</v>
      </c>
      <c r="W114">
        <f t="shared" ref="W114:W124" si="300">(W113+6000)*1.00644-(0.000833*(W113+6000))</f>
        <v>2779519.2693372127</v>
      </c>
      <c r="X114">
        <f t="shared" ref="X114:X124" si="301">(X113+6000)*1.00644-(0.000833*(X113+6000))</f>
        <v>3047091.7248117006</v>
      </c>
      <c r="Y114">
        <f t="shared" ref="Y114:Y124" si="302">(Y113+6000)*1.00644-(0.000833*(Y113+6000))</f>
        <v>3333233.2302451297</v>
      </c>
      <c r="Z114">
        <f t="shared" ref="Z114:Z124" si="303">(Z113+6000)*1.00644-(0.000833*(Z113+6000))</f>
        <v>3639232.4445010107</v>
      </c>
      <c r="AA114">
        <f t="shared" ref="AA114:AA124" si="304">(AA113+6000)*1.00644-(0.000833*(AA113+6000))</f>
        <v>3966467.4570637024</v>
      </c>
      <c r="AB114">
        <f t="shared" ref="AB114:AB124" si="305">(AB113+6000)*1.00644-(0.000833*(AB113+6000))</f>
        <v>4316411.9943635967</v>
      </c>
      <c r="AC114">
        <f t="shared" ref="AC114:AC124" si="306">(AC113+6000)*1.00644-(0.000833*(AC113+6000))</f>
        <v>4690642.0568101592</v>
      </c>
      <c r="AD114">
        <f t="shared" ref="AD114:AD124" si="307">(AD113+6000)*1.00644-(0.000833*(AD113+6000))</f>
        <v>5090843.01642319</v>
      </c>
      <c r="AE114">
        <f t="shared" ref="AE114:AE124" si="308">(AE113+6000)*1.00644-(0.000833*(AE113+6000))</f>
        <v>5518817.207027032</v>
      </c>
      <c r="AI114">
        <f t="shared" si="282"/>
        <v>12116.1688416</v>
      </c>
      <c r="AJ114">
        <f t="shared" ref="AJ114:AJ124" si="309">(AJ113+6000)*1.00644-0</f>
        <v>88172.641722420944</v>
      </c>
      <c r="AK114">
        <f t="shared" ref="AK114:AK124" si="310">(AK113+6000)*1.00644-0</f>
        <v>170319.47947777674</v>
      </c>
      <c r="AL114">
        <f t="shared" ref="AL114:AL124" si="311">(AL113+6000)*1.00644-0</f>
        <v>259044.37951066272</v>
      </c>
      <c r="AM114">
        <f t="shared" ref="AM114:AM124" si="312">(AM113+6000)*1.00644-0</f>
        <v>354874.09250935173</v>
      </c>
      <c r="AN114">
        <f t="shared" ref="AN114:AN124" si="313">(AN113+6000)*1.00644-0</f>
        <v>458377.54971254151</v>
      </c>
      <c r="AO114">
        <f t="shared" ref="AO114:AO124" si="314">(AO113+6000)*1.00644-0</f>
        <v>570169.24059613096</v>
      </c>
      <c r="AP114">
        <f t="shared" ref="AP114:AP124" si="315">(AP113+6000)*1.00644-0</f>
        <v>690912.86103460693</v>
      </c>
      <c r="AQ114">
        <f t="shared" ref="AQ114:AQ124" si="316">(AQ113+6000)*1.00644-0</f>
        <v>821325.25359580526</v>
      </c>
      <c r="AR114">
        <f t="shared" ref="AR114:AR124" si="317">(AR113+6000)*1.00644-0</f>
        <v>962180.66336217104</v>
      </c>
      <c r="AS114">
        <f t="shared" ref="AS114:AS124" si="318">(AS113+6000)*1.00644-0</f>
        <v>1114315.3345448996</v>
      </c>
      <c r="AT114">
        <f t="shared" ref="AT114:AT124" si="319">(AT113+6000)*1.00644-0</f>
        <v>1278632.4751805842</v>
      </c>
      <c r="AU114">
        <f t="shared" ref="AU114:AU124" si="320">(AU113+6000)*1.00644-0</f>
        <v>1456107.6193852713</v>
      </c>
      <c r="AV114">
        <f t="shared" ref="AV114:AV124" si="321">(AV113+6000)*1.00644-0</f>
        <v>1647794.4190010754</v>
      </c>
      <c r="AW114">
        <f t="shared" ref="AW114:AW124" si="322">(AW113+6000)*1.00644-0</f>
        <v>1854830.8990197757</v>
      </c>
      <c r="AX114">
        <f t="shared" ref="AX114:AX124" si="323">(AX113+6000)*1.00644-0</f>
        <v>2078446.2139211961</v>
      </c>
      <c r="AY114">
        <f t="shared" ref="AY114:AY124" si="324">(AY113+6000)*1.00644-0</f>
        <v>2319967.9450380746</v>
      </c>
      <c r="AZ114">
        <f t="shared" ref="AZ114:AZ124" si="325">(AZ113+6000)*1.00644-0</f>
        <v>2580829.9822711204</v>
      </c>
      <c r="BA114">
        <f t="shared" ref="BA114:BA124" si="326">(BA113+6000)*1.00644-0</f>
        <v>2862581.0369472075</v>
      </c>
      <c r="BB114">
        <f t="shared" ref="BB114:BB124" si="327">(BB113+6000)*1.00644-0</f>
        <v>3166893.8363606725</v>
      </c>
      <c r="BC114">
        <f t="shared" ref="BC114:BC124" si="328">(BC113+6000)*1.00644-0</f>
        <v>3495575.0545847677</v>
      </c>
      <c r="BD114">
        <f t="shared" ref="BD114:BD124" si="329">(BD113+6000)*1.00644-0</f>
        <v>3850576.0385114895</v>
      </c>
      <c r="BE114">
        <f t="shared" ref="BE114:BE124" si="330">(BE113+6000)*1.00644-0</f>
        <v>4234004.3927991856</v>
      </c>
      <c r="BF114">
        <f t="shared" ref="BF114:BF124" si="331">(BF113+6000)*1.00644-0</f>
        <v>4648136.4925066009</v>
      </c>
      <c r="BG114">
        <f t="shared" ref="BG114:BG124" si="332">(BG113+6000)*1.00644-0</f>
        <v>5095430.9976995774</v>
      </c>
      <c r="BH114">
        <f t="shared" ref="BH114:BH124" si="333">(BH113+6000)*1.00644-0</f>
        <v>5578543.4502652716</v>
      </c>
      <c r="BI114">
        <f t="shared" ref="BI114:BI124" si="334">(BI113+6000)*1.00644-0</f>
        <v>6100342.0395936714</v>
      </c>
      <c r="BJ114">
        <f t="shared" ref="BJ114:BJ124" si="335">(BJ113+6000)*1.00644-0</f>
        <v>6663924.6307256687</v>
      </c>
    </row>
    <row r="115" spans="1:62" x14ac:dyDescent="0.3">
      <c r="A115">
        <f>0.0175/12</f>
        <v>1.4583333333333334E-3</v>
      </c>
      <c r="B115">
        <v>1.75</v>
      </c>
      <c r="D115">
        <f t="shared" si="280"/>
        <v>18179.875950635953</v>
      </c>
      <c r="E115">
        <f t="shared" si="284"/>
        <v>93670.294297144777</v>
      </c>
      <c r="F115">
        <f t="shared" si="285"/>
        <v>173797.65909552557</v>
      </c>
      <c r="G115">
        <f t="shared" si="286"/>
        <v>258953.71952745138</v>
      </c>
      <c r="H115">
        <f t="shared" si="286"/>
        <v>350025.5263877259</v>
      </c>
      <c r="I115">
        <f t="shared" si="286"/>
        <v>446934.02520606632</v>
      </c>
      <c r="J115">
        <f t="shared" si="287"/>
        <v>550724.08615800075</v>
      </c>
      <c r="K115">
        <f t="shared" si="288"/>
        <v>662068.14122619794</v>
      </c>
      <c r="L115">
        <f t="shared" si="289"/>
        <v>780845.48383942945</v>
      </c>
      <c r="M115">
        <f t="shared" si="290"/>
        <v>907552.35749891552</v>
      </c>
      <c r="N115">
        <f t="shared" si="291"/>
        <v>1043569.6509734888</v>
      </c>
      <c r="O115">
        <f t="shared" si="292"/>
        <v>1190670.3070154055</v>
      </c>
      <c r="P115">
        <f t="shared" si="293"/>
        <v>1347979.4855533757</v>
      </c>
      <c r="Q115">
        <f t="shared" si="294"/>
        <v>1516205.6397945879</v>
      </c>
      <c r="R115">
        <f t="shared" si="295"/>
        <v>1696106.3883320119</v>
      </c>
      <c r="S115">
        <f t="shared" si="296"/>
        <v>1888491.927134258</v>
      </c>
      <c r="T115">
        <f t="shared" si="297"/>
        <v>2094228.6783214342</v>
      </c>
      <c r="U115">
        <f t="shared" si="298"/>
        <v>2314243.1921595177</v>
      </c>
      <c r="V115">
        <f t="shared" si="299"/>
        <v>2549526.319846163</v>
      </c>
      <c r="W115">
        <f t="shared" si="300"/>
        <v>2801137.6758803865</v>
      </c>
      <c r="X115">
        <f t="shared" si="301"/>
        <v>3070210.4101127195</v>
      </c>
      <c r="Y115">
        <f t="shared" si="302"/>
        <v>3357956.3109671143</v>
      </c>
      <c r="Z115">
        <f t="shared" si="303"/>
        <v>3665671.2628173279</v>
      </c>
      <c r="AA115">
        <f t="shared" si="304"/>
        <v>3994741.0820954586</v>
      </c>
      <c r="AB115">
        <f t="shared" si="305"/>
        <v>4346647.7584159933</v>
      </c>
      <c r="AC115">
        <f t="shared" si="306"/>
        <v>4722976.1288226945</v>
      </c>
      <c r="AD115">
        <f t="shared" si="307"/>
        <v>5125421.0152162751</v>
      </c>
      <c r="AE115">
        <f t="shared" si="308"/>
        <v>5555794.8571068328</v>
      </c>
      <c r="AI115">
        <f t="shared" si="282"/>
        <v>18232.836968939904</v>
      </c>
      <c r="AJ115">
        <f t="shared" si="309"/>
        <v>94779.113535113342</v>
      </c>
      <c r="AK115">
        <f t="shared" si="310"/>
        <v>177454.97692561362</v>
      </c>
      <c r="AL115">
        <f t="shared" si="311"/>
        <v>266751.26531471143</v>
      </c>
      <c r="AM115">
        <f t="shared" si="312"/>
        <v>363198.12166511198</v>
      </c>
      <c r="AN115">
        <f t="shared" si="313"/>
        <v>467368.1411326903</v>
      </c>
      <c r="AO115">
        <f t="shared" si="314"/>
        <v>579879.77050556999</v>
      </c>
      <c r="AP115">
        <f t="shared" si="315"/>
        <v>701400.97985966981</v>
      </c>
      <c r="AQ115">
        <f t="shared" si="316"/>
        <v>832653.22822896228</v>
      </c>
      <c r="AR115">
        <f t="shared" si="317"/>
        <v>974415.74683422339</v>
      </c>
      <c r="AS115">
        <f t="shared" si="318"/>
        <v>1127530.1652993688</v>
      </c>
      <c r="AT115">
        <f t="shared" si="319"/>
        <v>1292905.5083207472</v>
      </c>
      <c r="AU115">
        <f t="shared" si="320"/>
        <v>1471523.5924541124</v>
      </c>
      <c r="AV115">
        <f t="shared" si="321"/>
        <v>1664444.8550594423</v>
      </c>
      <c r="AW115">
        <f t="shared" si="322"/>
        <v>1872814.6500094631</v>
      </c>
      <c r="AX115">
        <f t="shared" si="323"/>
        <v>2097870.0475388486</v>
      </c>
      <c r="AY115">
        <f t="shared" si="324"/>
        <v>2340947.1786041199</v>
      </c>
      <c r="AZ115">
        <f t="shared" si="325"/>
        <v>2603489.1673569465</v>
      </c>
      <c r="BA115">
        <f t="shared" si="326"/>
        <v>2887054.6988251475</v>
      </c>
      <c r="BB115">
        <f t="shared" si="327"/>
        <v>3193327.2726668352</v>
      </c>
      <c r="BC115">
        <f t="shared" si="328"/>
        <v>3524125.1979362937</v>
      </c>
      <c r="BD115">
        <f t="shared" si="329"/>
        <v>3881412.3881995035</v>
      </c>
      <c r="BE115">
        <f t="shared" si="330"/>
        <v>4267310.0210888125</v>
      </c>
      <c r="BF115">
        <f t="shared" si="331"/>
        <v>4684109.1315183435</v>
      </c>
      <c r="BG115">
        <f t="shared" si="332"/>
        <v>5134284.2133247629</v>
      </c>
      <c r="BH115">
        <f t="shared" si="333"/>
        <v>5620507.9100849796</v>
      </c>
      <c r="BI115">
        <f t="shared" si="334"/>
        <v>6145666.8823286546</v>
      </c>
      <c r="BJ115">
        <f t="shared" si="335"/>
        <v>6712878.9453475419</v>
      </c>
    </row>
    <row r="116" spans="1:62" x14ac:dyDescent="0.3">
      <c r="A116">
        <f>0.015/12</f>
        <v>1.25E-3</v>
      </c>
      <c r="B116">
        <v>1.5</v>
      </c>
      <c r="D116">
        <f t="shared" si="280"/>
        <v>24300.291732870119</v>
      </c>
      <c r="E116">
        <f t="shared" si="284"/>
        <v>100166.65236274457</v>
      </c>
      <c r="F116">
        <f t="shared" si="285"/>
        <v>180693.05143782127</v>
      </c>
      <c r="G116">
        <f t="shared" si="286"/>
        <v>266328.82933179883</v>
      </c>
      <c r="H116">
        <f t="shared" si="286"/>
        <v>357873.29886967823</v>
      </c>
      <c r="I116">
        <f t="shared" si="286"/>
        <v>455284.75279688585</v>
      </c>
      <c r="J116">
        <f t="shared" si="287"/>
        <v>559730.39622325392</v>
      </c>
      <c r="K116">
        <f t="shared" si="288"/>
        <v>671675.7091888194</v>
      </c>
      <c r="L116">
        <f t="shared" si="289"/>
        <v>791094.44945216237</v>
      </c>
      <c r="M116">
        <f t="shared" si="290"/>
        <v>918485.5402294097</v>
      </c>
      <c r="N116">
        <f t="shared" si="291"/>
        <v>1055454.5880064971</v>
      </c>
      <c r="O116">
        <f t="shared" si="292"/>
        <v>1203380.037426841</v>
      </c>
      <c r="P116">
        <f t="shared" si="293"/>
        <v>1361571.2485288735</v>
      </c>
      <c r="Q116">
        <f t="shared" si="294"/>
        <v>1530740.6468169161</v>
      </c>
      <c r="R116">
        <f t="shared" si="295"/>
        <v>1711650.0988513895</v>
      </c>
      <c r="S116">
        <f t="shared" si="296"/>
        <v>1905114.3433696998</v>
      </c>
      <c r="T116">
        <f t="shared" si="297"/>
        <v>2112004.6605207822</v>
      </c>
      <c r="U116">
        <f t="shared" si="298"/>
        <v>2333252.7957379562</v>
      </c>
      <c r="V116">
        <f t="shared" si="299"/>
        <v>2569855.1559215407</v>
      </c>
      <c r="W116">
        <f t="shared" si="300"/>
        <v>2822877.2968290481</v>
      </c>
      <c r="X116">
        <f t="shared" si="301"/>
        <v>3093458.7218822213</v>
      </c>
      <c r="Y116">
        <f t="shared" si="302"/>
        <v>3382818.0140027073</v>
      </c>
      <c r="Z116">
        <f t="shared" si="303"/>
        <v>3692258.3235879443</v>
      </c>
      <c r="AA116">
        <f t="shared" si="304"/>
        <v>4023173.2373427679</v>
      </c>
      <c r="AB116">
        <f t="shared" si="305"/>
        <v>4377053.0543974321</v>
      </c>
      <c r="AC116">
        <f t="shared" si="306"/>
        <v>4755491.4979770035</v>
      </c>
      <c r="AD116">
        <f t="shared" si="307"/>
        <v>5160192.8928485923</v>
      </c>
      <c r="AE116">
        <f t="shared" si="308"/>
        <v>5592979.8408706309</v>
      </c>
      <c r="AI116">
        <f t="shared" si="282"/>
        <v>24388.896439019878</v>
      </c>
      <c r="AJ116">
        <f t="shared" si="309"/>
        <v>101428.13102627947</v>
      </c>
      <c r="AK116">
        <f t="shared" si="310"/>
        <v>184636.42697701458</v>
      </c>
      <c r="AL116">
        <f t="shared" si="311"/>
        <v>274507.78346333816</v>
      </c>
      <c r="AM116">
        <f t="shared" si="312"/>
        <v>371575.75756863528</v>
      </c>
      <c r="AN116">
        <f t="shared" si="313"/>
        <v>476416.63196158485</v>
      </c>
      <c r="AO116">
        <f t="shared" si="314"/>
        <v>589652.83622762584</v>
      </c>
      <c r="AP116">
        <f t="shared" si="315"/>
        <v>711956.64216996613</v>
      </c>
      <c r="AQ116">
        <f t="shared" si="316"/>
        <v>844054.15501875675</v>
      </c>
      <c r="AR116">
        <f t="shared" si="317"/>
        <v>986729.6242438358</v>
      </c>
      <c r="AS116">
        <f t="shared" si="318"/>
        <v>1140830.0995638967</v>
      </c>
      <c r="AT116">
        <f t="shared" si="319"/>
        <v>1307270.4597943327</v>
      </c>
      <c r="AU116">
        <f t="shared" si="320"/>
        <v>1487038.8443895169</v>
      </c>
      <c r="AV116">
        <f t="shared" si="321"/>
        <v>1681202.5199260251</v>
      </c>
      <c r="AW116">
        <f t="shared" si="322"/>
        <v>1890914.216355524</v>
      </c>
      <c r="AX116">
        <f t="shared" si="323"/>
        <v>2117418.9706449988</v>
      </c>
      <c r="AY116">
        <f t="shared" si="324"/>
        <v>2362061.5184343304</v>
      </c>
      <c r="AZ116">
        <f t="shared" si="325"/>
        <v>2626294.2775947251</v>
      </c>
      <c r="BA116">
        <f t="shared" si="326"/>
        <v>2911685.9710855815</v>
      </c>
      <c r="BB116">
        <f t="shared" si="327"/>
        <v>3219930.9403028097</v>
      </c>
      <c r="BC116">
        <f t="shared" si="328"/>
        <v>3552859.2042110036</v>
      </c>
      <c r="BD116">
        <f t="shared" si="329"/>
        <v>3912447.3239795081</v>
      </c>
      <c r="BE116">
        <f t="shared" si="330"/>
        <v>4300830.1376246242</v>
      </c>
      <c r="BF116">
        <f t="shared" si="331"/>
        <v>4720313.4343253216</v>
      </c>
      <c r="BG116">
        <f t="shared" si="332"/>
        <v>5173387.6436585747</v>
      </c>
      <c r="BH116">
        <f t="shared" si="333"/>
        <v>5662742.6210259264</v>
      </c>
      <c r="BI116">
        <f t="shared" si="334"/>
        <v>6191283.6170508508</v>
      </c>
      <c r="BJ116">
        <f t="shared" si="335"/>
        <v>6762148.5257555805</v>
      </c>
    </row>
    <row r="117" spans="1:62" x14ac:dyDescent="0.3">
      <c r="A117">
        <f>0.0125/12</f>
        <v>1.0416666666666667E-3</v>
      </c>
      <c r="B117">
        <v>1.25</v>
      </c>
      <c r="D117">
        <f t="shared" si="280"/>
        <v>30451.187185699811</v>
      </c>
      <c r="E117">
        <f t="shared" si="284"/>
        <v>106695.36229151103</v>
      </c>
      <c r="F117">
        <f t="shared" si="285"/>
        <v>187622.78283398162</v>
      </c>
      <c r="G117">
        <f t="shared" si="286"/>
        <v>273742.21595603088</v>
      </c>
      <c r="H117">
        <f t="shared" si="286"/>
        <v>365761.80129081185</v>
      </c>
      <c r="I117">
        <f t="shared" si="286"/>
        <v>463678.82066390169</v>
      </c>
      <c r="J117">
        <f t="shared" si="287"/>
        <v>568785.34036285942</v>
      </c>
      <c r="K117">
        <f t="shared" si="288"/>
        <v>681335.15801843896</v>
      </c>
      <c r="L117">
        <f t="shared" si="289"/>
        <v>801398.75947920408</v>
      </c>
      <c r="M117">
        <f t="shared" si="290"/>
        <v>929477.76214664849</v>
      </c>
      <c r="N117">
        <f t="shared" si="291"/>
        <v>1067406.1638814495</v>
      </c>
      <c r="O117">
        <f t="shared" si="292"/>
        <v>1216161.0312966933</v>
      </c>
      <c r="P117">
        <f t="shared" si="293"/>
        <v>1375239.2205193748</v>
      </c>
      <c r="Q117">
        <f t="shared" si="294"/>
        <v>1545357.1516236186</v>
      </c>
      <c r="R117">
        <f t="shared" si="295"/>
        <v>1727280.9629556492</v>
      </c>
      <c r="S117">
        <f t="shared" si="296"/>
        <v>1921829.9614929738</v>
      </c>
      <c r="T117">
        <f t="shared" si="297"/>
        <v>2129880.3126523225</v>
      </c>
      <c r="U117">
        <f t="shared" si="298"/>
        <v>2352368.986163659</v>
      </c>
      <c r="V117">
        <f t="shared" si="299"/>
        <v>2590297.975780793</v>
      </c>
      <c r="W117">
        <f t="shared" si="300"/>
        <v>2844738.8118323684</v>
      </c>
      <c r="X117">
        <f t="shared" si="301"/>
        <v>3116837.3869358147</v>
      </c>
      <c r="Y117">
        <f t="shared" si="302"/>
        <v>3407819.1166072204</v>
      </c>
      <c r="Z117">
        <f t="shared" si="303"/>
        <v>3718994.4580083014</v>
      </c>
      <c r="AA117">
        <f t="shared" si="304"/>
        <v>4051764.8116845489</v>
      </c>
      <c r="AB117">
        <f t="shared" si="305"/>
        <v>4407628.8328734394</v>
      </c>
      <c r="AC117">
        <f t="shared" si="306"/>
        <v>4788189.18080616</v>
      </c>
      <c r="AD117">
        <f t="shared" si="307"/>
        <v>5195159.7363987947</v>
      </c>
      <c r="AE117">
        <f t="shared" si="308"/>
        <v>5630373.3208383927</v>
      </c>
      <c r="AI117">
        <f t="shared" si="282"/>
        <v>30584.600932087167</v>
      </c>
      <c r="AJ117">
        <f t="shared" si="309"/>
        <v>108119.96819008871</v>
      </c>
      <c r="AK117">
        <f t="shared" si="310"/>
        <v>191864.12556674654</v>
      </c>
      <c r="AL117">
        <f t="shared" si="311"/>
        <v>282314.25358884205</v>
      </c>
      <c r="AM117">
        <f t="shared" si="312"/>
        <v>380007.3454473773</v>
      </c>
      <c r="AN117">
        <f t="shared" si="313"/>
        <v>485523.39507141744</v>
      </c>
      <c r="AO117">
        <f t="shared" si="314"/>
        <v>599488.84049293178</v>
      </c>
      <c r="AP117">
        <f t="shared" si="315"/>
        <v>722580.28294554073</v>
      </c>
      <c r="AQ117">
        <f t="shared" si="316"/>
        <v>855528.50377707754</v>
      </c>
      <c r="AR117">
        <f t="shared" si="317"/>
        <v>999122.80302396615</v>
      </c>
      <c r="AS117">
        <f t="shared" si="318"/>
        <v>1154215.6854050881</v>
      </c>
      <c r="AT117">
        <f t="shared" si="319"/>
        <v>1321727.9215554083</v>
      </c>
      <c r="AU117">
        <f t="shared" si="320"/>
        <v>1502654.0145473853</v>
      </c>
      <c r="AV117">
        <f t="shared" si="321"/>
        <v>1698068.1041543486</v>
      </c>
      <c r="AW117">
        <f t="shared" si="322"/>
        <v>1909130.3439088536</v>
      </c>
      <c r="AX117">
        <f t="shared" si="323"/>
        <v>2137093.7888159528</v>
      </c>
      <c r="AY117">
        <f t="shared" si="324"/>
        <v>2383311.8346130475</v>
      </c>
      <c r="AZ117">
        <f t="shared" si="325"/>
        <v>2649246.2527424353</v>
      </c>
      <c r="BA117">
        <f t="shared" si="326"/>
        <v>2936475.8687393726</v>
      </c>
      <c r="BB117">
        <f t="shared" si="327"/>
        <v>3246705.9355583596</v>
      </c>
      <c r="BC117">
        <f t="shared" si="328"/>
        <v>3581778.2574861227</v>
      </c>
      <c r="BD117">
        <f t="shared" si="329"/>
        <v>3943682.1247459361</v>
      </c>
      <c r="BE117">
        <f t="shared" si="330"/>
        <v>4334566.1237109266</v>
      </c>
      <c r="BF117">
        <f t="shared" si="331"/>
        <v>4756750.8928423766</v>
      </c>
      <c r="BG117">
        <f t="shared" si="332"/>
        <v>5212742.9000837356</v>
      </c>
      <c r="BH117">
        <f t="shared" si="333"/>
        <v>5705249.3235053336</v>
      </c>
      <c r="BI117">
        <f t="shared" si="334"/>
        <v>6237194.1235446585</v>
      </c>
      <c r="BJ117">
        <f t="shared" si="335"/>
        <v>6811735.4022614462</v>
      </c>
    </row>
    <row r="118" spans="1:62" x14ac:dyDescent="0.3">
      <c r="A118">
        <f>0.01/12</f>
        <v>8.3333333333333339E-4</v>
      </c>
      <c r="B118">
        <v>1</v>
      </c>
      <c r="D118">
        <f t="shared" si="280"/>
        <v>36632.7140978846</v>
      </c>
      <c r="E118">
        <f t="shared" si="284"/>
        <v>113256.58519572276</v>
      </c>
      <c r="F118">
        <f t="shared" si="285"/>
        <v>194587.02429249484</v>
      </c>
      <c r="G118">
        <f t="shared" si="286"/>
        <v>281194.07805684267</v>
      </c>
      <c r="H118">
        <f t="shared" si="286"/>
        <v>373691.24503951118</v>
      </c>
      <c r="I118">
        <f t="shared" si="286"/>
        <v>472116.45374314731</v>
      </c>
      <c r="J118">
        <f t="shared" si="287"/>
        <v>577889.18120081886</v>
      </c>
      <c r="K118">
        <f t="shared" si="288"/>
        <v>691046.76787173853</v>
      </c>
      <c r="L118">
        <f t="shared" si="289"/>
        <v>811758.7127803918</v>
      </c>
      <c r="M118">
        <f t="shared" si="290"/>
        <v>940529.34206224035</v>
      </c>
      <c r="N118">
        <f t="shared" si="291"/>
        <v>1079424.7522423328</v>
      </c>
      <c r="O118">
        <f t="shared" si="292"/>
        <v>1229013.6881991739</v>
      </c>
      <c r="P118">
        <f t="shared" si="293"/>
        <v>1388983.828828827</v>
      </c>
      <c r="Q118">
        <f t="shared" si="294"/>
        <v>1560055.6111727722</v>
      </c>
      <c r="R118">
        <f t="shared" si="295"/>
        <v>1742999.4693149417</v>
      </c>
      <c r="S118">
        <f t="shared" si="296"/>
        <v>1938639.3040870652</v>
      </c>
      <c r="T118">
        <f t="shared" si="297"/>
        <v>2147856.1935653645</v>
      </c>
      <c r="U118">
        <f t="shared" si="298"/>
        <v>2371592.3610690786</v>
      </c>
      <c r="V118">
        <f t="shared" si="299"/>
        <v>2610855.4185309955</v>
      </c>
      <c r="W118">
        <f t="shared" si="300"/>
        <v>2866722.9043503129</v>
      </c>
      <c r="X118">
        <f t="shared" si="301"/>
        <v>3140347.1361643639</v>
      </c>
      <c r="Y118">
        <f t="shared" si="302"/>
        <v>3432960.4003940369</v>
      </c>
      <c r="Z118">
        <f t="shared" si="303"/>
        <v>3745880.5019343542</v>
      </c>
      <c r="AA118">
        <f t="shared" si="304"/>
        <v>4080516.6989836642</v>
      </c>
      <c r="AB118">
        <f t="shared" si="305"/>
        <v>4438376.0497393608</v>
      </c>
      <c r="AC118">
        <f t="shared" si="306"/>
        <v>4821070.1995429397</v>
      </c>
      <c r="AD118">
        <f t="shared" si="307"/>
        <v>5230322.639040783</v>
      </c>
      <c r="AE118">
        <f t="shared" si="308"/>
        <v>5667976.4660483338</v>
      </c>
      <c r="AI118">
        <f t="shared" si="282"/>
        <v>36820.205762089812</v>
      </c>
      <c r="AJ118">
        <f t="shared" si="309"/>
        <v>114854.90078523288</v>
      </c>
      <c r="AK118">
        <f t="shared" si="310"/>
        <v>199138.37053539639</v>
      </c>
      <c r="AL118">
        <f t="shared" si="311"/>
        <v>290170.99738195422</v>
      </c>
      <c r="AM118">
        <f t="shared" si="312"/>
        <v>388493.23275205842</v>
      </c>
      <c r="AN118">
        <f t="shared" si="313"/>
        <v>494688.80573567736</v>
      </c>
      <c r="AO118">
        <f t="shared" si="314"/>
        <v>609388.18862570624</v>
      </c>
      <c r="AP118">
        <f t="shared" si="315"/>
        <v>733272.33996770997</v>
      </c>
      <c r="AQ118">
        <f t="shared" si="316"/>
        <v>867076.74734140188</v>
      </c>
      <c r="AR118">
        <f t="shared" si="317"/>
        <v>1011595.7938754405</v>
      </c>
      <c r="AS118">
        <f t="shared" si="318"/>
        <v>1167687.474419097</v>
      </c>
      <c r="AT118">
        <f t="shared" si="319"/>
        <v>1336278.489370225</v>
      </c>
      <c r="AU118">
        <f t="shared" si="320"/>
        <v>1518369.7464010704</v>
      </c>
      <c r="AV118">
        <f t="shared" si="321"/>
        <v>1715042.3027451027</v>
      </c>
      <c r="AW118">
        <f t="shared" si="322"/>
        <v>1927463.7833236265</v>
      </c>
      <c r="AX118">
        <f t="shared" si="323"/>
        <v>2156895.3128159274</v>
      </c>
      <c r="AY118">
        <f t="shared" si="324"/>
        <v>2404699.0028279554</v>
      </c>
      <c r="AZ118">
        <f t="shared" si="325"/>
        <v>2672346.0386100966</v>
      </c>
      <c r="BA118">
        <f t="shared" si="326"/>
        <v>2961425.4133340539</v>
      </c>
      <c r="BB118">
        <f t="shared" si="327"/>
        <v>3273653.3617833555</v>
      </c>
      <c r="BC118">
        <f t="shared" si="328"/>
        <v>3610883.5494643333</v>
      </c>
      <c r="BD118">
        <f t="shared" si="329"/>
        <v>3975118.0776292998</v>
      </c>
      <c r="BE118">
        <f t="shared" si="330"/>
        <v>4368519.3695476251</v>
      </c>
      <c r="BF118">
        <f t="shared" si="331"/>
        <v>4793423.0085922815</v>
      </c>
      <c r="BG118">
        <f t="shared" si="332"/>
        <v>5252351.604360275</v>
      </c>
      <c r="BH118">
        <f t="shared" si="333"/>
        <v>5748029.7691487083</v>
      </c>
      <c r="BI118">
        <f t="shared" si="334"/>
        <v>6283400.2937002862</v>
      </c>
      <c r="BJ118">
        <f t="shared" si="335"/>
        <v>6861641.6182520101</v>
      </c>
    </row>
    <row r="119" spans="1:62" x14ac:dyDescent="0.3">
      <c r="D119">
        <f t="shared" si="280"/>
        <v>42845.025014092069</v>
      </c>
      <c r="E119">
        <f t="shared" si="284"/>
        <v>119850.48298999744</v>
      </c>
      <c r="F119">
        <f t="shared" si="285"/>
        <v>201585.94767347147</v>
      </c>
      <c r="G119">
        <f t="shared" si="286"/>
        <v>288684.61532195768</v>
      </c>
      <c r="H119">
        <f t="shared" si="286"/>
        <v>381661.84260126622</v>
      </c>
      <c r="I119">
        <f t="shared" si="286"/>
        <v>480597.87813807424</v>
      </c>
      <c r="J119">
        <f t="shared" si="287"/>
        <v>587042.18277930329</v>
      </c>
      <c r="K119">
        <f t="shared" si="288"/>
        <v>700810.82041824586</v>
      </c>
      <c r="L119">
        <f t="shared" si="289"/>
        <v>822174.6098294059</v>
      </c>
      <c r="M119">
        <f t="shared" si="290"/>
        <v>951640.6005093765</v>
      </c>
      <c r="N119">
        <f t="shared" si="291"/>
        <v>1091510.7288281554</v>
      </c>
      <c r="O119">
        <f t="shared" si="292"/>
        <v>1241938.4099489066</v>
      </c>
      <c r="P119">
        <f t="shared" si="293"/>
        <v>1402805.5031570701</v>
      </c>
      <c r="Q119">
        <f t="shared" si="294"/>
        <v>1574836.4849846179</v>
      </c>
      <c r="R119">
        <f t="shared" si="295"/>
        <v>1758806.1093393906</v>
      </c>
      <c r="S119">
        <f t="shared" si="296"/>
        <v>1955542.8966650814</v>
      </c>
      <c r="T119">
        <f t="shared" si="297"/>
        <v>2165932.8652426857</v>
      </c>
      <c r="U119">
        <f t="shared" si="298"/>
        <v>2390923.5214375928</v>
      </c>
      <c r="V119">
        <f t="shared" si="299"/>
        <v>2631528.1268626987</v>
      </c>
      <c r="W119">
        <f t="shared" si="300"/>
        <v>2888830.2616750048</v>
      </c>
      <c r="X119">
        <f t="shared" si="301"/>
        <v>3163988.7045568372</v>
      </c>
      <c r="Y119">
        <f t="shared" si="302"/>
        <v>3458242.6513590463</v>
      </c>
      <c r="Z119">
        <f t="shared" si="303"/>
        <v>3772917.2959087002</v>
      </c>
      <c r="AA119">
        <f t="shared" si="304"/>
        <v>4109429.7981148656</v>
      </c>
      <c r="AB119">
        <f t="shared" si="305"/>
        <v>4469295.6662502503</v>
      </c>
      <c r="AC119">
        <f t="shared" si="306"/>
        <v>4854135.5821517762</v>
      </c>
      <c r="AD119">
        <f t="shared" si="307"/>
        <v>5265682.7000778848</v>
      </c>
      <c r="AE119">
        <f t="shared" si="308"/>
        <v>5705790.4520934671</v>
      </c>
      <c r="AI119">
        <f t="shared" si="282"/>
        <v>43095.967887197672</v>
      </c>
      <c r="AJ119">
        <f t="shared" si="309"/>
        <v>121633.20634628978</v>
      </c>
      <c r="AK119">
        <f t="shared" si="310"/>
        <v>206459.46164164433</v>
      </c>
      <c r="AL119">
        <f t="shared" si="311"/>
        <v>298078.338605094</v>
      </c>
      <c r="AM119">
        <f t="shared" si="312"/>
        <v>397033.76917098166</v>
      </c>
      <c r="AN119">
        <f t="shared" si="313"/>
        <v>503913.24164461513</v>
      </c>
      <c r="AO119">
        <f t="shared" si="314"/>
        <v>619351.28856045578</v>
      </c>
      <c r="AP119">
        <f t="shared" si="315"/>
        <v>744033.25383710198</v>
      </c>
      <c r="AQ119">
        <f t="shared" si="316"/>
        <v>878699.36159428046</v>
      </c>
      <c r="AR119">
        <f t="shared" si="317"/>
        <v>1024149.1107879983</v>
      </c>
      <c r="AS119">
        <f t="shared" si="318"/>
        <v>1181246.0217543559</v>
      </c>
      <c r="AT119">
        <f t="shared" si="319"/>
        <v>1350922.7628417693</v>
      </c>
      <c r="AU119">
        <f t="shared" si="320"/>
        <v>1534186.6875678932</v>
      </c>
      <c r="AV119">
        <f t="shared" si="321"/>
        <v>1732125.8151747813</v>
      </c>
      <c r="AW119">
        <f t="shared" si="322"/>
        <v>1945915.2900882307</v>
      </c>
      <c r="AX119">
        <f t="shared" si="323"/>
        <v>2176824.3586304621</v>
      </c>
      <c r="AY119">
        <f t="shared" si="324"/>
        <v>2426223.9044061676</v>
      </c>
      <c r="AZ119">
        <f t="shared" si="325"/>
        <v>2695594.5870987456</v>
      </c>
      <c r="BA119">
        <f t="shared" si="326"/>
        <v>2986535.6329959254</v>
      </c>
      <c r="BB119">
        <f t="shared" si="327"/>
        <v>3300774.3294332405</v>
      </c>
      <c r="BC119">
        <f t="shared" si="328"/>
        <v>3640176.2795228837</v>
      </c>
      <c r="BD119">
        <f t="shared" si="329"/>
        <v>4006756.4780492326</v>
      </c>
      <c r="BE119">
        <f t="shared" si="330"/>
        <v>4402691.2742875116</v>
      </c>
      <c r="BF119">
        <f t="shared" si="331"/>
        <v>4830331.292767616</v>
      </c>
      <c r="BG119">
        <f t="shared" si="332"/>
        <v>5292215.3886923548</v>
      </c>
      <c r="BH119">
        <f t="shared" si="333"/>
        <v>5791085.7208620263</v>
      </c>
      <c r="BI119">
        <f t="shared" si="334"/>
        <v>6329904.0315917162</v>
      </c>
      <c r="BJ119">
        <f t="shared" si="335"/>
        <v>6911869.2302735532</v>
      </c>
    </row>
    <row r="120" spans="1:62" x14ac:dyDescent="0.3">
      <c r="D120">
        <f t="shared" si="280"/>
        <v>49088.273238662245</v>
      </c>
      <c r="E120">
        <f t="shared" si="284"/>
        <v>126477.21839528764</v>
      </c>
      <c r="F120">
        <f t="shared" si="285"/>
        <v>208619.72569288537</v>
      </c>
      <c r="G120">
        <f t="shared" si="286"/>
        <v>296214.02847547864</v>
      </c>
      <c r="H120">
        <f t="shared" si="286"/>
        <v>389673.80756436678</v>
      </c>
      <c r="I120">
        <f t="shared" si="286"/>
        <v>489123.32112561085</v>
      </c>
      <c r="J120">
        <f t="shared" si="287"/>
        <v>596244.61056631152</v>
      </c>
      <c r="K120">
        <f t="shared" si="288"/>
        <v>710627.59884850436</v>
      </c>
      <c r="L120">
        <f t="shared" si="289"/>
        <v>832646.75272248476</v>
      </c>
      <c r="M120">
        <f t="shared" si="290"/>
        <v>962811.85975212709</v>
      </c>
      <c r="N120">
        <f t="shared" si="291"/>
        <v>1103664.4714846949</v>
      </c>
      <c r="O120">
        <f t="shared" si="292"/>
        <v>1254935.6006134902</v>
      </c>
      <c r="P120">
        <f t="shared" si="293"/>
        <v>1416704.6756132718</v>
      </c>
      <c r="Q120">
        <f t="shared" si="294"/>
        <v>1589700.2351559266</v>
      </c>
      <c r="R120">
        <f t="shared" si="295"/>
        <v>1774701.3771944565</v>
      </c>
      <c r="S120">
        <f t="shared" si="296"/>
        <v>1972541.2676866825</v>
      </c>
      <c r="T120">
        <f t="shared" si="297"/>
        <v>2184110.8928181012</v>
      </c>
      <c r="U120">
        <f t="shared" si="298"/>
        <v>2410363.0716222934</v>
      </c>
      <c r="V120">
        <f t="shared" si="299"/>
        <v>2652316.7470700177</v>
      </c>
      <c r="W120">
        <f t="shared" si="300"/>
        <v>2911061.5749522164</v>
      </c>
      <c r="X120">
        <f t="shared" si="301"/>
        <v>3187762.8312232872</v>
      </c>
      <c r="Y120">
        <f t="shared" si="302"/>
        <v>3483666.6599052162</v>
      </c>
      <c r="Z120">
        <f t="shared" si="303"/>
        <v>3800105.6851868606</v>
      </c>
      <c r="AA120">
        <f t="shared" si="304"/>
        <v>4138505.0129928957</v>
      </c>
      <c r="AB120">
        <f t="shared" si="305"/>
        <v>4500388.6490509156</v>
      </c>
      <c r="AC120">
        <f t="shared" si="306"/>
        <v>4887386.3623609012</v>
      </c>
      <c r="AD120">
        <f t="shared" si="307"/>
        <v>5301241.0249772221</v>
      </c>
      <c r="AE120">
        <f t="shared" si="308"/>
        <v>5743816.4611583557</v>
      </c>
      <c r="AI120">
        <f t="shared" si="282"/>
        <v>49412.145920391224</v>
      </c>
      <c r="AJ120">
        <f t="shared" si="309"/>
        <v>128455.16419515989</v>
      </c>
      <c r="AK120">
        <f t="shared" si="310"/>
        <v>213827.70057461652</v>
      </c>
      <c r="AL120">
        <f t="shared" si="311"/>
        <v>306036.60310571082</v>
      </c>
      <c r="AM120">
        <f t="shared" si="312"/>
        <v>405629.30664444278</v>
      </c>
      <c r="AN120">
        <f t="shared" si="313"/>
        <v>513197.08292080648</v>
      </c>
      <c r="AO120">
        <f t="shared" si="314"/>
        <v>629378.55085878517</v>
      </c>
      <c r="AP120">
        <f t="shared" si="315"/>
        <v>754863.46799181297</v>
      </c>
      <c r="AQ120">
        <f t="shared" si="316"/>
        <v>890396.82548294764</v>
      </c>
      <c r="AR120">
        <f t="shared" si="317"/>
        <v>1036783.2710614731</v>
      </c>
      <c r="AS120">
        <f t="shared" si="318"/>
        <v>1194891.8861344538</v>
      </c>
      <c r="AT120">
        <f t="shared" si="319"/>
        <v>1365661.3454344703</v>
      </c>
      <c r="AU120">
        <f t="shared" si="320"/>
        <v>1550105.4898358304</v>
      </c>
      <c r="AV120">
        <f t="shared" si="321"/>
        <v>1749319.3454245068</v>
      </c>
      <c r="AW120">
        <f t="shared" si="322"/>
        <v>1964485.624556399</v>
      </c>
      <c r="AX120">
        <f t="shared" si="323"/>
        <v>2196881.7475000424</v>
      </c>
      <c r="AY120">
        <f t="shared" si="324"/>
        <v>2447887.4263505433</v>
      </c>
      <c r="AZ120">
        <f t="shared" si="325"/>
        <v>2718992.8562396616</v>
      </c>
      <c r="BA120">
        <f t="shared" si="326"/>
        <v>3011807.5624724193</v>
      </c>
      <c r="BB120">
        <f t="shared" si="327"/>
        <v>3328069.9561147904</v>
      </c>
      <c r="BC120">
        <f t="shared" si="328"/>
        <v>3669657.6547630113</v>
      </c>
      <c r="BD120">
        <f t="shared" si="329"/>
        <v>4038598.6297678696</v>
      </c>
      <c r="BE120">
        <f t="shared" si="330"/>
        <v>4437083.2460939232</v>
      </c>
      <c r="BF120">
        <f t="shared" si="331"/>
        <v>4867477.2662930395</v>
      </c>
      <c r="BG120">
        <f t="shared" si="332"/>
        <v>5332335.8957955334</v>
      </c>
      <c r="BH120">
        <f t="shared" si="333"/>
        <v>5834418.9529043781</v>
      </c>
      <c r="BI120">
        <f t="shared" si="334"/>
        <v>6376707.2535551665</v>
      </c>
      <c r="BJ120">
        <f t="shared" si="335"/>
        <v>6962420.3081165152</v>
      </c>
    </row>
    <row r="121" spans="1:62" x14ac:dyDescent="0.3">
      <c r="D121">
        <f t="shared" si="280"/>
        <v>55362.612839390786</v>
      </c>
      <c r="E121">
        <f t="shared" si="284"/>
        <v>133136.95494289618</v>
      </c>
      <c r="F121">
        <f t="shared" si="285"/>
        <v>215688.53192683595</v>
      </c>
      <c r="G121">
        <f t="shared" si="286"/>
        <v>303782.51928326639</v>
      </c>
      <c r="H121">
        <f t="shared" si="286"/>
        <v>397727.35462562583</v>
      </c>
      <c r="I121">
        <f t="shared" si="286"/>
        <v>497693.01116225275</v>
      </c>
      <c r="J121">
        <f t="shared" si="287"/>
        <v>605496.73146336956</v>
      </c>
      <c r="K121">
        <f t="shared" si="288"/>
        <v>720497.38788228633</v>
      </c>
      <c r="L121">
        <f t="shared" si="289"/>
        <v>843175.44518718612</v>
      </c>
      <c r="M121">
        <f t="shared" si="290"/>
        <v>974043.44379478856</v>
      </c>
      <c r="N121">
        <f t="shared" si="291"/>
        <v>1115886.3601763097</v>
      </c>
      <c r="O121">
        <f t="shared" si="292"/>
        <v>1268005.6665261299</v>
      </c>
      <c r="P121">
        <f t="shared" si="293"/>
        <v>1430681.7807294354</v>
      </c>
      <c r="Q121">
        <f t="shared" si="294"/>
        <v>1604647.326374446</v>
      </c>
      <c r="R121">
        <f t="shared" si="295"/>
        <v>1790685.7698163858</v>
      </c>
      <c r="S121">
        <f t="shared" si="296"/>
        <v>1989634.9485746017</v>
      </c>
      <c r="T121">
        <f t="shared" si="297"/>
        <v>2202390.8445941322</v>
      </c>
      <c r="U121">
        <f t="shared" si="298"/>
        <v>2429911.6193648796</v>
      </c>
      <c r="V121">
        <f t="shared" si="299"/>
        <v>2673221.9290708392</v>
      </c>
      <c r="W121">
        <f t="shared" si="300"/>
        <v>2933417.5392029732</v>
      </c>
      <c r="X121">
        <f t="shared" si="301"/>
        <v>3211670.2594179562</v>
      </c>
      <c r="Y121">
        <f t="shared" si="302"/>
        <v>3509233.2208673046</v>
      </c>
      <c r="Z121">
        <f t="shared" si="303"/>
        <v>3827446.5197637035</v>
      </c>
      <c r="AA121">
        <f t="shared" si="304"/>
        <v>4167743.2526007467</v>
      </c>
      <c r="AB121">
        <f t="shared" si="305"/>
        <v>4531655.9702061443</v>
      </c>
      <c r="AC121">
        <f t="shared" si="306"/>
        <v>4920823.5796946585</v>
      </c>
      <c r="AD121">
        <f t="shared" si="307"/>
        <v>5336998.7254042691</v>
      </c>
      <c r="AE121">
        <f t="shared" si="308"/>
        <v>5782055.6820560703</v>
      </c>
      <c r="AI121">
        <f t="shared" si="282"/>
        <v>55769.000140118544</v>
      </c>
      <c r="AJ121">
        <f t="shared" si="309"/>
        <v>135321.05545257672</v>
      </c>
      <c r="AK121">
        <f t="shared" si="310"/>
        <v>221243.39096631706</v>
      </c>
      <c r="AL121">
        <f t="shared" si="311"/>
        <v>314046.11882971157</v>
      </c>
      <c r="AM121">
        <f t="shared" si="312"/>
        <v>414280.199379233</v>
      </c>
      <c r="AN121">
        <f t="shared" si="313"/>
        <v>522540.71213481645</v>
      </c>
      <c r="AO121">
        <f t="shared" si="314"/>
        <v>639470.38872631569</v>
      </c>
      <c r="AP121">
        <f t="shared" si="315"/>
        <v>765763.42872568022</v>
      </c>
      <c r="AQ121">
        <f t="shared" si="316"/>
        <v>902169.62103905785</v>
      </c>
      <c r="AR121">
        <f t="shared" si="317"/>
        <v>1049498.7953271091</v>
      </c>
      <c r="AS121">
        <f t="shared" si="318"/>
        <v>1208625.6298811596</v>
      </c>
      <c r="AT121">
        <f t="shared" si="319"/>
        <v>1380494.8444990683</v>
      </c>
      <c r="AU121">
        <f t="shared" si="320"/>
        <v>1566126.8091903732</v>
      </c>
      <c r="AV121">
        <f t="shared" si="321"/>
        <v>1766623.6020090405</v>
      </c>
      <c r="AW121">
        <f t="shared" si="322"/>
        <v>1983175.5519785422</v>
      </c>
      <c r="AX121">
        <f t="shared" si="323"/>
        <v>2217068.3059539427</v>
      </c>
      <c r="AY121">
        <f t="shared" si="324"/>
        <v>2469690.4613762409</v>
      </c>
      <c r="AZ121">
        <f t="shared" si="325"/>
        <v>2742541.8102338449</v>
      </c>
      <c r="BA121">
        <f t="shared" si="326"/>
        <v>3037242.2431747415</v>
      </c>
      <c r="BB121">
        <f t="shared" si="327"/>
        <v>3355541.3666321696</v>
      </c>
      <c r="BC121">
        <f t="shared" si="328"/>
        <v>3699328.8900596849</v>
      </c>
      <c r="BD121">
        <f t="shared" si="329"/>
        <v>4070645.8449435746</v>
      </c>
      <c r="BE121">
        <f t="shared" si="330"/>
        <v>4471696.702198768</v>
      </c>
      <c r="BF121">
        <f t="shared" si="331"/>
        <v>4904862.4598879665</v>
      </c>
      <c r="BG121">
        <f t="shared" si="332"/>
        <v>5372714.7789644571</v>
      </c>
      <c r="BH121">
        <f t="shared" si="333"/>
        <v>5878031.2509610821</v>
      </c>
      <c r="BI121">
        <f t="shared" si="334"/>
        <v>6423811.8882680619</v>
      </c>
      <c r="BJ121">
        <f t="shared" si="335"/>
        <v>7013296.9349007858</v>
      </c>
    </row>
    <row r="122" spans="1:62" x14ac:dyDescent="0.3">
      <c r="D122">
        <f t="shared" si="280"/>
        <v>61668.198651330953</v>
      </c>
      <c r="E122">
        <f t="shared" si="284"/>
        <v>139829.85697851179</v>
      </c>
      <c r="F122">
        <f t="shared" si="285"/>
        <v>222792.5408158316</v>
      </c>
      <c r="G122">
        <f t="shared" ref="G122:H124" si="336">(G121+6000)*1.00644-(0.00125*(G121+6000))</f>
        <v>311390.29055834649</v>
      </c>
      <c r="H122">
        <f t="shared" si="336"/>
        <v>405822.69959613285</v>
      </c>
      <c r="I122">
        <f>(I121+6000)*1.00644-(0.00104*(I121+6000))</f>
        <v>506412.95342252892</v>
      </c>
      <c r="J122">
        <f t="shared" si="287"/>
        <v>614798.8138132717</v>
      </c>
      <c r="K122">
        <f t="shared" si="288"/>
        <v>730420.47377685073</v>
      </c>
      <c r="L122">
        <f t="shared" si="289"/>
        <v>853760.9925911969</v>
      </c>
      <c r="M122">
        <f t="shared" si="290"/>
        <v>985335.67839128047</v>
      </c>
      <c r="N122">
        <f t="shared" si="291"/>
        <v>1128176.7769978181</v>
      </c>
      <c r="O122">
        <f t="shared" si="292"/>
        <v>1281149.016298342</v>
      </c>
      <c r="P122">
        <f t="shared" si="293"/>
        <v>1444737.2554739853</v>
      </c>
      <c r="Q122">
        <f t="shared" si="294"/>
        <v>1619678.2259334275</v>
      </c>
      <c r="R122">
        <f t="shared" si="295"/>
        <v>1806759.7869277464</v>
      </c>
      <c r="S122">
        <f t="shared" si="296"/>
        <v>2006824.4737312596</v>
      </c>
      <c r="T122">
        <f t="shared" si="297"/>
        <v>2220773.2920597717</v>
      </c>
      <c r="U122">
        <f t="shared" si="298"/>
        <v>2449569.7758146585</v>
      </c>
      <c r="V122">
        <f t="shared" si="299"/>
        <v>2694244.3264271393</v>
      </c>
      <c r="W122">
        <f t="shared" si="300"/>
        <v>2955898.8533452842</v>
      </c>
      <c r="X122">
        <f t="shared" si="301"/>
        <v>3235711.7365625128</v>
      </c>
      <c r="Y122">
        <f t="shared" si="302"/>
        <v>3534943.1335367076</v>
      </c>
      <c r="Z122">
        <f t="shared" si="303"/>
        <v>3854940.6544000185</v>
      </c>
      <c r="AA122">
        <f t="shared" si="304"/>
        <v>4197145.4310180787</v>
      </c>
      <c r="AB122">
        <f t="shared" si="305"/>
        <v>4563098.6072310908</v>
      </c>
      <c r="AC122">
        <f t="shared" si="306"/>
        <v>4954448.2795060063</v>
      </c>
      <c r="AD122">
        <f t="shared" si="307"/>
        <v>5372956.9192576101</v>
      </c>
      <c r="AE122">
        <f t="shared" si="308"/>
        <v>5820509.3102653585</v>
      </c>
      <c r="AI122">
        <f t="shared" si="282"/>
        <v>62166.792501020907</v>
      </c>
      <c r="AJ122">
        <f t="shared" si="309"/>
        <v>142231.16304969133</v>
      </c>
      <c r="AK122">
        <f t="shared" si="310"/>
        <v>228706.83840414014</v>
      </c>
      <c r="AL122">
        <f t="shared" si="311"/>
        <v>322107.21583497489</v>
      </c>
      <c r="AM122">
        <f t="shared" si="312"/>
        <v>422986.80386323528</v>
      </c>
      <c r="AN122">
        <f t="shared" si="313"/>
        <v>531944.51432096469</v>
      </c>
      <c r="AO122">
        <f t="shared" si="314"/>
        <v>649627.21802971314</v>
      </c>
      <c r="AP122">
        <f t="shared" si="315"/>
        <v>776733.5852066736</v>
      </c>
      <c r="AQ122">
        <f t="shared" si="316"/>
        <v>914018.23339854938</v>
      </c>
      <c r="AR122">
        <f t="shared" si="317"/>
        <v>1062296.2075690157</v>
      </c>
      <c r="AS122">
        <f t="shared" si="318"/>
        <v>1222447.8189375943</v>
      </c>
      <c r="AT122">
        <f t="shared" si="319"/>
        <v>1395423.8712976424</v>
      </c>
      <c r="AU122">
        <f t="shared" si="320"/>
        <v>1582251.3058415591</v>
      </c>
      <c r="AV122">
        <f t="shared" si="321"/>
        <v>1784039.2980059788</v>
      </c>
      <c r="AW122">
        <f t="shared" si="322"/>
        <v>2001985.8425332841</v>
      </c>
      <c r="AX122">
        <f t="shared" si="323"/>
        <v>2237384.865844286</v>
      </c>
      <c r="AY122">
        <f t="shared" si="324"/>
        <v>2491633.907947504</v>
      </c>
      <c r="AZ122">
        <f t="shared" si="325"/>
        <v>2766242.4194917507</v>
      </c>
      <c r="BA122">
        <f t="shared" si="326"/>
        <v>3062840.723220787</v>
      </c>
      <c r="BB122">
        <f t="shared" si="327"/>
        <v>3383189.6930332808</v>
      </c>
      <c r="BC122">
        <f t="shared" si="328"/>
        <v>3729191.2081116694</v>
      </c>
      <c r="BD122">
        <f t="shared" si="329"/>
        <v>4102899.4441850111</v>
      </c>
      <c r="BE122">
        <f t="shared" si="330"/>
        <v>4506533.0689609284</v>
      </c>
      <c r="BF122">
        <f t="shared" si="331"/>
        <v>4942488.4141296446</v>
      </c>
      <c r="BG122">
        <f t="shared" si="332"/>
        <v>5413353.7021409879</v>
      </c>
      <c r="BH122">
        <f t="shared" si="333"/>
        <v>5921924.4122172715</v>
      </c>
      <c r="BI122">
        <f t="shared" si="334"/>
        <v>6471219.8768285085</v>
      </c>
      <c r="BJ122">
        <f t="shared" si="335"/>
        <v>7064501.2071615467</v>
      </c>
    </row>
    <row r="123" spans="1:62" x14ac:dyDescent="0.3">
      <c r="D123">
        <f t="shared" si="280"/>
        <v>68005.18628061458</v>
      </c>
      <c r="E123">
        <f t="shared" si="284"/>
        <v>146556.08966626477</v>
      </c>
      <c r="F123">
        <f t="shared" si="285"/>
        <v>229931.92766909444</v>
      </c>
      <c r="G123">
        <f t="shared" si="336"/>
        <v>319037.54616634431</v>
      </c>
      <c r="H123">
        <f t="shared" si="336"/>
        <v>413960.05940703681</v>
      </c>
      <c r="I123">
        <f>(I122+6000)*1.00644-(0.00104*(I122+6000))</f>
        <v>515179.98337101057</v>
      </c>
      <c r="J123">
        <f t="shared" si="287"/>
        <v>624151.12740786339</v>
      </c>
      <c r="K123">
        <f t="shared" si="288"/>
        <v>740397.14433524571</v>
      </c>
      <c r="L123">
        <f t="shared" si="289"/>
        <v>864403.70195118932</v>
      </c>
      <c r="M123">
        <f t="shared" si="290"/>
        <v>996688.89105459338</v>
      </c>
      <c r="N123">
        <f t="shared" si="291"/>
        <v>1140536.1061864449</v>
      </c>
      <c r="O123">
        <f t="shared" si="292"/>
        <v>1294366.0608327268</v>
      </c>
      <c r="P123">
        <f t="shared" si="293"/>
        <v>1458871.539265428</v>
      </c>
      <c r="Q123">
        <f t="shared" si="294"/>
        <v>1634793.4037462363</v>
      </c>
      <c r="R123">
        <f t="shared" si="295"/>
        <v>1822923.9310530501</v>
      </c>
      <c r="S123">
        <f t="shared" si="296"/>
        <v>2024110.3805554707</v>
      </c>
      <c r="T123">
        <f t="shared" si="297"/>
        <v>2239258.8099083509</v>
      </c>
      <c r="U123">
        <f t="shared" si="298"/>
        <v>2469338.155547651</v>
      </c>
      <c r="V123">
        <f t="shared" si="299"/>
        <v>2715384.596365416</v>
      </c>
      <c r="W123">
        <f t="shared" si="300"/>
        <v>2978506.2202159911</v>
      </c>
      <c r="X123">
        <f t="shared" si="301"/>
        <v>3259888.014269419</v>
      </c>
      <c r="Y123">
        <f t="shared" si="302"/>
        <v>3560797.201686448</v>
      </c>
      <c r="Z123">
        <f t="shared" si="303"/>
        <v>3882588.9486492397</v>
      </c>
      <c r="AA123">
        <f t="shared" si="304"/>
        <v>4226712.4674497973</v>
      </c>
      <c r="AB123">
        <f t="shared" si="305"/>
        <v>4594717.5431218352</v>
      </c>
      <c r="AC123">
        <f t="shared" si="306"/>
        <v>4988261.5130091961</v>
      </c>
      <c r="AD123">
        <f t="shared" si="307"/>
        <v>5409116.7307038875</v>
      </c>
      <c r="AE123">
        <f t="shared" si="308"/>
        <v>5859178.547968016</v>
      </c>
      <c r="AI123">
        <f t="shared" si="282"/>
        <v>68605.786644727486</v>
      </c>
      <c r="AJ123">
        <f t="shared" si="309"/>
        <v>149185.77173973134</v>
      </c>
      <c r="AK123">
        <f t="shared" si="310"/>
        <v>236218.35044346281</v>
      </c>
      <c r="AL123">
        <f t="shared" si="311"/>
        <v>330220.22630495211</v>
      </c>
      <c r="AM123">
        <f t="shared" si="312"/>
        <v>431749.4788801145</v>
      </c>
      <c r="AN123">
        <f t="shared" si="313"/>
        <v>541408.87699319166</v>
      </c>
      <c r="AO123">
        <f t="shared" si="314"/>
        <v>659849.45731382445</v>
      </c>
      <c r="AP123">
        <f t="shared" si="315"/>
        <v>787774.38949540455</v>
      </c>
      <c r="AQ123">
        <f t="shared" si="316"/>
        <v>925943.15082163608</v>
      </c>
      <c r="AR123">
        <f t="shared" si="317"/>
        <v>1075176.03514576</v>
      </c>
      <c r="AS123">
        <f t="shared" si="318"/>
        <v>1236359.0228915524</v>
      </c>
      <c r="AT123">
        <f t="shared" si="319"/>
        <v>1410449.0410287993</v>
      </c>
      <c r="AU123">
        <f t="shared" si="320"/>
        <v>1598479.6442511787</v>
      </c>
      <c r="AV123">
        <f t="shared" si="321"/>
        <v>1801567.1510851374</v>
      </c>
      <c r="AW123">
        <f t="shared" si="322"/>
        <v>2020917.2713591985</v>
      </c>
      <c r="AX123">
        <f t="shared" si="323"/>
        <v>2257832.2643803232</v>
      </c>
      <c r="AY123">
        <f t="shared" si="324"/>
        <v>2513718.6703146859</v>
      </c>
      <c r="AZ123">
        <f t="shared" si="325"/>
        <v>2790095.6606732775</v>
      </c>
      <c r="BA123">
        <f t="shared" si="326"/>
        <v>3088604.0574783287</v>
      </c>
      <c r="BB123">
        <f t="shared" si="327"/>
        <v>3411016.0746564153</v>
      </c>
      <c r="BC123">
        <f t="shared" si="328"/>
        <v>3759245.8394919084</v>
      </c>
      <c r="BD123">
        <f t="shared" si="329"/>
        <v>4135360.7566055628</v>
      </c>
      <c r="BE123">
        <f t="shared" si="330"/>
        <v>4541593.7819250366</v>
      </c>
      <c r="BF123">
        <f t="shared" si="331"/>
        <v>4980356.6795166396</v>
      </c>
      <c r="BG123">
        <f t="shared" si="332"/>
        <v>5454254.339982776</v>
      </c>
      <c r="BH123">
        <f t="shared" si="333"/>
        <v>5966100.2454319503</v>
      </c>
      <c r="BI123">
        <f t="shared" si="334"/>
        <v>6518933.1728352839</v>
      </c>
      <c r="BJ123">
        <f t="shared" si="335"/>
        <v>7116035.2349356674</v>
      </c>
    </row>
    <row r="124" spans="1:62" x14ac:dyDescent="0.3">
      <c r="D124">
        <f t="shared" si="280"/>
        <v>74373.732108292039</v>
      </c>
      <c r="E124">
        <f t="shared" si="284"/>
        <v>153315.81899280276</v>
      </c>
      <c r="F124">
        <f t="shared" si="285"/>
        <v>237106.86866888654</v>
      </c>
      <c r="G124">
        <f t="shared" si="336"/>
        <v>326724.4910309476</v>
      </c>
      <c r="H124">
        <f t="shared" si="336"/>
        <v>422139.65211535932</v>
      </c>
      <c r="I124">
        <f>(I123+6000)*1.00644-(0.00104*(I123+6000))</f>
        <v>523994.35528121406</v>
      </c>
      <c r="J124">
        <f>(J123+6000)*1.00644-(0.00104*(J123+6000))</f>
        <v>633553.94349586579</v>
      </c>
      <c r="K124">
        <f>(K123+6000)*1.00644-(0.00104*(K123+6000))</f>
        <v>750427.68891465606</v>
      </c>
      <c r="L124">
        <f>(L123+6000)*1.00644-(0.00104*(L123+6000))</f>
        <v>875103.88194172573</v>
      </c>
      <c r="M124">
        <f>(M123+6000)*1.00644-(0.000833*(M123+6000))</f>
        <v>1008310.9676667365</v>
      </c>
      <c r="N124">
        <f t="shared" si="291"/>
        <v>1152964.7341338324</v>
      </c>
      <c r="O124">
        <f t="shared" si="292"/>
        <v>1307657.213335816</v>
      </c>
      <c r="P124">
        <f t="shared" si="293"/>
        <v>1473085.0739860893</v>
      </c>
      <c r="Q124">
        <f t="shared" si="294"/>
        <v>1649993.3323610416</v>
      </c>
      <c r="R124">
        <f t="shared" si="295"/>
        <v>1839178.7075344645</v>
      </c>
      <c r="S124">
        <f t="shared" si="296"/>
        <v>2041493.2094592452</v>
      </c>
      <c r="T124">
        <f t="shared" si="297"/>
        <v>2257847.9760555066</v>
      </c>
      <c r="U124">
        <f t="shared" si="298"/>
        <v>2489217.3765858067</v>
      </c>
      <c r="V124">
        <f t="shared" si="299"/>
        <v>2736643.399797237</v>
      </c>
      <c r="W124" s="3">
        <f t="shared" si="300"/>
        <v>3001240.3465927425</v>
      </c>
      <c r="X124">
        <f t="shared" si="301"/>
        <v>3284199.8483654275</v>
      </c>
      <c r="Y124">
        <f t="shared" si="302"/>
        <v>3586796.233596304</v>
      </c>
      <c r="Z124">
        <f t="shared" si="303"/>
        <v>3910392.2668843158</v>
      </c>
      <c r="AA124">
        <f t="shared" si="304"/>
        <v>4256445.2862547887</v>
      </c>
      <c r="AB124" s="3">
        <f t="shared" si="305"/>
        <v>4626513.7663861187</v>
      </c>
      <c r="AC124">
        <f t="shared" si="306"/>
        <v>5022264.3373126388</v>
      </c>
      <c r="AD124">
        <f t="shared" si="307"/>
        <v>5445479.2902129441</v>
      </c>
      <c r="AE124">
        <f t="shared" si="308"/>
        <v>5898064.6040864727</v>
      </c>
      <c r="AI124">
        <f t="shared" si="282"/>
        <v>75086.247910719525</v>
      </c>
      <c r="AJ124">
        <f t="shared" si="309"/>
        <v>156185.16810973521</v>
      </c>
      <c r="AK124">
        <f t="shared" si="310"/>
        <v>243778.23662031873</v>
      </c>
      <c r="AL124">
        <f t="shared" si="311"/>
        <v>338385.48456235602</v>
      </c>
      <c r="AM124">
        <f t="shared" si="312"/>
        <v>440568.58552410244</v>
      </c>
      <c r="AN124">
        <f t="shared" si="313"/>
        <v>550934.19016102783</v>
      </c>
      <c r="AO124">
        <f t="shared" si="314"/>
        <v>670137.52781892545</v>
      </c>
      <c r="AP124">
        <f t="shared" si="315"/>
        <v>798886.29656375491</v>
      </c>
      <c r="AQ124">
        <f t="shared" si="316"/>
        <v>937944.86471292737</v>
      </c>
      <c r="AR124">
        <f t="shared" si="317"/>
        <v>1088138.8088120988</v>
      </c>
      <c r="AS124">
        <f t="shared" si="318"/>
        <v>1250359.8149989741</v>
      </c>
      <c r="AT124">
        <f t="shared" si="319"/>
        <v>1425570.9728530247</v>
      </c>
      <c r="AU124">
        <f t="shared" si="320"/>
        <v>1614812.4931601563</v>
      </c>
      <c r="AV124">
        <f t="shared" si="321"/>
        <v>1819207.8835381258</v>
      </c>
      <c r="AW124">
        <f t="shared" si="322"/>
        <v>2039970.6185867516</v>
      </c>
      <c r="AX124">
        <f t="shared" si="323"/>
        <v>2278411.3441629326</v>
      </c>
      <c r="AY124">
        <f t="shared" si="324"/>
        <v>2535945.6585515123</v>
      </c>
      <c r="AZ124">
        <f t="shared" si="325"/>
        <v>2814102.5167280133</v>
      </c>
      <c r="BA124">
        <f t="shared" si="326"/>
        <v>3114533.3076084889</v>
      </c>
      <c r="BB124" s="3">
        <f t="shared" si="327"/>
        <v>3439021.6581772026</v>
      </c>
      <c r="BC124">
        <f t="shared" si="328"/>
        <v>3789494.0226982362</v>
      </c>
      <c r="BD124">
        <f t="shared" si="329"/>
        <v>4168031.1198781026</v>
      </c>
      <c r="BE124">
        <f t="shared" si="330"/>
        <v>4576880.2858806336</v>
      </c>
      <c r="BF124">
        <f t="shared" si="331"/>
        <v>5018468.8165327264</v>
      </c>
      <c r="BG124" s="3">
        <f t="shared" si="332"/>
        <v>5495418.3779322654</v>
      </c>
      <c r="BH124">
        <f t="shared" si="333"/>
        <v>6010560.5710125323</v>
      </c>
      <c r="BI124">
        <f t="shared" si="334"/>
        <v>6566953.7424683431</v>
      </c>
      <c r="BJ124">
        <f t="shared" si="335"/>
        <v>7167901.1418486526</v>
      </c>
    </row>
    <row r="127" spans="1:62" x14ac:dyDescent="0.3">
      <c r="D127" t="s">
        <v>62</v>
      </c>
      <c r="AI127" t="s">
        <v>62</v>
      </c>
      <c r="AJ127" t="s">
        <v>66</v>
      </c>
    </row>
    <row r="128" spans="1:62" x14ac:dyDescent="0.3">
      <c r="D128" t="s">
        <v>63</v>
      </c>
      <c r="AI128" t="s">
        <v>63</v>
      </c>
    </row>
    <row r="129" spans="1:62" x14ac:dyDescent="0.3">
      <c r="D129" t="s">
        <v>79</v>
      </c>
      <c r="AI129" t="s">
        <v>79</v>
      </c>
    </row>
    <row r="130" spans="1:62" x14ac:dyDescent="0.3">
      <c r="D130" t="s">
        <v>15</v>
      </c>
      <c r="E130" t="s">
        <v>16</v>
      </c>
      <c r="F130" t="s">
        <v>17</v>
      </c>
      <c r="G130" t="s">
        <v>18</v>
      </c>
      <c r="H130" t="s">
        <v>19</v>
      </c>
      <c r="I130" t="s">
        <v>20</v>
      </c>
      <c r="J130" t="s">
        <v>21</v>
      </c>
      <c r="K130" t="s">
        <v>22</v>
      </c>
      <c r="L130" t="s">
        <v>23</v>
      </c>
      <c r="M130" t="s">
        <v>24</v>
      </c>
      <c r="N130" t="s">
        <v>25</v>
      </c>
      <c r="O130" t="s">
        <v>26</v>
      </c>
      <c r="P130" t="s">
        <v>27</v>
      </c>
      <c r="Q130" t="s">
        <v>28</v>
      </c>
      <c r="R130" t="s">
        <v>29</v>
      </c>
      <c r="S130" t="s">
        <v>30</v>
      </c>
      <c r="T130" t="s">
        <v>31</v>
      </c>
      <c r="U130" t="s">
        <v>32</v>
      </c>
      <c r="V130" t="s">
        <v>33</v>
      </c>
      <c r="W130" t="s">
        <v>34</v>
      </c>
      <c r="X130" t="s">
        <v>35</v>
      </c>
      <c r="Y130" t="s">
        <v>36</v>
      </c>
      <c r="Z130" t="s">
        <v>37</v>
      </c>
      <c r="AA130" t="s">
        <v>38</v>
      </c>
      <c r="AB130" t="s">
        <v>39</v>
      </c>
      <c r="AC130" t="s">
        <v>67</v>
      </c>
      <c r="AD130" t="s">
        <v>68</v>
      </c>
      <c r="AE130" t="s">
        <v>69</v>
      </c>
      <c r="AI130" t="s">
        <v>15</v>
      </c>
      <c r="AJ130" t="s">
        <v>16</v>
      </c>
      <c r="AK130" t="s">
        <v>17</v>
      </c>
      <c r="AL130" t="s">
        <v>18</v>
      </c>
      <c r="AM130" t="s">
        <v>19</v>
      </c>
      <c r="AN130" t="s">
        <v>20</v>
      </c>
      <c r="AO130" t="s">
        <v>21</v>
      </c>
      <c r="AP130" t="s">
        <v>22</v>
      </c>
      <c r="AQ130" t="s">
        <v>23</v>
      </c>
      <c r="AR130" t="s">
        <v>24</v>
      </c>
      <c r="AS130" t="s">
        <v>25</v>
      </c>
      <c r="AT130" t="s">
        <v>26</v>
      </c>
      <c r="AU130" t="s">
        <v>27</v>
      </c>
      <c r="AV130" t="s">
        <v>28</v>
      </c>
      <c r="AW130" t="s">
        <v>29</v>
      </c>
      <c r="AX130" t="s">
        <v>30</v>
      </c>
      <c r="AY130" t="s">
        <v>31</v>
      </c>
      <c r="AZ130" t="s">
        <v>32</v>
      </c>
      <c r="BA130" t="s">
        <v>33</v>
      </c>
      <c r="BB130" t="s">
        <v>34</v>
      </c>
      <c r="BC130" t="s">
        <v>35</v>
      </c>
      <c r="BD130" t="s">
        <v>36</v>
      </c>
      <c r="BE130" t="s">
        <v>37</v>
      </c>
      <c r="BF130" t="s">
        <v>38</v>
      </c>
      <c r="BG130" t="s">
        <v>39</v>
      </c>
      <c r="BH130" t="s">
        <v>67</v>
      </c>
      <c r="BI130" t="s">
        <v>68</v>
      </c>
      <c r="BJ130" t="s">
        <v>69</v>
      </c>
    </row>
    <row r="131" spans="1:62" x14ac:dyDescent="0.3">
      <c r="D131">
        <v>0</v>
      </c>
      <c r="AI131">
        <v>0</v>
      </c>
    </row>
    <row r="132" spans="1:62" x14ac:dyDescent="0.3">
      <c r="D132">
        <f t="shared" ref="D132:D143" si="337">(D131+6000)*1.00721-(0.00146*(D131+6000))</f>
        <v>6034.4999999999991</v>
      </c>
      <c r="E132">
        <f>(D143+6000)*1.00721-(0.00146*(D143+6000))</f>
        <v>81212.863541570623</v>
      </c>
      <c r="F132">
        <f>(E143+6000)*1.00721-(0.00146*(E143+6000))</f>
        <v>161745.76807432016</v>
      </c>
      <c r="G132">
        <f>(F143+6000)*1.00721-(0.00146*(F143+6000))</f>
        <v>248014.58807722825</v>
      </c>
      <c r="H132">
        <f>(G143+6000)*1.00721-(0.00125*(G143+6000))</f>
        <v>341196.90418475668</v>
      </c>
      <c r="I132">
        <f>(H143+6000)*1.00721-(0.00125*(H143+6000))</f>
        <v>441266.47735890077</v>
      </c>
      <c r="J132">
        <f>(I143+6000)*1.00721-(0.00104*(I143+6000))</f>
        <v>549400.95575999503</v>
      </c>
      <c r="K132">
        <f>(J143+6000)*1.00721-(0.00104*(J143+6000))</f>
        <v>666441.69182898733</v>
      </c>
      <c r="L132">
        <f>(K143+6000)*1.00721-(0.00104*(K143+6000))</f>
        <v>792448.32723836077</v>
      </c>
      <c r="M132">
        <f>(L143+6000)*1.00721-(0.00104*(L143+6000))</f>
        <v>928107.69422859687</v>
      </c>
      <c r="N132">
        <f t="shared" ref="N132:AD132" si="338">(M143+6000)*1.00721-(0.000833*(M143+6000))</f>
        <v>1075467.0485860575</v>
      </c>
      <c r="O132">
        <f t="shared" si="338"/>
        <v>1235770.1960008882</v>
      </c>
      <c r="P132">
        <f t="shared" si="338"/>
        <v>1408779.907637899</v>
      </c>
      <c r="Q132">
        <f t="shared" si="338"/>
        <v>1595503.3800302597</v>
      </c>
      <c r="R132">
        <f t="shared" si="338"/>
        <v>1797027.6459940784</v>
      </c>
      <c r="S132">
        <f t="shared" si="338"/>
        <v>2014525.9029187262</v>
      </c>
      <c r="T132">
        <f t="shared" si="338"/>
        <v>2249264.3426744286</v>
      </c>
      <c r="U132">
        <f t="shared" si="338"/>
        <v>2502609.5228982475</v>
      </c>
      <c r="V132">
        <f t="shared" si="338"/>
        <v>2776036.3225712674</v>
      </c>
      <c r="W132">
        <f t="shared" si="338"/>
        <v>3071136.5282013123</v>
      </c>
      <c r="X132">
        <f t="shared" si="338"/>
        <v>3389628.1005966845</v>
      </c>
      <c r="Y132">
        <f t="shared" si="338"/>
        <v>3733365.1761785434</v>
      </c>
      <c r="Z132">
        <f t="shared" si="338"/>
        <v>4104348.8610557411</v>
      </c>
      <c r="AA132">
        <f t="shared" si="338"/>
        <v>4504738.8807011172</v>
      </c>
      <c r="AB132">
        <f t="shared" si="338"/>
        <v>4936866.1530492017</v>
      </c>
      <c r="AC132">
        <f t="shared" si="338"/>
        <v>5403246.3582111197</v>
      </c>
      <c r="AD132">
        <f t="shared" si="338"/>
        <v>5906594.5838044025</v>
      </c>
      <c r="AE132">
        <f>(AD143+6000)*1.00721-(0.000623*(AD143+6000))</f>
        <v>6463254.8640559493</v>
      </c>
      <c r="AI132">
        <f t="shared" ref="AI132:AI143" si="339">(AI131+6000)*1.00721-0</f>
        <v>6043.2599999999993</v>
      </c>
      <c r="AJ132">
        <f t="shared" ref="AJ132:BJ132" si="340">(AI143+6000)*1.00721-0</f>
        <v>82052.477169958453</v>
      </c>
      <c r="AK132">
        <f t="shared" si="340"/>
        <v>164905.16604183053</v>
      </c>
      <c r="AL132">
        <f t="shared" si="340"/>
        <v>255217.47695472802</v>
      </c>
      <c r="AM132">
        <f t="shared" si="340"/>
        <v>353661.03519628645</v>
      </c>
      <c r="AN132">
        <f t="shared" si="340"/>
        <v>460967.93567639717</v>
      </c>
      <c r="AO132">
        <f t="shared" si="340"/>
        <v>577936.18729519495</v>
      </c>
      <c r="AP132">
        <f t="shared" si="340"/>
        <v>705435.64749341668</v>
      </c>
      <c r="AQ132">
        <f t="shared" si="340"/>
        <v>844414.4911185822</v>
      </c>
      <c r="AR132">
        <f t="shared" si="340"/>
        <v>995906.26171399641</v>
      </c>
      <c r="AS132">
        <f t="shared" si="340"/>
        <v>1161037.5576688729</v>
      </c>
      <c r="AT132">
        <f t="shared" si="340"/>
        <v>1341036.4103891433</v>
      </c>
      <c r="AU132">
        <f t="shared" si="340"/>
        <v>1537241.416794877</v>
      </c>
      <c r="AV132">
        <f t="shared" si="340"/>
        <v>1751111.69405992</v>
      </c>
      <c r="AW132">
        <f t="shared" si="340"/>
        <v>1984237.7306241426</v>
      </c>
      <c r="AX132">
        <f t="shared" si="340"/>
        <v>2238353.214173974</v>
      </c>
      <c r="AY132">
        <f t="shared" si="340"/>
        <v>2515347.9245523475</v>
      </c>
      <c r="AZ132">
        <f t="shared" si="340"/>
        <v>2817281.7874786998</v>
      </c>
      <c r="BA132">
        <f t="shared" si="340"/>
        <v>3146400.1935923058</v>
      </c>
      <c r="BB132">
        <f t="shared" si="340"/>
        <v>3505150.6967420001</v>
      </c>
      <c r="BC132">
        <f t="shared" si="340"/>
        <v>3896201.215702442</v>
      </c>
      <c r="BD132">
        <f t="shared" si="340"/>
        <v>4322459.8746775407</v>
      </c>
      <c r="BE132">
        <f t="shared" si="340"/>
        <v>4787096.6301388741</v>
      </c>
      <c r="BF132">
        <f t="shared" si="340"/>
        <v>5293566.8448313242</v>
      </c>
      <c r="BG132">
        <f t="shared" si="340"/>
        <v>5845636.984258689</v>
      </c>
      <c r="BH132">
        <f t="shared" si="340"/>
        <v>6447412.6267462233</v>
      </c>
      <c r="BI132">
        <f t="shared" si="340"/>
        <v>7103368.995382485</v>
      </c>
      <c r="BJ132">
        <f t="shared" si="340"/>
        <v>7818384.2388972295</v>
      </c>
    </row>
    <row r="133" spans="1:62" x14ac:dyDescent="0.3">
      <c r="D133">
        <f t="shared" si="337"/>
        <v>12103.698375</v>
      </c>
      <c r="E133">
        <f t="shared" ref="E133:E143" si="341">(E132+6000)*1.00721-(0.00146*(E132+6000))</f>
        <v>87714.337506934651</v>
      </c>
      <c r="F133">
        <f t="shared" ref="F133:F143" si="342">(F132+6000)*1.00721-(0.00146*(F132+6000))</f>
        <v>168710.30624074751</v>
      </c>
      <c r="G133">
        <f t="shared" ref="G133:I138" si="343">(G132+6000)*1.00721-(0.00125*(G132+6000))</f>
        <v>255528.51502216852</v>
      </c>
      <c r="H133">
        <f t="shared" si="343"/>
        <v>349266.19773369783</v>
      </c>
      <c r="I133">
        <f t="shared" si="343"/>
        <v>449932.18556395976</v>
      </c>
      <c r="J133">
        <f t="shared" ref="J133:M138" si="344">(J132+6000)*1.00721-(0.00104*(J132+6000))</f>
        <v>558827.7796570342</v>
      </c>
      <c r="K133">
        <f t="shared" si="344"/>
        <v>676590.65706757212</v>
      </c>
      <c r="L133">
        <f t="shared" si="344"/>
        <v>803374.75341742137</v>
      </c>
      <c r="M133">
        <f t="shared" si="344"/>
        <v>939871.13870198722</v>
      </c>
      <c r="N133">
        <f t="shared" ref="N133:W134" si="345">(N132+6000)*1.00721-(0.000833*(N132+6000))</f>
        <v>1088363.5639548907</v>
      </c>
      <c r="O133">
        <f t="shared" si="345"/>
        <v>1249688.9645407859</v>
      </c>
      <c r="P133">
        <f t="shared" si="345"/>
        <v>1423801.9591089059</v>
      </c>
      <c r="Q133">
        <f t="shared" si="345"/>
        <v>1611716.1670847125</v>
      </c>
      <c r="R133">
        <f t="shared" si="345"/>
        <v>1814525.5532925825</v>
      </c>
      <c r="S133">
        <f t="shared" si="345"/>
        <v>2033410.7966016389</v>
      </c>
      <c r="T133">
        <f t="shared" si="345"/>
        <v>2269646.1633876637</v>
      </c>
      <c r="U133">
        <f t="shared" si="345"/>
        <v>2524606.9258257695</v>
      </c>
      <c r="V133">
        <f t="shared" si="345"/>
        <v>2799777.368200304</v>
      </c>
      <c r="W133">
        <f t="shared" si="345"/>
        <v>3096759.4278416517</v>
      </c>
      <c r="X133">
        <f t="shared" ref="X133:AG134" si="346">(X132+6000)*1.00721-(0.000833*(X132+6000))</f>
        <v>3417282.0209941897</v>
      </c>
      <c r="Y133">
        <f t="shared" si="346"/>
        <v>3763211.1079070335</v>
      </c>
      <c r="Z133">
        <f t="shared" si="346"/>
        <v>4136560.5557426931</v>
      </c>
      <c r="AA133">
        <f t="shared" si="346"/>
        <v>4539503.8625433482</v>
      </c>
      <c r="AB133">
        <f t="shared" si="346"/>
        <v>4974386.810507196</v>
      </c>
      <c r="AC133">
        <f t="shared" si="346"/>
        <v>5443741.1222374318</v>
      </c>
      <c r="AD133">
        <f t="shared" si="346"/>
        <v>5950299.1994653223</v>
      </c>
      <c r="AE133">
        <f t="shared" ref="AE133:AE143" si="347">(AE132+6000)*1.00721-(0.000623*(AE132+6000))</f>
        <v>6511867.845845486</v>
      </c>
      <c r="AI133">
        <f t="shared" si="339"/>
        <v>12130.091904599998</v>
      </c>
      <c r="AJ133">
        <f t="shared" ref="AJ133:AJ143" si="348">(AJ132+6000)*1.00721-0</f>
        <v>88687.335530353841</v>
      </c>
      <c r="AK133">
        <f t="shared" ref="AK133:AK143" si="349">(AK132+6000)*1.00721-0</f>
        <v>172137.39228899212</v>
      </c>
      <c r="AL133">
        <f t="shared" ref="AL133:AL143" si="350">(AL132+6000)*1.00721-0</f>
        <v>263100.85496357159</v>
      </c>
      <c r="AM133">
        <f t="shared" ref="AM133:AM143" si="351">(AM132+6000)*1.00721-0</f>
        <v>362254.19126005168</v>
      </c>
      <c r="AN133">
        <f t="shared" ref="AN133:AN143" si="352">(AN132+6000)*1.00721-0</f>
        <v>470334.77449262398</v>
      </c>
      <c r="AO133">
        <f t="shared" ref="AO133:AO143" si="353">(AO132+6000)*1.00721-0</f>
        <v>588146.36720559327</v>
      </c>
      <c r="AP133">
        <f t="shared" ref="AP133:AP143" si="354">(AP132+6000)*1.00721-0</f>
        <v>716565.09851184417</v>
      </c>
      <c r="AQ133">
        <f t="shared" ref="AQ133:AQ143" si="355">(AQ132+6000)*1.00721-0</f>
        <v>856545.97959954711</v>
      </c>
      <c r="AR133">
        <f t="shared" ref="AR133:AR143" si="356">(AR132+6000)*1.00721-0</f>
        <v>1009130.0058609543</v>
      </c>
      <c r="AS133">
        <f t="shared" ref="AS133:AS143" si="357">(AS132+6000)*1.00721-0</f>
        <v>1175451.8984596655</v>
      </c>
      <c r="AT133">
        <f t="shared" ref="AT133:AT143" si="358">(AT132+6000)*1.00721-0</f>
        <v>1356748.542908049</v>
      </c>
      <c r="AU133">
        <f t="shared" ref="AU133:AU143" si="359">(AU132+6000)*1.00721-0</f>
        <v>1554368.1874099681</v>
      </c>
      <c r="AV133">
        <f t="shared" ref="AV133:AV143" si="360">(AV132+6000)*1.00721-0</f>
        <v>1769780.4693740921</v>
      </c>
      <c r="AW133">
        <f t="shared" ref="AW133:AW143" si="361">(AW132+6000)*1.00721-0</f>
        <v>2004587.3446619425</v>
      </c>
      <c r="AX133">
        <f t="shared" ref="AX133:AX143" si="362">(AX132+6000)*1.00721-0</f>
        <v>2260535.000848168</v>
      </c>
      <c r="AY133">
        <f t="shared" ref="AY133:AY143" si="363">(AY132+6000)*1.00721-0</f>
        <v>2539526.8430883698</v>
      </c>
      <c r="AZ133">
        <f t="shared" ref="AZ133:AZ143" si="364">(AZ132+6000)*1.00721-0</f>
        <v>2843637.649166421</v>
      </c>
      <c r="BA133">
        <f t="shared" ref="BA133:BA143" si="365">(BA132+6000)*1.00721-0</f>
        <v>3175128.9989881059</v>
      </c>
      <c r="BB133">
        <f t="shared" ref="BB133:BB143" si="366">(BB132+6000)*1.00721-0</f>
        <v>3536466.0932655097</v>
      </c>
      <c r="BC133">
        <f t="shared" ref="BC133:BC143" si="367">(BC132+6000)*1.00721-0</f>
        <v>3930336.0864676563</v>
      </c>
      <c r="BD133">
        <f t="shared" ref="BD133:BD143" si="368">(BD132+6000)*1.00721-0</f>
        <v>4359668.0703739654</v>
      </c>
      <c r="BE133">
        <f t="shared" ref="BE133:BE143" si="369">(BE132+6000)*1.00721-0</f>
        <v>4827654.8568421751</v>
      </c>
      <c r="BF133">
        <f t="shared" ref="BF133:BF143" si="370">(BF132+6000)*1.00721-0</f>
        <v>5337776.7217825577</v>
      </c>
      <c r="BG133">
        <f t="shared" ref="BG133:BG143" si="371">(BG132+6000)*1.00721-0</f>
        <v>5893827.2869151933</v>
      </c>
      <c r="BH133">
        <f t="shared" ref="BH133:BH143" si="372">(BH132+6000)*1.00721-0</f>
        <v>6499941.7317850636</v>
      </c>
      <c r="BI133">
        <f t="shared" ref="BI133:BI143" si="373">(BI132+6000)*1.00721-0</f>
        <v>7160627.5458391923</v>
      </c>
      <c r="BJ133">
        <f t="shared" ref="BJ133:BJ143" si="374">(BJ132+6000)*1.00721-0</f>
        <v>7880798.0492596785</v>
      </c>
    </row>
    <row r="134" spans="1:62" x14ac:dyDescent="0.3">
      <c r="A134">
        <f>0.0175/12</f>
        <v>1.4583333333333334E-3</v>
      </c>
      <c r="B134">
        <v>1.75</v>
      </c>
      <c r="D134">
        <f t="shared" si="337"/>
        <v>18207.794640656248</v>
      </c>
      <c r="E134">
        <f t="shared" si="341"/>
        <v>94253.194947599521</v>
      </c>
      <c r="F134">
        <f t="shared" si="342"/>
        <v>175714.8905016318</v>
      </c>
      <c r="G134">
        <f t="shared" si="343"/>
        <v>263087.22497170063</v>
      </c>
      <c r="H134">
        <f t="shared" si="343"/>
        <v>357383.58427219064</v>
      </c>
      <c r="I134">
        <f t="shared" si="343"/>
        <v>458649.54138992092</v>
      </c>
      <c r="J134">
        <f t="shared" si="344"/>
        <v>568312.76705751813</v>
      </c>
      <c r="K134">
        <f t="shared" si="344"/>
        <v>686802.24142167892</v>
      </c>
      <c r="L134">
        <f t="shared" si="344"/>
        <v>814368.59564600675</v>
      </c>
      <c r="M134">
        <f t="shared" si="344"/>
        <v>951707.16362777841</v>
      </c>
      <c r="N134">
        <f t="shared" si="345"/>
        <v>1101342.3204022311</v>
      </c>
      <c r="O134">
        <f t="shared" si="345"/>
        <v>1263696.4930676625</v>
      </c>
      <c r="P134">
        <f t="shared" si="345"/>
        <v>1438919.8062021432</v>
      </c>
      <c r="Q134">
        <f t="shared" si="345"/>
        <v>1628032.3430822117</v>
      </c>
      <c r="R134">
        <f t="shared" si="345"/>
        <v>1832135.0447459291</v>
      </c>
      <c r="S134">
        <f t="shared" si="345"/>
        <v>2052416.1192515674</v>
      </c>
      <c r="T134">
        <f t="shared" si="345"/>
        <v>2290157.9589715865</v>
      </c>
      <c r="U134">
        <f t="shared" si="345"/>
        <v>2546744.6061917604</v>
      </c>
      <c r="V134">
        <f t="shared" si="345"/>
        <v>2823669.8104773173</v>
      </c>
      <c r="W134">
        <f t="shared" si="345"/>
        <v>3122545.7247129977</v>
      </c>
      <c r="X134">
        <f t="shared" si="346"/>
        <v>3445112.2904420695</v>
      </c>
      <c r="Y134">
        <f t="shared" si="346"/>
        <v>3793247.3671421567</v>
      </c>
      <c r="Z134">
        <f t="shared" si="346"/>
        <v>4168977.6644066642</v>
      </c>
      <c r="AA134">
        <f t="shared" si="346"/>
        <v>4574490.540674787</v>
      </c>
      <c r="AB134">
        <f t="shared" si="346"/>
        <v>5012146.7371978005</v>
      </c>
      <c r="AC134">
        <f t="shared" si="346"/>
        <v>5484494.1213739393</v>
      </c>
      <c r="AD134">
        <f t="shared" si="346"/>
        <v>5994282.5194603121</v>
      </c>
      <c r="AE134">
        <f t="shared" si="347"/>
        <v>6560801.0413460704</v>
      </c>
      <c r="AI134">
        <f t="shared" si="339"/>
        <v>18260.809867232161</v>
      </c>
      <c r="AJ134">
        <f t="shared" si="348"/>
        <v>95370.031219527693</v>
      </c>
      <c r="AK134">
        <f t="shared" si="349"/>
        <v>179421.76288739574</v>
      </c>
      <c r="AL134">
        <f t="shared" si="350"/>
        <v>271041.07212785893</v>
      </c>
      <c r="AM134">
        <f t="shared" si="351"/>
        <v>370909.30397903663</v>
      </c>
      <c r="AN134">
        <f t="shared" si="352"/>
        <v>479769.14821671578</v>
      </c>
      <c r="AO134">
        <f t="shared" si="353"/>
        <v>598430.16251314559</v>
      </c>
      <c r="AP134">
        <f t="shared" si="354"/>
        <v>727774.79287211457</v>
      </c>
      <c r="AQ134">
        <f t="shared" si="355"/>
        <v>868764.93611245975</v>
      </c>
      <c r="AR134">
        <f t="shared" si="356"/>
        <v>1022449.0932032117</v>
      </c>
      <c r="AS134">
        <f t="shared" si="357"/>
        <v>1189970.1666475595</v>
      </c>
      <c r="AT134">
        <f t="shared" si="358"/>
        <v>1372573.959902416</v>
      </c>
      <c r="AU134">
        <f t="shared" si="359"/>
        <v>1571618.4420411938</v>
      </c>
      <c r="AV134">
        <f t="shared" si="360"/>
        <v>1788583.8465582791</v>
      </c>
      <c r="AW134">
        <f t="shared" si="361"/>
        <v>2025083.679416955</v>
      </c>
      <c r="AX134">
        <f t="shared" si="362"/>
        <v>2282876.7182042832</v>
      </c>
      <c r="AY134">
        <f t="shared" si="363"/>
        <v>2563880.0916270367</v>
      </c>
      <c r="AZ134">
        <f t="shared" si="364"/>
        <v>2870183.5366169107</v>
      </c>
      <c r="BA134">
        <f t="shared" si="365"/>
        <v>3204064.9390708101</v>
      </c>
      <c r="BB134">
        <f t="shared" si="366"/>
        <v>3568007.273797954</v>
      </c>
      <c r="BC134">
        <f t="shared" si="367"/>
        <v>3964717.0696510877</v>
      </c>
      <c r="BD134">
        <f t="shared" si="368"/>
        <v>4397144.5371613614</v>
      </c>
      <c r="BE134">
        <f t="shared" si="369"/>
        <v>4868505.5083600068</v>
      </c>
      <c r="BF134">
        <f t="shared" si="370"/>
        <v>5382305.35194661</v>
      </c>
      <c r="BG134">
        <f t="shared" si="371"/>
        <v>5942365.041653851</v>
      </c>
      <c r="BH134">
        <f t="shared" si="372"/>
        <v>6552849.5716712335</v>
      </c>
      <c r="BI134">
        <f t="shared" si="373"/>
        <v>7218298.9304446923</v>
      </c>
      <c r="BJ134">
        <f t="shared" si="374"/>
        <v>7943661.86319484</v>
      </c>
    </row>
    <row r="135" spans="1:62" x14ac:dyDescent="0.3">
      <c r="A135">
        <f>0.015/12</f>
        <v>1.25E-3</v>
      </c>
      <c r="B135">
        <v>1.5</v>
      </c>
      <c r="D135">
        <f t="shared" si="337"/>
        <v>24346.989459840017</v>
      </c>
      <c r="E135">
        <f t="shared" si="341"/>
        <v>100829.65081854822</v>
      </c>
      <c r="F135">
        <f t="shared" si="342"/>
        <v>182759.75112201617</v>
      </c>
      <c r="G135">
        <f t="shared" si="343"/>
        <v>270690.98483253195</v>
      </c>
      <c r="H135">
        <f t="shared" si="343"/>
        <v>365549.35043445282</v>
      </c>
      <c r="I135">
        <f t="shared" si="343"/>
        <v>467418.85265660478</v>
      </c>
      <c r="J135">
        <f t="shared" si="344"/>
        <v>577856.27683026297</v>
      </c>
      <c r="K135">
        <f t="shared" si="344"/>
        <v>697076.8312512507</v>
      </c>
      <c r="L135">
        <f t="shared" si="344"/>
        <v>825430.26988114265</v>
      </c>
      <c r="M135">
        <f t="shared" si="344"/>
        <v>963616.21682736173</v>
      </c>
      <c r="N135">
        <f t="shared" ref="N135:N143" si="375">(N134+6000)*1.00721-(0.000833*(N134+6000))</f>
        <v>1114403.8423794361</v>
      </c>
      <c r="O135">
        <f t="shared" ref="O135:O143" si="376">(O134+6000)*1.00721-(0.000833*(O134+6000))</f>
        <v>1277793.3476039548</v>
      </c>
      <c r="P135">
        <f t="shared" ref="P135:P143" si="377">(P134+6000)*1.00721-(0.000833*(P134+6000))</f>
        <v>1454134.0598062943</v>
      </c>
      <c r="Q135">
        <f t="shared" ref="Q135:Q143" si="378">(Q134+6000)*1.00721-(0.000833*(Q134+6000))</f>
        <v>1644452.5673340468</v>
      </c>
      <c r="R135">
        <f t="shared" ref="R135:R143" si="379">(R134+6000)*1.00721-(0.000833*(R134+6000))</f>
        <v>1849856.8319262739</v>
      </c>
      <c r="S135">
        <f t="shared" ref="S135:S143" si="380">(S134+6000)*1.00721-(0.000833*(S134+6000))</f>
        <v>2071542.6388440346</v>
      </c>
      <c r="T135">
        <f t="shared" ref="T135:T143" si="381">(T134+6000)*1.00721-(0.000833*(T134+6000))</f>
        <v>2310800.5582759483</v>
      </c>
      <c r="U135">
        <f t="shared" ref="U135:U143" si="382">(U134+6000)*1.00721-(0.000833*(U134+6000))</f>
        <v>2569023.458545445</v>
      </c>
      <c r="V135">
        <f t="shared" ref="V135:V143" si="383">(V134+6000)*1.00721-(0.000833*(V134+6000))</f>
        <v>2847714.6148587312</v>
      </c>
      <c r="W135">
        <f t="shared" ref="W135:W143" si="384">(W134+6000)*1.00721-(0.000833*(W134+6000))</f>
        <v>3148496.4607994924</v>
      </c>
      <c r="X135">
        <f t="shared" ref="X135:X143" si="385">(X134+6000)*1.00721-(0.000833*(X134+6000))</f>
        <v>3473120.0335182184</v>
      </c>
      <c r="Y135">
        <f t="shared" ref="Y135:Y143" si="386">(Y134+6000)*1.00721-(0.000833*(Y134+6000))</f>
        <v>3823475.1676024222</v>
      </c>
      <c r="Z135">
        <f t="shared" ref="Z135:Z143" si="387">(Z134+6000)*1.00721-(0.000833*(Z134+6000))</f>
        <v>4201601.4969725851</v>
      </c>
      <c r="AA135">
        <f t="shared" ref="AA135:AA143" si="388">(AA134+6000)*1.00721-(0.000833*(AA134+6000))</f>
        <v>4609700.3288526693</v>
      </c>
      <c r="AB135">
        <f t="shared" ref="AB135:AB143" si="389">(AB134+6000)*1.00721-(0.000833*(AB134+6000))</f>
        <v>5050147.4589409102</v>
      </c>
      <c r="AC135">
        <f t="shared" ref="AC135:AC143" si="390">(AC134+6000)*1.00721-(0.000833*(AC134+6000))</f>
        <v>5525507.0023859404</v>
      </c>
      <c r="AD135">
        <f t="shared" ref="AD135:AD143" si="391">(AD134+6000)*1.00721-(0.000623*(AD134+6000))</f>
        <v>6039806.3804159975</v>
      </c>
      <c r="AE135">
        <f t="shared" si="347"/>
        <v>6610056.5598054165</v>
      </c>
      <c r="AI135">
        <f t="shared" si="339"/>
        <v>24435.730306374902</v>
      </c>
      <c r="AJ135">
        <f t="shared" si="348"/>
        <v>102100.90914462048</v>
      </c>
      <c r="AK135">
        <f t="shared" si="349"/>
        <v>186758.65379781387</v>
      </c>
      <c r="AL135">
        <f t="shared" si="350"/>
        <v>279038.5382579008</v>
      </c>
      <c r="AM135">
        <f t="shared" si="351"/>
        <v>379626.82006072544</v>
      </c>
      <c r="AN135">
        <f t="shared" si="352"/>
        <v>489271.5437753583</v>
      </c>
      <c r="AO135">
        <f t="shared" si="353"/>
        <v>608788.10398486536</v>
      </c>
      <c r="AP135">
        <f t="shared" si="354"/>
        <v>739065.30912872253</v>
      </c>
      <c r="AQ135">
        <f t="shared" si="355"/>
        <v>881071.99130183051</v>
      </c>
      <c r="AR135">
        <f t="shared" si="356"/>
        <v>1035864.2111652067</v>
      </c>
      <c r="AS135">
        <f t="shared" si="357"/>
        <v>1204593.1115490883</v>
      </c>
      <c r="AT135">
        <f t="shared" si="358"/>
        <v>1388513.4781533123</v>
      </c>
      <c r="AU135">
        <f t="shared" si="359"/>
        <v>1588993.0710083107</v>
      </c>
      <c r="AV135">
        <f t="shared" si="360"/>
        <v>1807522.7960919642</v>
      </c>
      <c r="AW135">
        <f t="shared" si="361"/>
        <v>2045727.7927455511</v>
      </c>
      <c r="AX135">
        <f t="shared" si="362"/>
        <v>2305379.5193425361</v>
      </c>
      <c r="AY135">
        <f t="shared" si="363"/>
        <v>2588408.9270876674</v>
      </c>
      <c r="AZ135">
        <f t="shared" si="364"/>
        <v>2896920.8199159186</v>
      </c>
      <c r="BA135">
        <f t="shared" si="365"/>
        <v>3233209.5072815106</v>
      </c>
      <c r="BB135">
        <f t="shared" si="366"/>
        <v>3599775.8662420372</v>
      </c>
      <c r="BC135">
        <f t="shared" si="367"/>
        <v>3999345.9397232719</v>
      </c>
      <c r="BD135">
        <f t="shared" si="368"/>
        <v>4434891.2092742948</v>
      </c>
      <c r="BE135">
        <f t="shared" si="369"/>
        <v>4909650.6930752825</v>
      </c>
      <c r="BF135">
        <f t="shared" si="370"/>
        <v>5427155.033534145</v>
      </c>
      <c r="BG135">
        <f t="shared" si="371"/>
        <v>5991252.7536041746</v>
      </c>
      <c r="BH135">
        <f t="shared" si="372"/>
        <v>6606138.877082983</v>
      </c>
      <c r="BI135">
        <f t="shared" si="373"/>
        <v>7276386.1257331977</v>
      </c>
      <c r="BJ135">
        <f t="shared" si="374"/>
        <v>8006978.9252284747</v>
      </c>
    </row>
    <row r="136" spans="1:62" x14ac:dyDescent="0.3">
      <c r="A136">
        <f>0.0125/12</f>
        <v>1.0416666666666667E-3</v>
      </c>
      <c r="B136">
        <v>1.25</v>
      </c>
      <c r="D136">
        <f t="shared" si="337"/>
        <v>30521.484649234095</v>
      </c>
      <c r="E136">
        <f t="shared" si="341"/>
        <v>107443.92131075487</v>
      </c>
      <c r="F136">
        <f t="shared" si="342"/>
        <v>189845.11969096775</v>
      </c>
      <c r="G136">
        <f t="shared" si="343"/>
        <v>278340.0631021338</v>
      </c>
      <c r="H136">
        <f t="shared" si="343"/>
        <v>373763.78456304217</v>
      </c>
      <c r="I136">
        <f t="shared" si="343"/>
        <v>476240.4290184381</v>
      </c>
      <c r="J136">
        <f t="shared" si="344"/>
        <v>587458.67005830561</v>
      </c>
      <c r="K136">
        <f t="shared" si="344"/>
        <v>707414.8153000708</v>
      </c>
      <c r="L136">
        <f t="shared" si="344"/>
        <v>836560.19464630925</v>
      </c>
      <c r="M136">
        <f t="shared" si="344"/>
        <v>975598.74888518651</v>
      </c>
      <c r="N136">
        <f t="shared" si="375"/>
        <v>1127548.6576822896</v>
      </c>
      <c r="O136">
        <f t="shared" si="376"/>
        <v>1291980.0977816251</v>
      </c>
      <c r="P136">
        <f t="shared" si="377"/>
        <v>1469445.334705679</v>
      </c>
      <c r="Q136">
        <f t="shared" si="378"/>
        <v>1660977.5033559359</v>
      </c>
      <c r="R136">
        <f t="shared" si="379"/>
        <v>1867691.6309434676</v>
      </c>
      <c r="S136">
        <f t="shared" si="380"/>
        <v>2090791.1282519428</v>
      </c>
      <c r="T136">
        <f t="shared" si="381"/>
        <v>2331574.795436074</v>
      </c>
      <c r="U136">
        <f t="shared" si="382"/>
        <v>2591444.3831405891</v>
      </c>
      <c r="V136">
        <f t="shared" si="383"/>
        <v>2871912.7529576849</v>
      </c>
      <c r="W136">
        <f t="shared" si="384"/>
        <v>3174612.6847300106</v>
      </c>
      <c r="X136">
        <f t="shared" si="385"/>
        <v>3501306.3819719641</v>
      </c>
      <c r="Y136">
        <f t="shared" si="386"/>
        <v>3853895.7307462222</v>
      </c>
      <c r="Z136">
        <f t="shared" si="387"/>
        <v>4234433.3717187792</v>
      </c>
      <c r="AA136">
        <f t="shared" si="388"/>
        <v>4645134.6498497631</v>
      </c>
      <c r="AB136">
        <f t="shared" si="389"/>
        <v>5088390.5112865763</v>
      </c>
      <c r="AC136">
        <f t="shared" si="390"/>
        <v>5566781.4225401552</v>
      </c>
      <c r="AD136">
        <f t="shared" si="391"/>
        <v>6085630.1070437972</v>
      </c>
      <c r="AE136">
        <f t="shared" si="347"/>
        <v>6659636.5243648551</v>
      </c>
      <c r="AI136">
        <f t="shared" si="339"/>
        <v>30655.171921883863</v>
      </c>
      <c r="AJ136">
        <f t="shared" si="348"/>
        <v>108880.31669955319</v>
      </c>
      <c r="AK136">
        <f t="shared" si="349"/>
        <v>194148.4436916961</v>
      </c>
      <c r="AL136">
        <f t="shared" si="350"/>
        <v>287093.66611874022</v>
      </c>
      <c r="AM136">
        <f t="shared" si="351"/>
        <v>388407.18943336327</v>
      </c>
      <c r="AN136">
        <f t="shared" si="352"/>
        <v>498842.4516059786</v>
      </c>
      <c r="AO136">
        <f t="shared" si="353"/>
        <v>619220.72621459619</v>
      </c>
      <c r="AP136">
        <f t="shared" si="354"/>
        <v>750437.23000754055</v>
      </c>
      <c r="AQ136">
        <f t="shared" si="355"/>
        <v>893467.78035911662</v>
      </c>
      <c r="AR136">
        <f t="shared" si="356"/>
        <v>1049376.0521277077</v>
      </c>
      <c r="AS136">
        <f t="shared" si="357"/>
        <v>1219321.4878833571</v>
      </c>
      <c r="AT136">
        <f t="shared" si="358"/>
        <v>1404567.9203307976</v>
      </c>
      <c r="AU136">
        <f t="shared" si="359"/>
        <v>1606492.9710502804</v>
      </c>
      <c r="AV136">
        <f t="shared" si="360"/>
        <v>1826598.2954517873</v>
      </c>
      <c r="AW136">
        <f t="shared" si="361"/>
        <v>2066520.7501312464</v>
      </c>
      <c r="AX136">
        <f t="shared" si="362"/>
        <v>2328044.5656769956</v>
      </c>
      <c r="AY136">
        <f t="shared" si="363"/>
        <v>2613114.6154519692</v>
      </c>
      <c r="AZ136">
        <f t="shared" si="364"/>
        <v>2923850.8790275124</v>
      </c>
      <c r="BA136">
        <f t="shared" si="365"/>
        <v>3262564.2078290102</v>
      </c>
      <c r="BB136">
        <f t="shared" si="366"/>
        <v>3631773.5102376421</v>
      </c>
      <c r="BC136">
        <f t="shared" si="367"/>
        <v>4034224.4839486764</v>
      </c>
      <c r="BD136">
        <f t="shared" si="368"/>
        <v>4472910.0348931625</v>
      </c>
      <c r="BE136">
        <f t="shared" si="369"/>
        <v>4951092.5345723554</v>
      </c>
      <c r="BF136">
        <f t="shared" si="370"/>
        <v>5472328.0813259259</v>
      </c>
      <c r="BG136">
        <f t="shared" si="371"/>
        <v>6040492.9459576607</v>
      </c>
      <c r="BH136">
        <f t="shared" si="372"/>
        <v>6659812.3983867513</v>
      </c>
      <c r="BI136">
        <f t="shared" si="373"/>
        <v>7334892.129699734</v>
      </c>
      <c r="BJ136">
        <f t="shared" si="374"/>
        <v>8070752.5032793712</v>
      </c>
    </row>
    <row r="137" spans="1:62" x14ac:dyDescent="0.3">
      <c r="A137">
        <f>0.01/12</f>
        <v>8.3333333333333339E-4</v>
      </c>
      <c r="B137">
        <v>1</v>
      </c>
      <c r="D137">
        <f t="shared" si="337"/>
        <v>36731.48318596719</v>
      </c>
      <c r="E137">
        <f t="shared" si="341"/>
        <v>114096.22385829171</v>
      </c>
      <c r="F137">
        <f t="shared" si="342"/>
        <v>196971.22912919079</v>
      </c>
      <c r="G137">
        <f t="shared" si="343"/>
        <v>286034.72987822251</v>
      </c>
      <c r="H137">
        <f t="shared" si="343"/>
        <v>382027.17671903787</v>
      </c>
      <c r="I137">
        <f t="shared" si="343"/>
        <v>485114.58197538793</v>
      </c>
      <c r="J137">
        <f t="shared" si="344"/>
        <v>597120.31005256542</v>
      </c>
      <c r="K137">
        <f t="shared" si="344"/>
        <v>717816.58471047215</v>
      </c>
      <c r="L137">
        <f t="shared" si="344"/>
        <v>847758.79104727693</v>
      </c>
      <c r="M137">
        <f t="shared" si="344"/>
        <v>987655.21316580812</v>
      </c>
      <c r="N137">
        <f t="shared" si="375"/>
        <v>1140777.2974723293</v>
      </c>
      <c r="O137">
        <f t="shared" si="376"/>
        <v>1306257.3168651785</v>
      </c>
      <c r="P137">
        <f t="shared" si="377"/>
        <v>1484854.2496050971</v>
      </c>
      <c r="Q137">
        <f t="shared" si="378"/>
        <v>1677607.8188948366</v>
      </c>
      <c r="R137">
        <f t="shared" si="379"/>
        <v>1885640.1624739938</v>
      </c>
      <c r="S137">
        <f t="shared" si="380"/>
        <v>2110162.3652768056</v>
      </c>
      <c r="T137">
        <f t="shared" si="381"/>
        <v>2352481.5099065695</v>
      </c>
      <c r="U137">
        <f t="shared" si="382"/>
        <v>2614008.2859718762</v>
      </c>
      <c r="V137">
        <f t="shared" si="383"/>
        <v>2896265.2025832962</v>
      </c>
      <c r="W137">
        <f t="shared" si="384"/>
        <v>3200895.4518205337</v>
      </c>
      <c r="X137">
        <f t="shared" si="385"/>
        <v>3529672.4747697995</v>
      </c>
      <c r="Y137">
        <f t="shared" si="386"/>
        <v>3884510.2858211906</v>
      </c>
      <c r="Z137">
        <f t="shared" si="387"/>
        <v>4267474.6153302295</v>
      </c>
      <c r="AA137">
        <f t="shared" si="388"/>
        <v>4680794.9355118554</v>
      </c>
      <c r="AB137">
        <f t="shared" si="389"/>
        <v>5126877.4395770505</v>
      </c>
      <c r="AC137">
        <f t="shared" si="390"/>
        <v>5608319.0496716937</v>
      </c>
      <c r="AD137">
        <f t="shared" si="391"/>
        <v>6131755.6745588938</v>
      </c>
      <c r="AE137">
        <f t="shared" si="347"/>
        <v>6709543.072150846</v>
      </c>
      <c r="AI137">
        <f t="shared" si="339"/>
        <v>36919.455711440642</v>
      </c>
      <c r="AJ137">
        <f t="shared" si="348"/>
        <v>115708.60378295697</v>
      </c>
      <c r="AK137">
        <f t="shared" si="349"/>
        <v>201591.51397071322</v>
      </c>
      <c r="AL137">
        <f t="shared" si="350"/>
        <v>295206.87145145633</v>
      </c>
      <c r="AM137">
        <f t="shared" si="351"/>
        <v>397250.86526917777</v>
      </c>
      <c r="AN137">
        <f t="shared" si="352"/>
        <v>508482.36568205769</v>
      </c>
      <c r="AO137">
        <f t="shared" si="353"/>
        <v>629728.56765060336</v>
      </c>
      <c r="AP137">
        <f t="shared" si="354"/>
        <v>761891.14243589493</v>
      </c>
      <c r="AQ137">
        <f t="shared" si="355"/>
        <v>905952.94305550575</v>
      </c>
      <c r="AR137">
        <f t="shared" si="356"/>
        <v>1062985.3134635484</v>
      </c>
      <c r="AS137">
        <f t="shared" si="357"/>
        <v>1234156.0558109961</v>
      </c>
      <c r="AT137">
        <f t="shared" si="358"/>
        <v>1420738.1150363826</v>
      </c>
      <c r="AU137">
        <f t="shared" si="359"/>
        <v>1624119.0453715527</v>
      </c>
      <c r="AV137">
        <f t="shared" si="360"/>
        <v>1845811.3291619946</v>
      </c>
      <c r="AW137">
        <f t="shared" si="361"/>
        <v>2087463.6247396925</v>
      </c>
      <c r="AX137">
        <f t="shared" si="362"/>
        <v>2350873.0269955266</v>
      </c>
      <c r="AY137">
        <f t="shared" si="363"/>
        <v>2637998.4318293775</v>
      </c>
      <c r="AZ137">
        <f t="shared" si="364"/>
        <v>2950975.1038653008</v>
      </c>
      <c r="BA137">
        <f t="shared" si="365"/>
        <v>3292130.555767457</v>
      </c>
      <c r="BB137">
        <f t="shared" si="366"/>
        <v>3664001.8572464553</v>
      </c>
      <c r="BC137">
        <f t="shared" si="367"/>
        <v>4069354.5024779462</v>
      </c>
      <c r="BD137">
        <f t="shared" si="368"/>
        <v>4511202.9762447421</v>
      </c>
      <c r="BE137">
        <f t="shared" si="369"/>
        <v>4992833.1717466218</v>
      </c>
      <c r="BF137">
        <f t="shared" si="370"/>
        <v>5517826.8267922858</v>
      </c>
      <c r="BG137">
        <f t="shared" si="371"/>
        <v>6090088.1600980153</v>
      </c>
      <c r="BH137">
        <f t="shared" si="372"/>
        <v>6713872.9057791196</v>
      </c>
      <c r="BI137">
        <f t="shared" si="373"/>
        <v>7393819.9619548684</v>
      </c>
      <c r="BJ137">
        <f t="shared" si="374"/>
        <v>8134985.888828015</v>
      </c>
    </row>
    <row r="138" spans="1:62" x14ac:dyDescent="0.3">
      <c r="D138">
        <f t="shared" si="337"/>
        <v>42977.189214286504</v>
      </c>
      <c r="E138">
        <f t="shared" si="341"/>
        <v>120786.77714547687</v>
      </c>
      <c r="F138">
        <f t="shared" si="342"/>
        <v>204138.31369668362</v>
      </c>
      <c r="G138">
        <f t="shared" si="343"/>
        <v>293775.25686829671</v>
      </c>
      <c r="H138">
        <f t="shared" si="343"/>
        <v>390339.81869228336</v>
      </c>
      <c r="I138">
        <f t="shared" si="343"/>
        <v>494041.62488396122</v>
      </c>
      <c r="J138">
        <f t="shared" si="344"/>
        <v>606841.56236558966</v>
      </c>
      <c r="K138">
        <f t="shared" si="344"/>
        <v>728282.53303813573</v>
      </c>
      <c r="L138">
        <f t="shared" si="344"/>
        <v>859026.48278803856</v>
      </c>
      <c r="M138">
        <f t="shared" si="344"/>
        <v>999786.06583104108</v>
      </c>
      <c r="N138">
        <f t="shared" si="375"/>
        <v>1154090.2962983102</v>
      </c>
      <c r="O138">
        <f t="shared" si="376"/>
        <v>1320625.5817748276</v>
      </c>
      <c r="P138">
        <f t="shared" si="377"/>
        <v>1500361.4271548288</v>
      </c>
      <c r="Q138">
        <f t="shared" si="378"/>
        <v>1694344.1859559289</v>
      </c>
      <c r="R138">
        <f t="shared" si="379"/>
        <v>1903703.1517900904</v>
      </c>
      <c r="S138">
        <f t="shared" si="380"/>
        <v>2129657.1326801758</v>
      </c>
      <c r="T138">
        <f t="shared" si="381"/>
        <v>2373521.5464952434</v>
      </c>
      <c r="U138">
        <f t="shared" si="382"/>
        <v>2636716.0788115188</v>
      </c>
      <c r="V138">
        <f t="shared" si="383"/>
        <v>2920772.9477801695</v>
      </c>
      <c r="W138">
        <f t="shared" si="384"/>
        <v>3227345.824116793</v>
      </c>
      <c r="X138">
        <f t="shared" si="385"/>
        <v>3558219.4581414061</v>
      </c>
      <c r="Y138">
        <f t="shared" si="386"/>
        <v>3915320.0699138721</v>
      </c>
      <c r="Z138">
        <f t="shared" si="387"/>
        <v>4300726.5629521906</v>
      </c>
      <c r="AA138">
        <f t="shared" si="388"/>
        <v>4716682.6268156143</v>
      </c>
      <c r="AB138">
        <f t="shared" si="389"/>
        <v>5165609.7990092328</v>
      </c>
      <c r="AC138">
        <f t="shared" si="390"/>
        <v>5650121.5622514496</v>
      </c>
      <c r="AD138">
        <f t="shared" si="391"/>
        <v>6178185.0711872131</v>
      </c>
      <c r="AE138">
        <f t="shared" si="347"/>
        <v>6759778.3543671034</v>
      </c>
      <c r="AI138">
        <f t="shared" si="339"/>
        <v>43228.904987120128</v>
      </c>
      <c r="AJ138">
        <f t="shared" si="348"/>
        <v>122586.12281623208</v>
      </c>
      <c r="AK138">
        <f t="shared" si="349"/>
        <v>209088.24878644204</v>
      </c>
      <c r="AL138">
        <f t="shared" si="350"/>
        <v>303378.5729946213</v>
      </c>
      <c r="AM138">
        <f t="shared" si="351"/>
        <v>406158.30400776851</v>
      </c>
      <c r="AN138">
        <f t="shared" si="352"/>
        <v>518191.78353862528</v>
      </c>
      <c r="AO138">
        <f t="shared" si="353"/>
        <v>640312.17062336416</v>
      </c>
      <c r="AP138">
        <f t="shared" si="354"/>
        <v>773427.63757285767</v>
      </c>
      <c r="AQ138">
        <f t="shared" si="355"/>
        <v>918528.12377493584</v>
      </c>
      <c r="AR138">
        <f t="shared" si="356"/>
        <v>1076692.6975736206</v>
      </c>
      <c r="AS138">
        <f t="shared" si="357"/>
        <v>1249097.5809733933</v>
      </c>
      <c r="AT138">
        <f t="shared" si="358"/>
        <v>1437024.8968457947</v>
      </c>
      <c r="AU138">
        <f t="shared" si="359"/>
        <v>1641872.2036886816</v>
      </c>
      <c r="AV138">
        <f t="shared" si="360"/>
        <v>1865162.8888452526</v>
      </c>
      <c r="AW138">
        <f t="shared" si="361"/>
        <v>2108557.4974740655</v>
      </c>
      <c r="AX138">
        <f t="shared" si="362"/>
        <v>2373866.0815201644</v>
      </c>
      <c r="AY138">
        <f t="shared" si="363"/>
        <v>2663061.660522867</v>
      </c>
      <c r="AZ138">
        <f t="shared" si="364"/>
        <v>2978294.8943641693</v>
      </c>
      <c r="BA138">
        <f t="shared" si="365"/>
        <v>3321910.0770745403</v>
      </c>
      <c r="BB138">
        <f t="shared" si="366"/>
        <v>3696462.5706372019</v>
      </c>
      <c r="BC138">
        <f t="shared" si="367"/>
        <v>4104737.8084408119</v>
      </c>
      <c r="BD138">
        <f t="shared" si="368"/>
        <v>4549772.0097034667</v>
      </c>
      <c r="BE138">
        <f t="shared" si="369"/>
        <v>5034874.7589149149</v>
      </c>
      <c r="BF138">
        <f t="shared" si="370"/>
        <v>5563653.618213458</v>
      </c>
      <c r="BG138">
        <f t="shared" si="371"/>
        <v>6140040.9557323214</v>
      </c>
      <c r="BH138">
        <f t="shared" si="372"/>
        <v>6768323.189429787</v>
      </c>
      <c r="BI138">
        <f t="shared" si="373"/>
        <v>7453172.6638805624</v>
      </c>
      <c r="BJ138">
        <f t="shared" si="374"/>
        <v>8199682.3970864648</v>
      </c>
    </row>
    <row r="139" spans="1:62" x14ac:dyDescent="0.3">
      <c r="D139">
        <f t="shared" si="337"/>
        <v>49258.80805226865</v>
      </c>
      <c r="E139">
        <f t="shared" si="341"/>
        <v>127515.80111406336</v>
      </c>
      <c r="F139">
        <f t="shared" si="342"/>
        <v>211346.60900043952</v>
      </c>
      <c r="G139">
        <f t="shared" ref="G139:H143" si="392">(G138+6000)*1.00721-(0.00125*(G138+6000))</f>
        <v>301561.91739923169</v>
      </c>
      <c r="H139">
        <f t="shared" si="392"/>
        <v>398702.00401168934</v>
      </c>
      <c r="I139">
        <f t="shared" ref="I139:L143" si="393">(I138+6000)*1.00721-(0.00104*(I138+6000))</f>
        <v>503126.88170949521</v>
      </c>
      <c r="J139">
        <f t="shared" si="393"/>
        <v>616622.79480538529</v>
      </c>
      <c r="K139">
        <f t="shared" si="393"/>
        <v>738813.05626698106</v>
      </c>
      <c r="L139">
        <f t="shared" si="393"/>
        <v>870363.69618684065</v>
      </c>
      <c r="M139">
        <f>(M138+6000)*1.00721-(0.000833*(M138+6000))</f>
        <v>1012199.9635728456</v>
      </c>
      <c r="N139">
        <f t="shared" si="375"/>
        <v>1167488.1921178044</v>
      </c>
      <c r="O139">
        <f t="shared" si="376"/>
        <v>1335085.4731098055</v>
      </c>
      <c r="P139">
        <f t="shared" si="377"/>
        <v>1515967.4939757951</v>
      </c>
      <c r="Q139">
        <f t="shared" si="378"/>
        <v>1711187.2808297698</v>
      </c>
      <c r="R139">
        <f t="shared" si="379"/>
        <v>1921881.3287890558</v>
      </c>
      <c r="S139">
        <f t="shared" si="380"/>
        <v>2149276.218215277</v>
      </c>
      <c r="T139">
        <f t="shared" si="381"/>
        <v>2394695.7553972434</v>
      </c>
      <c r="U139">
        <f t="shared" si="382"/>
        <v>2659568.6792460997</v>
      </c>
      <c r="V139">
        <f t="shared" si="383"/>
        <v>2945436.9788681632</v>
      </c>
      <c r="W139">
        <f t="shared" si="384"/>
        <v>3253964.8704371857</v>
      </c>
      <c r="X139">
        <f t="shared" si="385"/>
        <v>3586948.4856259734</v>
      </c>
      <c r="Y139">
        <f t="shared" si="386"/>
        <v>3946326.3279997124</v>
      </c>
      <c r="Z139">
        <f t="shared" si="387"/>
        <v>4334190.5582441362</v>
      </c>
      <c r="AA139">
        <f t="shared" si="388"/>
        <v>4752799.1739268173</v>
      </c>
      <c r="AB139">
        <f t="shared" si="389"/>
        <v>5204589.1546975141</v>
      </c>
      <c r="AC139">
        <f t="shared" si="390"/>
        <v>5692190.6494539268</v>
      </c>
      <c r="AD139">
        <f t="shared" si="391"/>
        <v>6224920.2982511222</v>
      </c>
      <c r="AE139">
        <f t="shared" si="347"/>
        <v>6810344.5363873187</v>
      </c>
      <c r="AI139">
        <f t="shared" si="339"/>
        <v>49583.845392077259</v>
      </c>
      <c r="AJ139">
        <f t="shared" si="348"/>
        <v>129513.2287617371</v>
      </c>
      <c r="AK139">
        <f t="shared" si="349"/>
        <v>216639.03506019228</v>
      </c>
      <c r="AL139">
        <f t="shared" si="350"/>
        <v>311609.19250591251</v>
      </c>
      <c r="AM139">
        <f t="shared" si="351"/>
        <v>415129.9653796645</v>
      </c>
      <c r="AN139">
        <f t="shared" si="352"/>
        <v>527971.20629793871</v>
      </c>
      <c r="AO139">
        <f t="shared" si="353"/>
        <v>650972.08137355861</v>
      </c>
      <c r="AP139">
        <f t="shared" si="354"/>
        <v>785047.31083975791</v>
      </c>
      <c r="AQ139">
        <f t="shared" si="355"/>
        <v>931193.97154735308</v>
      </c>
      <c r="AR139">
        <f t="shared" si="356"/>
        <v>1090498.9119231263</v>
      </c>
      <c r="AS139">
        <f t="shared" si="357"/>
        <v>1264146.8345322113</v>
      </c>
      <c r="AT139">
        <f t="shared" si="358"/>
        <v>1453429.1063520529</v>
      </c>
      <c r="AU139">
        <f t="shared" si="359"/>
        <v>1659753.3622772768</v>
      </c>
      <c r="AV139">
        <f t="shared" si="360"/>
        <v>1884653.9732738268</v>
      </c>
      <c r="AW139">
        <f t="shared" si="361"/>
        <v>2129803.4570308533</v>
      </c>
      <c r="AX139">
        <f t="shared" si="362"/>
        <v>2397024.9159679245</v>
      </c>
      <c r="AY139">
        <f t="shared" si="363"/>
        <v>2688305.5950952368</v>
      </c>
      <c r="AZ139">
        <f t="shared" si="364"/>
        <v>3005811.6605525347</v>
      </c>
      <c r="BA139">
        <f t="shared" si="365"/>
        <v>3351904.3087302474</v>
      </c>
      <c r="BB139">
        <f t="shared" si="366"/>
        <v>3729157.3257714957</v>
      </c>
      <c r="BC139">
        <f t="shared" si="367"/>
        <v>4140376.2280396698</v>
      </c>
      <c r="BD139">
        <f t="shared" si="368"/>
        <v>4588619.125893428</v>
      </c>
      <c r="BE139">
        <f t="shared" si="369"/>
        <v>5077219.465926691</v>
      </c>
      <c r="BF139">
        <f t="shared" si="370"/>
        <v>5609810.8208007766</v>
      </c>
      <c r="BG139">
        <f t="shared" si="371"/>
        <v>6190353.9110231511</v>
      </c>
      <c r="BH139">
        <f t="shared" si="372"/>
        <v>6823166.0596255753</v>
      </c>
      <c r="BI139">
        <f t="shared" si="373"/>
        <v>7512953.2987871412</v>
      </c>
      <c r="BJ139">
        <f t="shared" si="374"/>
        <v>8264845.3671694575</v>
      </c>
    </row>
    <row r="140" spans="1:62" x14ac:dyDescent="0.3">
      <c r="D140">
        <f t="shared" si="337"/>
        <v>55576.546198569195</v>
      </c>
      <c r="E140">
        <f t="shared" si="341"/>
        <v>134283.51697046921</v>
      </c>
      <c r="F140">
        <f t="shared" si="342"/>
        <v>218596.35200219203</v>
      </c>
      <c r="G140">
        <f t="shared" si="392"/>
        <v>309394.98642693111</v>
      </c>
      <c r="H140">
        <f t="shared" si="392"/>
        <v>407114.02795559901</v>
      </c>
      <c r="I140">
        <f t="shared" si="393"/>
        <v>512268.19456964277</v>
      </c>
      <c r="J140">
        <f t="shared" si="393"/>
        <v>626464.37744933448</v>
      </c>
      <c r="K140">
        <f t="shared" si="393"/>
        <v>749408.55282414833</v>
      </c>
      <c r="L140">
        <f t="shared" si="393"/>
        <v>881770.86019231344</v>
      </c>
      <c r="M140">
        <f>(M139+6000)*1.00721-(0.000833*(M139+6000))</f>
        <v>1024693.0247405495</v>
      </c>
      <c r="N140">
        <f t="shared" si="375"/>
        <v>1180971.5263189396</v>
      </c>
      <c r="O140">
        <f t="shared" si="376"/>
        <v>1349637.5751718266</v>
      </c>
      <c r="P140">
        <f t="shared" si="377"/>
        <v>1531673.0806848786</v>
      </c>
      <c r="Q140">
        <f t="shared" si="378"/>
        <v>1728137.7841196212</v>
      </c>
      <c r="R140">
        <f t="shared" si="379"/>
        <v>1940175.4280227434</v>
      </c>
      <c r="S140">
        <f t="shared" si="380"/>
        <v>2169020.4146588356</v>
      </c>
      <c r="T140">
        <f t="shared" si="381"/>
        <v>2416004.9922294114</v>
      </c>
      <c r="U140">
        <f t="shared" si="382"/>
        <v>2682567.0107136518</v>
      </c>
      <c r="V140">
        <f t="shared" si="383"/>
        <v>2970258.2924824054</v>
      </c>
      <c r="W140">
        <f t="shared" si="384"/>
        <v>3280753.6664159633</v>
      </c>
      <c r="X140">
        <f t="shared" si="385"/>
        <v>3615860.7181188101</v>
      </c>
      <c r="Y140">
        <f t="shared" si="386"/>
        <v>3977530.3129933667</v>
      </c>
      <c r="Z140">
        <f t="shared" si="387"/>
        <v>4367867.9534340594</v>
      </c>
      <c r="AA140">
        <f t="shared" si="388"/>
        <v>4789146.036258948</v>
      </c>
      <c r="AB140">
        <f t="shared" si="389"/>
        <v>5243817.0817370201</v>
      </c>
      <c r="AC140">
        <f t="shared" si="390"/>
        <v>5734528.0112254946</v>
      </c>
      <c r="AD140">
        <f t="shared" si="391"/>
        <v>6271963.3702557022</v>
      </c>
      <c r="AE140">
        <f t="shared" si="347"/>
        <v>6861243.7978485012</v>
      </c>
      <c r="AI140">
        <f t="shared" si="339"/>
        <v>55984.604917354132</v>
      </c>
      <c r="AJ140">
        <f t="shared" si="348"/>
        <v>136490.27914110923</v>
      </c>
      <c r="AK140">
        <f t="shared" si="349"/>
        <v>224244.26250297626</v>
      </c>
      <c r="AL140">
        <f t="shared" si="350"/>
        <v>319899.15478388011</v>
      </c>
      <c r="AM140">
        <f t="shared" si="351"/>
        <v>424166.31243005185</v>
      </c>
      <c r="AN140">
        <f t="shared" si="352"/>
        <v>537821.13869534677</v>
      </c>
      <c r="AO140">
        <f t="shared" si="353"/>
        <v>661708.85008026194</v>
      </c>
      <c r="AP140">
        <f t="shared" si="354"/>
        <v>796750.76195091254</v>
      </c>
      <c r="AQ140">
        <f t="shared" si="355"/>
        <v>943951.14008220949</v>
      </c>
      <c r="AR140">
        <f t="shared" si="356"/>
        <v>1104404.6690780921</v>
      </c>
      <c r="AS140">
        <f t="shared" si="357"/>
        <v>1279304.5932091884</v>
      </c>
      <c r="AT140">
        <f t="shared" si="358"/>
        <v>1469951.590208851</v>
      </c>
      <c r="AU140">
        <f t="shared" si="359"/>
        <v>1677763.444019296</v>
      </c>
      <c r="AV140">
        <f t="shared" si="360"/>
        <v>1904285.588421131</v>
      </c>
      <c r="AW140">
        <f t="shared" si="361"/>
        <v>2151202.5999560454</v>
      </c>
      <c r="AX140">
        <f t="shared" si="362"/>
        <v>2420350.7256120532</v>
      </c>
      <c r="AY140">
        <f t="shared" si="363"/>
        <v>2713731.5384358731</v>
      </c>
      <c r="AZ140">
        <f t="shared" si="364"/>
        <v>3033526.8226251183</v>
      </c>
      <c r="BA140">
        <f t="shared" si="365"/>
        <v>3382114.7987961923</v>
      </c>
      <c r="BB140">
        <f t="shared" si="366"/>
        <v>3762087.8100903081</v>
      </c>
      <c r="BC140">
        <f t="shared" si="367"/>
        <v>4176271.6006438355</v>
      </c>
      <c r="BD140">
        <f t="shared" si="368"/>
        <v>4627746.3297911193</v>
      </c>
      <c r="BE140">
        <f t="shared" si="369"/>
        <v>5119869.4782760218</v>
      </c>
      <c r="BF140">
        <f t="shared" si="370"/>
        <v>5656300.8168187495</v>
      </c>
      <c r="BG140">
        <f t="shared" si="371"/>
        <v>6241029.6227216274</v>
      </c>
      <c r="BH140">
        <f t="shared" si="372"/>
        <v>6878404.3469154751</v>
      </c>
      <c r="BI140">
        <f t="shared" si="373"/>
        <v>7573164.9520713957</v>
      </c>
      <c r="BJ140">
        <f t="shared" si="374"/>
        <v>8330478.162266749</v>
      </c>
    </row>
    <row r="141" spans="1:62" x14ac:dyDescent="0.3">
      <c r="D141">
        <f t="shared" si="337"/>
        <v>61930.611339210969</v>
      </c>
      <c r="E141">
        <f t="shared" si="341"/>
        <v>141090.1471930494</v>
      </c>
      <c r="F141">
        <f t="shared" si="342"/>
        <v>225887.78102620461</v>
      </c>
      <c r="G141">
        <f t="shared" si="392"/>
        <v>317274.74054603558</v>
      </c>
      <c r="H141">
        <f t="shared" si="392"/>
        <v>415576.18756221433</v>
      </c>
      <c r="I141">
        <f t="shared" si="393"/>
        <v>521465.90933013742</v>
      </c>
      <c r="J141">
        <f t="shared" si="393"/>
        <v>636366.68265819689</v>
      </c>
      <c r="K141">
        <f t="shared" si="393"/>
        <v>760069.42359507328</v>
      </c>
      <c r="L141">
        <f t="shared" si="393"/>
        <v>893248.40639969998</v>
      </c>
      <c r="M141">
        <f>(M140+6000)*1.00721-(0.000833*(M140+6000))</f>
        <v>1037265.7541593199</v>
      </c>
      <c r="N141">
        <f t="shared" si="375"/>
        <v>1194540.8437422754</v>
      </c>
      <c r="O141">
        <f t="shared" si="376"/>
        <v>1364282.4759886973</v>
      </c>
      <c r="P141">
        <f t="shared" si="377"/>
        <v>1547478.8219204058</v>
      </c>
      <c r="Q141">
        <f t="shared" si="378"/>
        <v>1745196.3807689517</v>
      </c>
      <c r="R141">
        <f t="shared" si="379"/>
        <v>1958586.1887272445</v>
      </c>
      <c r="S141">
        <f t="shared" si="380"/>
        <v>2188890.519843115</v>
      </c>
      <c r="T141">
        <f t="shared" si="381"/>
        <v>2437450.118064858</v>
      </c>
      <c r="U141">
        <f t="shared" si="382"/>
        <v>2705712.0025409725</v>
      </c>
      <c r="V141">
        <f t="shared" si="383"/>
        <v>2995237.8916135659</v>
      </c>
      <c r="W141">
        <f t="shared" si="384"/>
        <v>3307713.2945466978</v>
      </c>
      <c r="X141">
        <f t="shared" si="385"/>
        <v>3644957.3239182536</v>
      </c>
      <c r="Y141">
        <f t="shared" si="386"/>
        <v>4008933.285799325</v>
      </c>
      <c r="Z141">
        <f t="shared" si="387"/>
        <v>4401760.1093731076</v>
      </c>
      <c r="AA141">
        <f t="shared" si="388"/>
        <v>4825724.6825321708</v>
      </c>
      <c r="AB141">
        <f t="shared" si="389"/>
        <v>5283295.165267257</v>
      </c>
      <c r="AC141">
        <f t="shared" si="390"/>
        <v>5777135.3583530793</v>
      </c>
      <c r="AD141">
        <f t="shared" si="391"/>
        <v>6319316.3149755765</v>
      </c>
      <c r="AE141">
        <f t="shared" si="347"/>
        <v>6912478.332744929</v>
      </c>
      <c r="AI141">
        <f t="shared" si="339"/>
        <v>62431.513918808254</v>
      </c>
      <c r="AJ141">
        <f t="shared" si="348"/>
        <v>143517.63405371661</v>
      </c>
      <c r="AK141">
        <f t="shared" si="349"/>
        <v>231904.32363562271</v>
      </c>
      <c r="AL141">
        <f t="shared" si="350"/>
        <v>328248.88768987189</v>
      </c>
      <c r="AM141">
        <f t="shared" si="351"/>
        <v>433267.81154267251</v>
      </c>
      <c r="AN141">
        <f t="shared" si="352"/>
        <v>547742.08910534019</v>
      </c>
      <c r="AO141">
        <f t="shared" si="353"/>
        <v>672523.03088934056</v>
      </c>
      <c r="AP141">
        <f t="shared" si="354"/>
        <v>808538.5949445786</v>
      </c>
      <c r="AQ141">
        <f t="shared" si="355"/>
        <v>956800.28780220216</v>
      </c>
      <c r="AR141">
        <f t="shared" si="356"/>
        <v>1118410.6867421451</v>
      </c>
      <c r="AS141">
        <f t="shared" si="357"/>
        <v>1294571.6393262267</v>
      </c>
      <c r="AT141">
        <f t="shared" si="358"/>
        <v>1486593.2011742569</v>
      </c>
      <c r="AU141">
        <f t="shared" si="359"/>
        <v>1695903.3784506749</v>
      </c>
      <c r="AV141">
        <f t="shared" si="360"/>
        <v>1924058.7475136472</v>
      </c>
      <c r="AW141">
        <f t="shared" si="361"/>
        <v>2172756.0307017285</v>
      </c>
      <c r="AX141">
        <f t="shared" si="362"/>
        <v>2443844.7143437159</v>
      </c>
      <c r="AY141">
        <f t="shared" si="363"/>
        <v>2739340.8028279957</v>
      </c>
      <c r="AZ141">
        <f t="shared" si="364"/>
        <v>3061441.8110162453</v>
      </c>
      <c r="BA141">
        <f t="shared" si="365"/>
        <v>3412543.1064955126</v>
      </c>
      <c r="BB141">
        <f t="shared" si="366"/>
        <v>3795255.7232010588</v>
      </c>
      <c r="BC141">
        <f t="shared" si="367"/>
        <v>4212425.778884477</v>
      </c>
      <c r="BD141">
        <f t="shared" si="368"/>
        <v>4667155.6408289131</v>
      </c>
      <c r="BE141">
        <f t="shared" si="369"/>
        <v>5162826.9972143918</v>
      </c>
      <c r="BF141">
        <f t="shared" si="370"/>
        <v>5703126.0057080127</v>
      </c>
      <c r="BG141">
        <f t="shared" si="371"/>
        <v>6292070.7063014498</v>
      </c>
      <c r="BH141">
        <f t="shared" si="372"/>
        <v>6934040.9022567356</v>
      </c>
      <c r="BI141">
        <f t="shared" si="373"/>
        <v>7633810.7313758302</v>
      </c>
      <c r="BJ141">
        <f t="shared" si="374"/>
        <v>8396584.1698166914</v>
      </c>
    </row>
    <row r="142" spans="1:62" x14ac:dyDescent="0.3">
      <c r="D142">
        <f t="shared" si="337"/>
        <v>68321.212354411429</v>
      </c>
      <c r="E142">
        <f t="shared" si="341"/>
        <v>147935.91553940944</v>
      </c>
      <c r="F142">
        <f t="shared" si="342"/>
        <v>233221.13576710527</v>
      </c>
      <c r="G142">
        <f t="shared" si="392"/>
        <v>325201.45799968991</v>
      </c>
      <c r="H142">
        <f t="shared" si="392"/>
        <v>424088.7816400851</v>
      </c>
      <c r="I142">
        <f t="shared" si="393"/>
        <v>530720.37399070431</v>
      </c>
      <c r="J142">
        <f t="shared" si="393"/>
        <v>646330.08509019797</v>
      </c>
      <c r="K142">
        <f t="shared" si="393"/>
        <v>770796.07193865487</v>
      </c>
      <c r="L142">
        <f t="shared" si="393"/>
        <v>904796.76906718605</v>
      </c>
      <c r="M142">
        <f>(M141+6000)*1.00721-(0.000833*(M141+6000))</f>
        <v>1049918.6598735938</v>
      </c>
      <c r="N142">
        <f t="shared" si="375"/>
        <v>1208196.6927028198</v>
      </c>
      <c r="O142">
        <f t="shared" si="376"/>
        <v>1379020.7673380771</v>
      </c>
      <c r="P142">
        <f t="shared" si="377"/>
        <v>1563385.3563677922</v>
      </c>
      <c r="Q142">
        <f t="shared" si="378"/>
        <v>1762363.7600891152</v>
      </c>
      <c r="R142">
        <f t="shared" si="379"/>
        <v>1977114.3548527581</v>
      </c>
      <c r="S142">
        <f t="shared" si="380"/>
        <v>2208887.3366881544</v>
      </c>
      <c r="T142">
        <f t="shared" si="381"/>
        <v>2459031.9994677571</v>
      </c>
      <c r="U142">
        <f t="shared" si="382"/>
        <v>2729004.589981176</v>
      </c>
      <c r="V142">
        <f t="shared" si="383"/>
        <v>3020376.7856483855</v>
      </c>
      <c r="W142">
        <f t="shared" si="384"/>
        <v>3334844.8442260218</v>
      </c>
      <c r="X142">
        <f t="shared" si="385"/>
        <v>3674239.47877288</v>
      </c>
      <c r="Y142">
        <f t="shared" si="386"/>
        <v>4040536.5153628672</v>
      </c>
      <c r="Z142">
        <f t="shared" si="387"/>
        <v>4435868.3955905791</v>
      </c>
      <c r="AA142">
        <f t="shared" si="388"/>
        <v>4862536.5908326786</v>
      </c>
      <c r="AB142">
        <f t="shared" si="389"/>
        <v>5323025.0005361661</v>
      </c>
      <c r="AC142">
        <f t="shared" si="390"/>
        <v>5820014.4125332972</v>
      </c>
      <c r="AD142">
        <f t="shared" si="391"/>
        <v>6366981.1735423198</v>
      </c>
      <c r="AE142">
        <f t="shared" si="347"/>
        <v>6964050.3495227192</v>
      </c>
      <c r="AI142">
        <f t="shared" si="339"/>
        <v>68924.905134162851</v>
      </c>
      <c r="AJ142">
        <f t="shared" si="348"/>
        <v>150595.65619524391</v>
      </c>
      <c r="AK142">
        <f t="shared" si="349"/>
        <v>239619.61380903554</v>
      </c>
      <c r="AL142">
        <f t="shared" si="350"/>
        <v>336658.82217011583</v>
      </c>
      <c r="AM142">
        <f t="shared" si="351"/>
        <v>442434.93246389518</v>
      </c>
      <c r="AN142">
        <f t="shared" si="352"/>
        <v>557734.56956778967</v>
      </c>
      <c r="AO142">
        <f t="shared" si="353"/>
        <v>683415.18194205267</v>
      </c>
      <c r="AP142">
        <f t="shared" si="354"/>
        <v>820411.41821412893</v>
      </c>
      <c r="AQ142">
        <f t="shared" si="355"/>
        <v>969742.07787725597</v>
      </c>
      <c r="AR142">
        <f t="shared" si="356"/>
        <v>1132517.6877935559</v>
      </c>
      <c r="AS142">
        <f t="shared" si="357"/>
        <v>1309948.7608457687</v>
      </c>
      <c r="AT142">
        <f t="shared" si="358"/>
        <v>1503354.7981547231</v>
      </c>
      <c r="AU142">
        <f t="shared" si="359"/>
        <v>1714174.1018093042</v>
      </c>
      <c r="AV142">
        <f t="shared" si="360"/>
        <v>1943974.4710832206</v>
      </c>
      <c r="AW142">
        <f t="shared" si="361"/>
        <v>2194464.8616830879</v>
      </c>
      <c r="AX142">
        <f t="shared" si="362"/>
        <v>2467508.0947341342</v>
      </c>
      <c r="AY142">
        <f t="shared" si="363"/>
        <v>2765134.7100163852</v>
      </c>
      <c r="AZ142">
        <f t="shared" si="364"/>
        <v>3089558.0664736722</v>
      </c>
      <c r="BA142">
        <f t="shared" si="365"/>
        <v>3443190.8022933449</v>
      </c>
      <c r="BB142">
        <f t="shared" si="366"/>
        <v>3828662.7769653383</v>
      </c>
      <c r="BC142">
        <f t="shared" si="367"/>
        <v>4248840.6287502339</v>
      </c>
      <c r="BD142">
        <f t="shared" si="368"/>
        <v>4706849.0929992888</v>
      </c>
      <c r="BE142">
        <f t="shared" si="369"/>
        <v>5206094.2398643075</v>
      </c>
      <c r="BF142">
        <f t="shared" si="370"/>
        <v>5750288.8042091671</v>
      </c>
      <c r="BG142">
        <f t="shared" si="371"/>
        <v>6343479.796093883</v>
      </c>
      <c r="BH142">
        <f t="shared" si="372"/>
        <v>6990078.5971620064</v>
      </c>
      <c r="BI142">
        <f t="shared" si="373"/>
        <v>7694893.7667490495</v>
      </c>
      <c r="BJ142">
        <f t="shared" si="374"/>
        <v>8463166.8016810697</v>
      </c>
    </row>
    <row r="143" spans="1:62" x14ac:dyDescent="0.3">
      <c r="D143">
        <f t="shared" si="337"/>
        <v>74748.5593254493</v>
      </c>
      <c r="E143">
        <f t="shared" si="341"/>
        <v>154821.04705376105</v>
      </c>
      <c r="F143">
        <f t="shared" si="342"/>
        <v>240596.65729776613</v>
      </c>
      <c r="G143">
        <f t="shared" si="392"/>
        <v>333175.41868936806</v>
      </c>
      <c r="H143">
        <f t="shared" si="392"/>
        <v>432652.11077865999</v>
      </c>
      <c r="I143">
        <f t="shared" si="393"/>
        <v>540031.93869822694</v>
      </c>
      <c r="J143">
        <f t="shared" si="393"/>
        <v>656354.96171520452</v>
      </c>
      <c r="K143">
        <f t="shared" si="393"/>
        <v>781588.90370251623</v>
      </c>
      <c r="L143">
        <f t="shared" si="393"/>
        <v>916416.38513233047</v>
      </c>
      <c r="M143">
        <f>(M142+6000)*1.00721-(0.000833*(M142+6000))</f>
        <v>1062652.2531676076</v>
      </c>
      <c r="N143">
        <f t="shared" si="375"/>
        <v>1221939.6250121857</v>
      </c>
      <c r="O143">
        <f t="shared" si="376"/>
        <v>1393853.0447713919</v>
      </c>
      <c r="P143">
        <f t="shared" si="377"/>
        <v>1579393.3267853495</v>
      </c>
      <c r="Q143">
        <f t="shared" si="378"/>
        <v>1779640.6157872034</v>
      </c>
      <c r="R143">
        <f t="shared" si="379"/>
        <v>1995760.6750936541</v>
      </c>
      <c r="S143">
        <f t="shared" si="380"/>
        <v>2229011.6732342145</v>
      </c>
      <c r="T143">
        <f t="shared" si="381"/>
        <v>2480751.5085283625</v>
      </c>
      <c r="U143">
        <f t="shared" si="382"/>
        <v>2752445.7142514857</v>
      </c>
      <c r="V143">
        <f t="shared" si="383"/>
        <v>3045675.9904104653</v>
      </c>
      <c r="W143" s="3">
        <f t="shared" si="384"/>
        <v>3362149.4117976511</v>
      </c>
      <c r="X143">
        <f t="shared" si="385"/>
        <v>3703708.3659290145</v>
      </c>
      <c r="Y143">
        <f t="shared" si="386"/>
        <v>4072341.2787213358</v>
      </c>
      <c r="Z143">
        <f t="shared" si="387"/>
        <v>4470194.1903492603</v>
      </c>
      <c r="AA143">
        <f t="shared" si="388"/>
        <v>4899583.2486724183</v>
      </c>
      <c r="AB143" s="3">
        <f t="shared" si="389"/>
        <v>5363008.1929645846</v>
      </c>
      <c r="AC143">
        <f t="shared" si="390"/>
        <v>5863166.906442022</v>
      </c>
      <c r="AD143">
        <f t="shared" si="391"/>
        <v>6414960.0005324427</v>
      </c>
      <c r="AE143">
        <f t="shared" si="347"/>
        <v>7015962.0711750248</v>
      </c>
      <c r="AI143">
        <f t="shared" si="339"/>
        <v>75465.113700180154</v>
      </c>
      <c r="AJ143">
        <f t="shared" si="348"/>
        <v>157724.71087641161</v>
      </c>
      <c r="AK143">
        <f t="shared" si="349"/>
        <v>247390.53122459867</v>
      </c>
      <c r="AL143">
        <f t="shared" si="350"/>
        <v>345129.39227796235</v>
      </c>
      <c r="AM143">
        <f t="shared" si="351"/>
        <v>451668.14832695981</v>
      </c>
      <c r="AN143">
        <f t="shared" si="352"/>
        <v>567799.09581437334</v>
      </c>
      <c r="AO143">
        <f t="shared" si="353"/>
        <v>694385.86540385487</v>
      </c>
      <c r="AP143">
        <f t="shared" si="354"/>
        <v>832369.84453945281</v>
      </c>
      <c r="AQ143">
        <f t="shared" si="355"/>
        <v>982777.17825875094</v>
      </c>
      <c r="AR143">
        <f t="shared" si="356"/>
        <v>1146726.4003225474</v>
      </c>
      <c r="AS143">
        <f t="shared" si="357"/>
        <v>1325436.7514114666</v>
      </c>
      <c r="AT143">
        <f t="shared" si="358"/>
        <v>1520237.2462494187</v>
      </c>
      <c r="AU143">
        <f t="shared" si="359"/>
        <v>1732576.5570833492</v>
      </c>
      <c r="AV143">
        <f t="shared" si="360"/>
        <v>1964033.7870197305</v>
      </c>
      <c r="AW143">
        <f t="shared" si="361"/>
        <v>2216330.2133358228</v>
      </c>
      <c r="AX143">
        <f t="shared" si="362"/>
        <v>2491342.0880971672</v>
      </c>
      <c r="AY143">
        <f t="shared" si="363"/>
        <v>2791114.591275603</v>
      </c>
      <c r="AZ143">
        <f t="shared" si="364"/>
        <v>3117877.0401329473</v>
      </c>
      <c r="BA143">
        <f t="shared" si="365"/>
        <v>3474059.4679778796</v>
      </c>
      <c r="BB143" s="3">
        <f t="shared" si="366"/>
        <v>3862310.6955872583</v>
      </c>
      <c r="BC143">
        <f t="shared" si="367"/>
        <v>4285518.0296835229</v>
      </c>
      <c r="BD143">
        <f t="shared" si="368"/>
        <v>4746828.7349598138</v>
      </c>
      <c r="BE143">
        <f t="shared" si="369"/>
        <v>5249673.4393337285</v>
      </c>
      <c r="BF143">
        <f t="shared" si="370"/>
        <v>5797791.6464875145</v>
      </c>
      <c r="BG143" s="3">
        <f t="shared" si="371"/>
        <v>6395259.5454237191</v>
      </c>
      <c r="BH143">
        <f t="shared" si="372"/>
        <v>7046520.3238475444</v>
      </c>
      <c r="BI143">
        <f t="shared" si="373"/>
        <v>7756417.2108073095</v>
      </c>
      <c r="BJ143">
        <f t="shared" si="374"/>
        <v>8530229.4943211898</v>
      </c>
    </row>
    <row r="146" spans="1:62" x14ac:dyDescent="0.3">
      <c r="D146" t="s">
        <v>64</v>
      </c>
      <c r="AI146" t="s">
        <v>64</v>
      </c>
      <c r="AJ146" t="s">
        <v>66</v>
      </c>
    </row>
    <row r="147" spans="1:62" x14ac:dyDescent="0.3">
      <c r="D147" t="s">
        <v>65</v>
      </c>
      <c r="AI147" t="s">
        <v>65</v>
      </c>
    </row>
    <row r="148" spans="1:62" x14ac:dyDescent="0.3">
      <c r="D148" t="s">
        <v>79</v>
      </c>
      <c r="AI148" t="s">
        <v>79</v>
      </c>
    </row>
    <row r="149" spans="1:62" x14ac:dyDescent="0.3">
      <c r="D149" t="s">
        <v>15</v>
      </c>
      <c r="E149" t="s">
        <v>16</v>
      </c>
      <c r="F149" t="s">
        <v>17</v>
      </c>
      <c r="G149" t="s">
        <v>18</v>
      </c>
      <c r="H149" t="s">
        <v>19</v>
      </c>
      <c r="I149" t="s">
        <v>20</v>
      </c>
      <c r="J149" t="s">
        <v>21</v>
      </c>
      <c r="K149" t="s">
        <v>22</v>
      </c>
      <c r="L149" t="s">
        <v>23</v>
      </c>
      <c r="M149" t="s">
        <v>24</v>
      </c>
      <c r="N149" t="s">
        <v>25</v>
      </c>
      <c r="O149" t="s">
        <v>26</v>
      </c>
      <c r="P149" t="s">
        <v>27</v>
      </c>
      <c r="Q149" t="s">
        <v>28</v>
      </c>
      <c r="R149" t="s">
        <v>29</v>
      </c>
      <c r="S149" t="s">
        <v>30</v>
      </c>
      <c r="T149" t="s">
        <v>31</v>
      </c>
      <c r="U149" t="s">
        <v>32</v>
      </c>
      <c r="V149" t="s">
        <v>33</v>
      </c>
      <c r="W149" t="s">
        <v>34</v>
      </c>
      <c r="X149" t="s">
        <v>35</v>
      </c>
      <c r="Y149" t="s">
        <v>36</v>
      </c>
      <c r="Z149" t="s">
        <v>37</v>
      </c>
      <c r="AA149" t="s">
        <v>38</v>
      </c>
      <c r="AB149" t="s">
        <v>39</v>
      </c>
      <c r="AC149" t="s">
        <v>67</v>
      </c>
      <c r="AD149" t="s">
        <v>68</v>
      </c>
      <c r="AE149" t="s">
        <v>69</v>
      </c>
      <c r="AI149" t="s">
        <v>15</v>
      </c>
      <c r="AJ149" t="s">
        <v>16</v>
      </c>
      <c r="AK149" t="s">
        <v>17</v>
      </c>
      <c r="AL149" t="s">
        <v>18</v>
      </c>
      <c r="AM149" t="s">
        <v>19</v>
      </c>
      <c r="AN149" t="s">
        <v>20</v>
      </c>
      <c r="AO149" t="s">
        <v>21</v>
      </c>
      <c r="AP149" t="s">
        <v>22</v>
      </c>
      <c r="AQ149" t="s">
        <v>23</v>
      </c>
      <c r="AR149" t="s">
        <v>24</v>
      </c>
      <c r="AS149" t="s">
        <v>25</v>
      </c>
      <c r="AT149" t="s">
        <v>26</v>
      </c>
      <c r="AU149" t="s">
        <v>27</v>
      </c>
      <c r="AV149" t="s">
        <v>28</v>
      </c>
      <c r="AW149" t="s">
        <v>29</v>
      </c>
      <c r="AX149" t="s">
        <v>30</v>
      </c>
      <c r="AY149" t="s">
        <v>31</v>
      </c>
      <c r="AZ149" t="s">
        <v>32</v>
      </c>
      <c r="BA149" t="s">
        <v>33</v>
      </c>
      <c r="BB149" t="s">
        <v>34</v>
      </c>
      <c r="BC149" t="s">
        <v>35</v>
      </c>
      <c r="BD149" t="s">
        <v>36</v>
      </c>
      <c r="BE149" t="s">
        <v>37</v>
      </c>
      <c r="BF149" t="s">
        <v>38</v>
      </c>
      <c r="BG149" t="s">
        <v>39</v>
      </c>
      <c r="BH149" t="s">
        <v>67</v>
      </c>
      <c r="BI149" t="s">
        <v>68</v>
      </c>
      <c r="BJ149" t="s">
        <v>69</v>
      </c>
    </row>
    <row r="150" spans="1:62" x14ac:dyDescent="0.3">
      <c r="D150">
        <v>0</v>
      </c>
      <c r="AI150">
        <v>0</v>
      </c>
    </row>
    <row r="151" spans="1:62" x14ac:dyDescent="0.3">
      <c r="D151">
        <f t="shared" ref="D151:D162" si="394">(D150+6000)*1.00798-(0.00146*(D150+6000))</f>
        <v>6039.1200000000008</v>
      </c>
      <c r="E151">
        <f>(D162+6000)*1.00798-(0.00146*(D162+6000))</f>
        <v>81654.449304638125</v>
      </c>
      <c r="F151">
        <f>(E162+6000)*1.00798-(0.00146*(E162+6000))</f>
        <v>163402.75401615541</v>
      </c>
      <c r="G151">
        <f>(F162+6000)*1.00798-(0.00125*(F162+6000))</f>
        <v>251833.99645139789</v>
      </c>
      <c r="H151">
        <f>(G162+6000)*1.00798-(0.00125*(G162+6000))</f>
        <v>348170.7582220948</v>
      </c>
      <c r="I151">
        <f>(H162+6000)*1.00798-(0.00125*(H162+6000))</f>
        <v>452582.21867633966</v>
      </c>
      <c r="J151">
        <f>(I162+6000)*1.00798-(0.00104*(I162+6000))</f>
        <v>566544.99816463515</v>
      </c>
      <c r="K151">
        <f>(J162+6000)*1.00798-(0.00104*(J162+6000))</f>
        <v>690902.13765053893</v>
      </c>
      <c r="L151">
        <f>(K162+6000)*1.00798-(0.00104*(K162+6000))</f>
        <v>826020.33503269812</v>
      </c>
      <c r="M151">
        <f>(L162+6000)*1.00798-(0.00104*(L162+6000))</f>
        <v>972830.78225976322</v>
      </c>
      <c r="N151">
        <f t="shared" ref="N151:AB151" si="395">(M162+6000)*1.00798-(0.000833*(M162+6000))</f>
        <v>1134618.1935141017</v>
      </c>
      <c r="O151">
        <f t="shared" si="395"/>
        <v>1311279.3182730419</v>
      </c>
      <c r="P151">
        <f t="shared" si="395"/>
        <v>1503701.5965375719</v>
      </c>
      <c r="Q151">
        <f t="shared" si="395"/>
        <v>1713291.1891716949</v>
      </c>
      <c r="R151">
        <f t="shared" si="395"/>
        <v>1941579.7103176115</v>
      </c>
      <c r="S151">
        <f t="shared" si="395"/>
        <v>2190235.4199451739</v>
      </c>
      <c r="T151">
        <f t="shared" si="395"/>
        <v>2461075.4149656268</v>
      </c>
      <c r="U151">
        <f t="shared" si="395"/>
        <v>2756078.9079984212</v>
      </c>
      <c r="V151">
        <f t="shared" si="395"/>
        <v>3077401.6908281054</v>
      </c>
      <c r="W151">
        <f t="shared" si="395"/>
        <v>3427391.8882456482</v>
      </c>
      <c r="X151">
        <f t="shared" si="395"/>
        <v>3808607.1173982532</v>
      </c>
      <c r="Y151">
        <f t="shared" si="395"/>
        <v>4223833.1780427406</v>
      </c>
      <c r="Z151">
        <f t="shared" si="395"/>
        <v>4676104.4102849346</v>
      </c>
      <c r="AA151">
        <f t="shared" si="395"/>
        <v>5168725.8685729494</v>
      </c>
      <c r="AB151">
        <f t="shared" si="395"/>
        <v>5705297.4739848375</v>
      </c>
      <c r="AC151">
        <f>(AB162+6000)*1.00798-(0.000623*(AB162+6000))</f>
        <v>6297594.1628296543</v>
      </c>
      <c r="AD151">
        <f>(AC162+6000)*1.00798-(0.000623*(AC162+6000))</f>
        <v>6952166.3561798558</v>
      </c>
      <c r="AE151">
        <f>(AD162+6000)*1.00798-(0.000623*(AD162+6000))</f>
        <v>7666923.4197267052</v>
      </c>
      <c r="AI151">
        <f t="shared" ref="AI151:AI162" si="396">(AI150+6000)*1.00798-0</f>
        <v>6047.880000000001</v>
      </c>
      <c r="AJ151">
        <f t="shared" ref="AJ151:BJ151" si="397">(AI162+6000)*1.00798-0</f>
        <v>82499.259359577467</v>
      </c>
      <c r="AK151">
        <f t="shared" si="397"/>
        <v>166601.6432970165</v>
      </c>
      <c r="AL151">
        <f t="shared" si="397"/>
        <v>259120.71938448166</v>
      </c>
      <c r="AM151">
        <f t="shared" si="397"/>
        <v>360898.80270784488</v>
      </c>
      <c r="AN151">
        <f t="shared" si="397"/>
        <v>472862.50449821469</v>
      </c>
      <c r="AO151">
        <f t="shared" si="397"/>
        <v>596031.16821508412</v>
      </c>
      <c r="AP151">
        <f t="shared" si="397"/>
        <v>731526.14988515375</v>
      </c>
      <c r="AQ151">
        <f t="shared" si="397"/>
        <v>880581.02718717942</v>
      </c>
      <c r="AR151">
        <f t="shared" si="397"/>
        <v>1044552.8302287214</v>
      </c>
      <c r="AS151">
        <f t="shared" si="397"/>
        <v>1224934.3962623803</v>
      </c>
      <c r="AT151">
        <f t="shared" si="397"/>
        <v>1423367.9608217198</v>
      </c>
      <c r="AU151">
        <f t="shared" si="397"/>
        <v>1641660.1090137262</v>
      </c>
      <c r="AV151">
        <f t="shared" si="397"/>
        <v>1881798.2230878256</v>
      </c>
      <c r="AW151">
        <f t="shared" si="397"/>
        <v>2145968.5760239414</v>
      </c>
      <c r="AX151">
        <f t="shared" si="397"/>
        <v>2436576.2358678016</v>
      </c>
      <c r="AY151">
        <f t="shared" si="397"/>
        <v>2756266.9620271749</v>
      </c>
      <c r="AZ151">
        <f t="shared" si="397"/>
        <v>3107951.2928779828</v>
      </c>
      <c r="BA151">
        <f t="shared" si="397"/>
        <v>3494831.0439794343</v>
      </c>
      <c r="BB151">
        <f t="shared" si="397"/>
        <v>3920428.4581440617</v>
      </c>
      <c r="BC151">
        <f t="shared" si="397"/>
        <v>4388618.272751647</v>
      </c>
      <c r="BD151">
        <f t="shared" si="397"/>
        <v>4903662.9962552888</v>
      </c>
      <c r="BE151">
        <f t="shared" si="397"/>
        <v>5470251.7150450833</v>
      </c>
      <c r="BF151">
        <f t="shared" si="397"/>
        <v>6093542.7839760873</v>
      </c>
      <c r="BG151">
        <f t="shared" si="397"/>
        <v>6779210.7892250372</v>
      </c>
      <c r="BH151">
        <f t="shared" si="397"/>
        <v>7533498.2110364931</v>
      </c>
      <c r="BI151">
        <f t="shared" si="397"/>
        <v>8363272.2567080557</v>
      </c>
      <c r="BJ151">
        <f t="shared" si="397"/>
        <v>9276087.3812352978</v>
      </c>
    </row>
    <row r="152" spans="1:62" x14ac:dyDescent="0.3">
      <c r="D152">
        <f t="shared" si="394"/>
        <v>12117.615062400002</v>
      </c>
      <c r="E152">
        <f t="shared" ref="E152:E162" si="398">(E151+6000)*1.00798-(0.00146*(E151+6000))</f>
        <v>88225.956314104362</v>
      </c>
      <c r="F152">
        <f t="shared" ref="F152:F162" si="399">(F151+6000)*1.00798-(0.00146*(F151+6000))</f>
        <v>170507.25997234075</v>
      </c>
      <c r="G152">
        <f t="shared" ref="G152:I156" si="400">(G151+6000)*1.00798-(0.00125*(G151+6000))</f>
        <v>259569.21924751584</v>
      </c>
      <c r="H152">
        <f t="shared" si="400"/>
        <v>356554.32742492954</v>
      </c>
      <c r="I152">
        <f t="shared" si="400"/>
        <v>461668.47700803145</v>
      </c>
      <c r="J152">
        <f t="shared" ref="J152:M153" si="401">(J151+6000)*1.00798-(0.00104*(J151+6000))</f>
        <v>576518.46045189782</v>
      </c>
      <c r="K152">
        <f t="shared" si="401"/>
        <v>701738.63848583377</v>
      </c>
      <c r="L152">
        <f t="shared" si="401"/>
        <v>837794.55615782505</v>
      </c>
      <c r="M152">
        <f t="shared" si="401"/>
        <v>985623.86788864608</v>
      </c>
      <c r="N152">
        <f t="shared" ref="N152:AB157" si="402">(N151+6000)*1.00798-(0.000833*(N151+6000))</f>
        <v>1148770.1917431469</v>
      </c>
      <c r="O152">
        <f t="shared" si="402"/>
        <v>1326693.9135607395</v>
      </c>
      <c r="P152">
        <f t="shared" si="402"/>
        <v>1520491.4338480262</v>
      </c>
      <c r="Q152">
        <f t="shared" si="402"/>
        <v>1731578.9633007052</v>
      </c>
      <c r="R152">
        <f t="shared" si="402"/>
        <v>1961499.0625072517</v>
      </c>
      <c r="S152">
        <f t="shared" si="402"/>
        <v>2211931.9144915221</v>
      </c>
      <c r="T152">
        <f t="shared" si="402"/>
        <v>2484707.6029563863</v>
      </c>
      <c r="U152">
        <f t="shared" si="402"/>
        <v>2781819.4859538865</v>
      </c>
      <c r="V152">
        <f t="shared" si="402"/>
        <v>3105438.7627124544</v>
      </c>
      <c r="W152">
        <f t="shared" si="402"/>
        <v>3457930.3400709401</v>
      </c>
      <c r="X152">
        <f t="shared" si="402"/>
        <v>3841870.1144662988</v>
      </c>
      <c r="Y152">
        <f t="shared" si="402"/>
        <v>4260063.795766212</v>
      </c>
      <c r="Z152">
        <f t="shared" si="402"/>
        <v>4715567.4105052417</v>
      </c>
      <c r="AA152">
        <f t="shared" si="402"/>
        <v>5211709.634355641</v>
      </c>
      <c r="AB152">
        <f t="shared" si="402"/>
        <v>5752116.1170314075</v>
      </c>
      <c r="AC152">
        <f t="shared" ref="AC152:AC162" si="403">(AC151+6000)*1.00798-(0.000623*(AC151+6000))</f>
        <v>6349969.7050855923</v>
      </c>
      <c r="AD152">
        <f t="shared" ref="AD152:AD162" si="404">(AD151+6000)*1.00798-(0.000623*(AD151+6000))</f>
        <v>7009357.5860622711</v>
      </c>
      <c r="AE152">
        <f t="shared" ref="AE152:AE162" si="405">(AE151+6000)*1.00798-(0.000623*(AE151+6000))</f>
        <v>7729373.1173256356</v>
      </c>
      <c r="AI152">
        <f t="shared" si="396"/>
        <v>12144.022082400003</v>
      </c>
      <c r="AJ152">
        <f t="shared" ref="AJ152:AJ162" si="406">(AJ151+6000)*1.00798-0</f>
        <v>89205.483449266903</v>
      </c>
      <c r="AK152">
        <f t="shared" ref="AK152:AK162" si="407">(AK151+6000)*1.00798-0</f>
        <v>173979.00441052672</v>
      </c>
      <c r="AL152">
        <f t="shared" ref="AL152:AL162" si="408">(AL151+6000)*1.00798-0</f>
        <v>267236.38272516988</v>
      </c>
      <c r="AM152">
        <f t="shared" ref="AM152:AM162" si="409">(AM151+6000)*1.00798-0</f>
        <v>369826.65515345352</v>
      </c>
      <c r="AN152">
        <f t="shared" ref="AN152:AN162" si="410">(AN151+6000)*1.00798-0</f>
        <v>482683.82728411048</v>
      </c>
      <c r="AO152">
        <f t="shared" ref="AO152:AO162" si="411">(AO151+6000)*1.00798-0</f>
        <v>606835.3769374406</v>
      </c>
      <c r="AP152">
        <f t="shared" ref="AP152:AP162" si="412">(AP151+6000)*1.00798-0</f>
        <v>743411.60856123734</v>
      </c>
      <c r="AQ152">
        <f t="shared" ref="AQ152:AQ162" si="413">(AQ151+6000)*1.00798-0</f>
        <v>893655.94378413318</v>
      </c>
      <c r="AR152">
        <f t="shared" ref="AR152:AR162" si="414">(AR151+6000)*1.00798-0</f>
        <v>1058936.2418139465</v>
      </c>
      <c r="AS152">
        <f t="shared" ref="AS152:AS162" si="415">(AS151+6000)*1.00798-0</f>
        <v>1240757.2527445543</v>
      </c>
      <c r="AT152">
        <f t="shared" ref="AT152:AT162" si="416">(AT151+6000)*1.00798-0</f>
        <v>1440774.3171490773</v>
      </c>
      <c r="AU152">
        <f t="shared" ref="AU152:AU162" si="417">(AU151+6000)*1.00798-0</f>
        <v>1660808.4366836559</v>
      </c>
      <c r="AV152">
        <f t="shared" ref="AV152:AV162" si="418">(AV151+6000)*1.00798-0</f>
        <v>1902862.8529080667</v>
      </c>
      <c r="AW152">
        <f t="shared" ref="AW152:AW162" si="419">(AW151+6000)*1.00798-0</f>
        <v>2169141.2852606126</v>
      </c>
      <c r="AX152">
        <f t="shared" ref="AX152:AX162" si="420">(AX151+6000)*1.00798-0</f>
        <v>2462067.9942300268</v>
      </c>
      <c r="AY152">
        <f t="shared" ref="AY152:AY162" si="421">(AY151+6000)*1.00798-0</f>
        <v>2784309.8523841519</v>
      </c>
      <c r="AZ152">
        <f t="shared" ref="AZ152:AZ162" si="422">(AZ151+6000)*1.00798-0</f>
        <v>3138800.6241951496</v>
      </c>
      <c r="BA152">
        <f t="shared" ref="BA152:BA162" si="423">(BA151+6000)*1.00798-0</f>
        <v>3528767.6757103903</v>
      </c>
      <c r="BB152">
        <f t="shared" ref="BB152:BB162" si="424">(BB151+6000)*1.00798-0</f>
        <v>3957761.357240052</v>
      </c>
      <c r="BC152">
        <f t="shared" ref="BC152:BC162" si="425">(BC151+6000)*1.00798-0</f>
        <v>4429687.3265682058</v>
      </c>
      <c r="BD152">
        <f t="shared" ref="BD152:BD162" si="426">(BD151+6000)*1.00798-0</f>
        <v>4948842.1069654068</v>
      </c>
      <c r="BE152">
        <f t="shared" ref="BE152:BE162" si="427">(BE151+6000)*1.00798-0</f>
        <v>5519952.2037311438</v>
      </c>
      <c r="BF152">
        <f t="shared" ref="BF152:BF162" si="428">(BF151+6000)*1.00798-0</f>
        <v>6148217.135392217</v>
      </c>
      <c r="BG152">
        <f t="shared" ref="BG152:BG162" si="429">(BG151+6000)*1.00798-0</f>
        <v>6839356.7713230541</v>
      </c>
      <c r="BH152">
        <f t="shared" ref="BH152:BH162" si="430">(BH151+6000)*1.00798-0</f>
        <v>7599663.406760565</v>
      </c>
      <c r="BI152">
        <f t="shared" ref="BI152:BI162" si="431">(BI151+6000)*1.00798-0</f>
        <v>8436059.0493165869</v>
      </c>
      <c r="BJ152">
        <f t="shared" ref="BJ152:BJ162" si="432">(BJ151+6000)*1.00798-0</f>
        <v>9356158.4385375567</v>
      </c>
    </row>
    <row r="153" spans="1:62" x14ac:dyDescent="0.3">
      <c r="A153">
        <f>0.0175/12</f>
        <v>1.4583333333333334E-3</v>
      </c>
      <c r="B153">
        <v>1.75</v>
      </c>
      <c r="D153">
        <f t="shared" si="394"/>
        <v>18235.741912606849</v>
      </c>
      <c r="E153">
        <f t="shared" si="398"/>
        <v>94840.309549272337</v>
      </c>
      <c r="F153">
        <f t="shared" si="399"/>
        <v>177658.08730736043</v>
      </c>
      <c r="G153">
        <f t="shared" si="400"/>
        <v>267356.50009305164</v>
      </c>
      <c r="H153">
        <f t="shared" si="400"/>
        <v>364994.31804849935</v>
      </c>
      <c r="I153">
        <f t="shared" si="400"/>
        <v>470815.88585829554</v>
      </c>
      <c r="J153">
        <f t="shared" si="401"/>
        <v>586561.13856743404</v>
      </c>
      <c r="K153">
        <f t="shared" si="401"/>
        <v>712650.34463692561</v>
      </c>
      <c r="L153">
        <f t="shared" si="401"/>
        <v>849650.49037756037</v>
      </c>
      <c r="M153">
        <f t="shared" si="401"/>
        <v>998505.7375317933</v>
      </c>
      <c r="N153">
        <f t="shared" si="402"/>
        <v>1163023.3343035353</v>
      </c>
      <c r="O153">
        <f t="shared" si="402"/>
        <v>1342218.6769609582</v>
      </c>
      <c r="P153">
        <f t="shared" si="402"/>
        <v>1537401.2681257383</v>
      </c>
      <c r="Q153">
        <f t="shared" si="402"/>
        <v>1749997.4401514155</v>
      </c>
      <c r="R153">
        <f t="shared" si="402"/>
        <v>1981560.7783069913</v>
      </c>
      <c r="S153">
        <f t="shared" si="402"/>
        <v>2233783.4738843935</v>
      </c>
      <c r="T153">
        <f t="shared" si="402"/>
        <v>2508508.6901947157</v>
      </c>
      <c r="U153">
        <f t="shared" si="402"/>
        <v>2807744.0318199992</v>
      </c>
      <c r="V153">
        <f t="shared" si="402"/>
        <v>3133676.2155495607</v>
      </c>
      <c r="W153">
        <f t="shared" si="402"/>
        <v>3488687.0502114277</v>
      </c>
      <c r="X153">
        <f t="shared" si="402"/>
        <v>3875370.8421743899</v>
      </c>
      <c r="Y153">
        <f t="shared" si="402"/>
        <v>4296553.3537145536</v>
      </c>
      <c r="Z153">
        <f t="shared" si="402"/>
        <v>4755312.4527881229</v>
      </c>
      <c r="AA153">
        <f t="shared" si="402"/>
        <v>5255000.6051123813</v>
      </c>
      <c r="AB153">
        <f t="shared" si="402"/>
        <v>5799269.3729198314</v>
      </c>
      <c r="AC153">
        <f t="shared" si="403"/>
        <v>6402730.574205908</v>
      </c>
      <c r="AD153">
        <f t="shared" si="404"/>
        <v>7066969.571822932</v>
      </c>
      <c r="AE153">
        <f t="shared" si="405"/>
        <v>7792282.2573498012</v>
      </c>
      <c r="AI153">
        <f t="shared" si="396"/>
        <v>18288.811378617556</v>
      </c>
      <c r="AJ153">
        <f t="shared" si="406"/>
        <v>95965.223207192059</v>
      </c>
      <c r="AK153">
        <f t="shared" si="407"/>
        <v>181415.23686572275</v>
      </c>
      <c r="AL153">
        <f t="shared" si="408"/>
        <v>275416.80905931676</v>
      </c>
      <c r="AM153">
        <f t="shared" si="409"/>
        <v>378825.75186157814</v>
      </c>
      <c r="AN153">
        <f t="shared" si="410"/>
        <v>492583.52422583773</v>
      </c>
      <c r="AO153">
        <f t="shared" si="411"/>
        <v>617725.80324540148</v>
      </c>
      <c r="AP153">
        <f t="shared" si="412"/>
        <v>755391.91319755604</v>
      </c>
      <c r="AQ153">
        <f t="shared" si="413"/>
        <v>906835.1982155306</v>
      </c>
      <c r="AR153">
        <f t="shared" si="414"/>
        <v>1073434.433023622</v>
      </c>
      <c r="AS153">
        <f t="shared" si="415"/>
        <v>1256706.375621456</v>
      </c>
      <c r="AT153">
        <f t="shared" si="416"/>
        <v>1458319.5761999271</v>
      </c>
      <c r="AU153">
        <f t="shared" si="417"/>
        <v>1680109.5680083917</v>
      </c>
      <c r="AV153">
        <f t="shared" si="418"/>
        <v>1924095.5784742732</v>
      </c>
      <c r="AW153">
        <f t="shared" si="419"/>
        <v>2192498.9127169927</v>
      </c>
      <c r="AX153">
        <f t="shared" si="420"/>
        <v>2487763.1768239825</v>
      </c>
      <c r="AY153">
        <f t="shared" si="421"/>
        <v>2812576.5250061778</v>
      </c>
      <c r="AZ153">
        <f t="shared" si="422"/>
        <v>3169896.1331762271</v>
      </c>
      <c r="BA153">
        <f t="shared" si="423"/>
        <v>3562975.1217625597</v>
      </c>
      <c r="BB153">
        <f t="shared" si="424"/>
        <v>3995392.1728708278</v>
      </c>
      <c r="BC153">
        <f t="shared" si="425"/>
        <v>4471084.1114342203</v>
      </c>
      <c r="BD153">
        <f t="shared" si="426"/>
        <v>4994381.7469789917</v>
      </c>
      <c r="BE153">
        <f t="shared" si="427"/>
        <v>5570049.302316919</v>
      </c>
      <c r="BF153">
        <f t="shared" si="428"/>
        <v>6203327.7881326471</v>
      </c>
      <c r="BG153">
        <f t="shared" si="429"/>
        <v>6899982.7183582131</v>
      </c>
      <c r="BH153">
        <f t="shared" si="430"/>
        <v>7666356.6007465152</v>
      </c>
      <c r="BI153">
        <f t="shared" si="431"/>
        <v>8509426.6805301346</v>
      </c>
      <c r="BJ153">
        <f t="shared" si="432"/>
        <v>9436868.4628770873</v>
      </c>
    </row>
    <row r="154" spans="1:62" x14ac:dyDescent="0.3">
      <c r="A154">
        <f>0.015/12</f>
        <v>1.25E-3</v>
      </c>
      <c r="B154">
        <v>1.5</v>
      </c>
      <c r="D154">
        <f t="shared" si="394"/>
        <v>24393.758949877047</v>
      </c>
      <c r="E154">
        <f t="shared" si="398"/>
        <v>101497.78836753361</v>
      </c>
      <c r="F154">
        <f t="shared" si="399"/>
        <v>184855.53803660444</v>
      </c>
      <c r="G154">
        <f t="shared" si="400"/>
        <v>275196.18933867791</v>
      </c>
      <c r="H154">
        <f t="shared" si="400"/>
        <v>373491.10980896576</v>
      </c>
      <c r="I154">
        <f t="shared" si="400"/>
        <v>480024.85677012196</v>
      </c>
      <c r="J154">
        <f t="shared" ref="J154:J162" si="433">(J153+6000)*1.00798-(0.00104*(J153+6000))</f>
        <v>596673.51286909205</v>
      </c>
      <c r="K154">
        <f t="shared" ref="K154:K162" si="434">(K153+6000)*1.00798-(0.00104*(K153+6000))</f>
        <v>723637.77802870597</v>
      </c>
      <c r="L154">
        <f t="shared" ref="L154:L162" si="435">(L153+6000)*1.00798-(0.00104*(L153+6000))</f>
        <v>861588.70478078071</v>
      </c>
      <c r="M154">
        <f t="shared" ref="M154:M162" si="436">(M153+6000)*1.00798-(0.000833*(M153+6000))</f>
        <v>1011684.9400379332</v>
      </c>
      <c r="N154">
        <f t="shared" si="402"/>
        <v>1177378.3440738027</v>
      </c>
      <c r="O154">
        <f t="shared" si="402"/>
        <v>1357854.3958451983</v>
      </c>
      <c r="P154">
        <f t="shared" si="402"/>
        <v>1554431.9569890329</v>
      </c>
      <c r="Q154">
        <f t="shared" si="402"/>
        <v>1768547.553856178</v>
      </c>
      <c r="R154">
        <f t="shared" si="402"/>
        <v>2001765.8751895516</v>
      </c>
      <c r="S154">
        <f t="shared" si="402"/>
        <v>2255791.2063722457</v>
      </c>
      <c r="T154">
        <f t="shared" si="402"/>
        <v>2532479.8838035376</v>
      </c>
      <c r="U154">
        <f t="shared" si="402"/>
        <v>2833853.8604154168</v>
      </c>
      <c r="V154">
        <f t="shared" si="402"/>
        <v>3162115.4814620935</v>
      </c>
      <c r="W154">
        <f t="shared" si="402"/>
        <v>3519663.5785592892</v>
      </c>
      <c r="X154">
        <f t="shared" si="402"/>
        <v>3909110.9995834106</v>
      </c>
      <c r="Y154">
        <f t="shared" si="402"/>
        <v>4333303.7025335515</v>
      </c>
      <c r="Z154">
        <f t="shared" si="402"/>
        <v>4795341.5528882006</v>
      </c>
      <c r="AA154">
        <f t="shared" si="402"/>
        <v>5298600.9764371198</v>
      </c>
      <c r="AB154">
        <f t="shared" si="402"/>
        <v>5846759.6331280898</v>
      </c>
      <c r="AC154">
        <f t="shared" si="403"/>
        <v>6455879.6050403416</v>
      </c>
      <c r="AD154">
        <f t="shared" si="404"/>
        <v>7125005.4089628337</v>
      </c>
      <c r="AE154">
        <f t="shared" si="405"/>
        <v>7855654.2199171241</v>
      </c>
      <c r="AI154">
        <f t="shared" si="396"/>
        <v>24482.636093418925</v>
      </c>
      <c r="AJ154">
        <f t="shared" si="406"/>
        <v>102778.90568838546</v>
      </c>
      <c r="AK154">
        <f t="shared" si="407"/>
        <v>188910.81045591124</v>
      </c>
      <c r="AL154">
        <f t="shared" si="408"/>
        <v>283662.51519561012</v>
      </c>
      <c r="AM154">
        <f t="shared" si="409"/>
        <v>387896.66136143357</v>
      </c>
      <c r="AN154">
        <f t="shared" si="410"/>
        <v>502562.22074915998</v>
      </c>
      <c r="AO154">
        <f t="shared" si="411"/>
        <v>628703.13515529979</v>
      </c>
      <c r="AP154">
        <f t="shared" si="412"/>
        <v>767467.82066487265</v>
      </c>
      <c r="AQ154">
        <f t="shared" si="413"/>
        <v>920119.62309729063</v>
      </c>
      <c r="AR154">
        <f t="shared" si="414"/>
        <v>1088048.3197991506</v>
      </c>
      <c r="AS154">
        <f t="shared" si="415"/>
        <v>1272782.7724989152</v>
      </c>
      <c r="AT154">
        <f t="shared" si="416"/>
        <v>1476004.8464180026</v>
      </c>
      <c r="AU154">
        <f t="shared" si="417"/>
        <v>1699564.7223610987</v>
      </c>
      <c r="AV154">
        <f t="shared" si="418"/>
        <v>1945497.741190498</v>
      </c>
      <c r="AW154">
        <f t="shared" si="419"/>
        <v>2216042.9340404747</v>
      </c>
      <c r="AX154">
        <f t="shared" si="420"/>
        <v>2513663.4069750383</v>
      </c>
      <c r="AY154">
        <f t="shared" si="421"/>
        <v>2841068.7656757273</v>
      </c>
      <c r="AZ154">
        <f t="shared" si="422"/>
        <v>3201239.7843189738</v>
      </c>
      <c r="BA154">
        <f t="shared" si="423"/>
        <v>3597455.5432342254</v>
      </c>
      <c r="BB154">
        <f t="shared" si="424"/>
        <v>4033323.2824103376</v>
      </c>
      <c r="BC154">
        <f t="shared" si="425"/>
        <v>4512811.2426434662</v>
      </c>
      <c r="BD154">
        <f t="shared" si="426"/>
        <v>5040284.7933198847</v>
      </c>
      <c r="BE154">
        <f t="shared" si="427"/>
        <v>5620546.1757494081</v>
      </c>
      <c r="BF154">
        <f t="shared" si="428"/>
        <v>6258878.2238819459</v>
      </c>
      <c r="BG154">
        <f t="shared" si="429"/>
        <v>6961092.4604507126</v>
      </c>
      <c r="BH154">
        <f t="shared" si="430"/>
        <v>7733582.0064204736</v>
      </c>
      <c r="BI154">
        <f t="shared" si="431"/>
        <v>8583379.7854407653</v>
      </c>
      <c r="BJ154">
        <f t="shared" si="432"/>
        <v>9518222.5532108471</v>
      </c>
    </row>
    <row r="155" spans="1:62" x14ac:dyDescent="0.3">
      <c r="A155">
        <f>0.0125/12</f>
        <v>1.0416666666666667E-3</v>
      </c>
      <c r="B155">
        <v>1.25</v>
      </c>
      <c r="D155">
        <f t="shared" si="394"/>
        <v>30591.926258230247</v>
      </c>
      <c r="E155">
        <f t="shared" si="398"/>
        <v>108198.67394768994</v>
      </c>
      <c r="F155">
        <f t="shared" si="399"/>
        <v>192099.91614460311</v>
      </c>
      <c r="G155">
        <f t="shared" si="400"/>
        <v>283088.63969292725</v>
      </c>
      <c r="H155">
        <f t="shared" si="400"/>
        <v>382045.08497798018</v>
      </c>
      <c r="I155">
        <f t="shared" si="400"/>
        <v>489295.80405618489</v>
      </c>
      <c r="J155">
        <f t="shared" si="433"/>
        <v>606856.06704840367</v>
      </c>
      <c r="K155">
        <f t="shared" si="434"/>
        <v>734701.46420822525</v>
      </c>
      <c r="L155">
        <f t="shared" si="435"/>
        <v>873609.77039195935</v>
      </c>
      <c r="M155">
        <f t="shared" si="436"/>
        <v>1024958.3343043843</v>
      </c>
      <c r="N155">
        <f t="shared" si="402"/>
        <v>1191835.9490988983</v>
      </c>
      <c r="O155">
        <f t="shared" si="402"/>
        <v>1373601.863212304</v>
      </c>
      <c r="P155">
        <f t="shared" si="402"/>
        <v>1571584.3641856336</v>
      </c>
      <c r="Q155">
        <f t="shared" si="402"/>
        <v>1787230.2452235881</v>
      </c>
      <c r="R155">
        <f t="shared" si="402"/>
        <v>2022115.3778995315</v>
      </c>
      <c r="S155">
        <f t="shared" si="402"/>
        <v>2277956.2281241883</v>
      </c>
      <c r="T155">
        <f t="shared" si="402"/>
        <v>2556622.3995330818</v>
      </c>
      <c r="U155">
        <f t="shared" si="402"/>
        <v>2860150.295955806</v>
      </c>
      <c r="V155">
        <f t="shared" si="402"/>
        <v>3190758.0028081033</v>
      </c>
      <c r="W155">
        <f t="shared" si="402"/>
        <v>3550861.4961552531</v>
      </c>
      <c r="X155">
        <f t="shared" si="402"/>
        <v>3943092.2978974334</v>
      </c>
      <c r="Y155">
        <f t="shared" si="402"/>
        <v>4370316.7060955595</v>
      </c>
      <c r="Z155">
        <f t="shared" si="402"/>
        <v>4835656.7409666935</v>
      </c>
      <c r="AA155">
        <f t="shared" si="402"/>
        <v>5342512.9596157167</v>
      </c>
      <c r="AB155">
        <f t="shared" si="402"/>
        <v>5894589.306226057</v>
      </c>
      <c r="AC155">
        <f t="shared" si="403"/>
        <v>6509419.6532946238</v>
      </c>
      <c r="AD155">
        <f t="shared" si="404"/>
        <v>7183468.2157565737</v>
      </c>
      <c r="AE155">
        <f t="shared" si="405"/>
        <v>7919492.4100130554</v>
      </c>
      <c r="AI155">
        <f t="shared" si="396"/>
        <v>30725.887529444411</v>
      </c>
      <c r="AJ155">
        <f t="shared" si="406"/>
        <v>109646.9613557788</v>
      </c>
      <c r="AK155">
        <f t="shared" si="407"/>
        <v>196466.19872334943</v>
      </c>
      <c r="AL155">
        <f t="shared" si="408"/>
        <v>291974.02206687111</v>
      </c>
      <c r="AM155">
        <f t="shared" si="409"/>
        <v>397039.95671909786</v>
      </c>
      <c r="AN155">
        <f t="shared" si="410"/>
        <v>512620.54727073835</v>
      </c>
      <c r="AO155">
        <f t="shared" si="411"/>
        <v>639768.06617383915</v>
      </c>
      <c r="AP155">
        <f t="shared" si="412"/>
        <v>779640.09387377836</v>
      </c>
      <c r="AQ155">
        <f t="shared" si="413"/>
        <v>933510.05768960714</v>
      </c>
      <c r="AR155">
        <f t="shared" si="414"/>
        <v>1102778.825391148</v>
      </c>
      <c r="AS155">
        <f t="shared" si="415"/>
        <v>1288987.4590234568</v>
      </c>
      <c r="AT155">
        <f t="shared" si="416"/>
        <v>1493831.2450924185</v>
      </c>
      <c r="AU155">
        <f t="shared" si="417"/>
        <v>1719175.1288455406</v>
      </c>
      <c r="AV155">
        <f t="shared" si="418"/>
        <v>1967070.6931651984</v>
      </c>
      <c r="AW155">
        <f t="shared" si="419"/>
        <v>2239774.8366541178</v>
      </c>
      <c r="AX155">
        <f t="shared" si="420"/>
        <v>2539770.3209626996</v>
      </c>
      <c r="AY155">
        <f t="shared" si="421"/>
        <v>2869788.3744258201</v>
      </c>
      <c r="AZ155">
        <f t="shared" si="422"/>
        <v>3232833.5577978394</v>
      </c>
      <c r="BA155">
        <f t="shared" si="423"/>
        <v>3632211.118469235</v>
      </c>
      <c r="BB155">
        <f t="shared" si="424"/>
        <v>4071557.0822039726</v>
      </c>
      <c r="BC155">
        <f t="shared" si="425"/>
        <v>4554871.3563597612</v>
      </c>
      <c r="BD155">
        <f t="shared" si="426"/>
        <v>5086554.1459705783</v>
      </c>
      <c r="BE155">
        <f t="shared" si="427"/>
        <v>5671446.0142318886</v>
      </c>
      <c r="BF155">
        <f t="shared" si="428"/>
        <v>6314871.9521085247</v>
      </c>
      <c r="BG155">
        <f t="shared" si="429"/>
        <v>7022689.8582851095</v>
      </c>
      <c r="BH155">
        <f t="shared" si="430"/>
        <v>7801343.8708317094</v>
      </c>
      <c r="BI155">
        <f t="shared" si="431"/>
        <v>8657923.0361285843</v>
      </c>
      <c r="BJ155">
        <f t="shared" si="432"/>
        <v>9600225.8491854705</v>
      </c>
    </row>
    <row r="156" spans="1:62" x14ac:dyDescent="0.3">
      <c r="A156">
        <f>0.01/12</f>
        <v>8.3333333333333339E-4</v>
      </c>
      <c r="B156">
        <v>1</v>
      </c>
      <c r="D156">
        <f t="shared" si="394"/>
        <v>36830.505617433912</v>
      </c>
      <c r="E156">
        <f t="shared" si="398"/>
        <v>114943.2493018289</v>
      </c>
      <c r="F156">
        <f t="shared" si="399"/>
        <v>199391.52759786593</v>
      </c>
      <c r="G156">
        <f t="shared" si="400"/>
        <v>291034.20623806067</v>
      </c>
      <c r="H156">
        <f t="shared" si="400"/>
        <v>390656.628399882</v>
      </c>
      <c r="I156">
        <f t="shared" si="400"/>
        <v>498629.14481748303</v>
      </c>
      <c r="J156">
        <f t="shared" si="433"/>
        <v>617109.28815371974</v>
      </c>
      <c r="K156">
        <f t="shared" si="434"/>
        <v>745841.93236983044</v>
      </c>
      <c r="L156">
        <f t="shared" si="435"/>
        <v>885714.26219847961</v>
      </c>
      <c r="M156">
        <f t="shared" si="436"/>
        <v>1038326.5935196579</v>
      </c>
      <c r="N156">
        <f t="shared" si="402"/>
        <v>1206396.8826271084</v>
      </c>
      <c r="O156">
        <f t="shared" si="402"/>
        <v>1389461.8777286825</v>
      </c>
      <c r="P156">
        <f t="shared" si="402"/>
        <v>1588859.3596364686</v>
      </c>
      <c r="Q156">
        <f t="shared" si="402"/>
        <v>1806046.4617862012</v>
      </c>
      <c r="R156">
        <f t="shared" si="402"/>
        <v>2042610.3185053796</v>
      </c>
      <c r="S156">
        <f t="shared" si="402"/>
        <v>2300279.6632865919</v>
      </c>
      <c r="T156">
        <f t="shared" si="402"/>
        <v>2580937.4618225447</v>
      </c>
      <c r="U156">
        <f t="shared" si="402"/>
        <v>2886634.6721210028</v>
      </c>
      <c r="V156">
        <f t="shared" si="402"/>
        <v>3219605.2322541731</v>
      </c>
      <c r="W156">
        <f t="shared" si="402"/>
        <v>3582282.3852682752</v>
      </c>
      <c r="X156">
        <f t="shared" si="402"/>
        <v>3977316.4605505066</v>
      </c>
      <c r="Y156">
        <f t="shared" si="402"/>
        <v>4407594.2415940249</v>
      </c>
      <c r="Z156">
        <f t="shared" si="402"/>
        <v>4876260.0616943836</v>
      </c>
      <c r="AA156">
        <f t="shared" si="402"/>
        <v>5386738.7817380903</v>
      </c>
      <c r="AB156">
        <f t="shared" si="402"/>
        <v>5942760.8179976549</v>
      </c>
      <c r="AC156">
        <f t="shared" si="403"/>
        <v>6563353.5956839137</v>
      </c>
      <c r="AD156">
        <f t="shared" si="404"/>
        <v>7242361.1334198955</v>
      </c>
      <c r="AE156">
        <f t="shared" si="405"/>
        <v>7983800.2576735225</v>
      </c>
      <c r="AI156">
        <f t="shared" si="396"/>
        <v>37018.960111929387</v>
      </c>
      <c r="AJ156">
        <f t="shared" si="406"/>
        <v>116569.82410739792</v>
      </c>
      <c r="AK156">
        <f t="shared" si="407"/>
        <v>204081.87898916178</v>
      </c>
      <c r="AL156">
        <f t="shared" si="408"/>
        <v>300351.85476296477</v>
      </c>
      <c r="AM156">
        <f t="shared" si="409"/>
        <v>406256.21557371627</v>
      </c>
      <c r="AN156">
        <f t="shared" si="410"/>
        <v>522759.13923795888</v>
      </c>
      <c r="AO156">
        <f t="shared" si="411"/>
        <v>650921.29534190649</v>
      </c>
      <c r="AP156">
        <f t="shared" si="412"/>
        <v>791909.50182289118</v>
      </c>
      <c r="AQ156">
        <f t="shared" si="413"/>
        <v>947007.34794997028</v>
      </c>
      <c r="AR156">
        <f t="shared" si="414"/>
        <v>1117626.8804177695</v>
      </c>
      <c r="AS156">
        <f t="shared" si="415"/>
        <v>1305321.4589464641</v>
      </c>
      <c r="AT156">
        <f t="shared" si="416"/>
        <v>1511799.8984282562</v>
      </c>
      <c r="AU156">
        <f t="shared" si="417"/>
        <v>1738942.0263737282</v>
      </c>
      <c r="AV156">
        <f t="shared" si="418"/>
        <v>1988815.797296657</v>
      </c>
      <c r="AW156">
        <f t="shared" si="419"/>
        <v>2263696.1198506178</v>
      </c>
      <c r="AX156">
        <f t="shared" si="420"/>
        <v>2566085.5681239823</v>
      </c>
      <c r="AY156">
        <f t="shared" si="421"/>
        <v>2898737.1656537382</v>
      </c>
      <c r="AZ156">
        <f t="shared" si="422"/>
        <v>3264679.4495890667</v>
      </c>
      <c r="BA156">
        <f t="shared" si="423"/>
        <v>3667244.0431946199</v>
      </c>
      <c r="BB156">
        <f t="shared" si="424"/>
        <v>4110095.9877199605</v>
      </c>
      <c r="BC156">
        <f t="shared" si="425"/>
        <v>4597267.1097835125</v>
      </c>
      <c r="BD156">
        <f t="shared" si="426"/>
        <v>5133192.7280554241</v>
      </c>
      <c r="BE156">
        <f t="shared" si="427"/>
        <v>5722752.0334254596</v>
      </c>
      <c r="BF156">
        <f t="shared" si="428"/>
        <v>6371312.5102863517</v>
      </c>
      <c r="BG156">
        <f t="shared" si="429"/>
        <v>7084778.8033542251</v>
      </c>
      <c r="BH156">
        <f t="shared" si="430"/>
        <v>7869646.4749209471</v>
      </c>
      <c r="BI156">
        <f t="shared" si="431"/>
        <v>8733061.1419568919</v>
      </c>
      <c r="BJ156">
        <f t="shared" si="432"/>
        <v>9682883.5314619709</v>
      </c>
    </row>
    <row r="157" spans="1:62" x14ac:dyDescent="0.3">
      <c r="D157">
        <f t="shared" si="394"/>
        <v>43109.760514059584</v>
      </c>
      <c r="E157">
        <f t="shared" si="398"/>
        <v>121731.79928727684</v>
      </c>
      <c r="F157">
        <f t="shared" si="399"/>
        <v>206730.68035780406</v>
      </c>
      <c r="G157">
        <f t="shared" ref="G157:H162" si="437">(G156+6000)*1.00798-(0.00125*(G156+6000))</f>
        <v>299033.24644604285</v>
      </c>
      <c r="H157">
        <f t="shared" si="437"/>
        <v>399326.12750901323</v>
      </c>
      <c r="I157">
        <f t="shared" ref="I157:I162" si="438">(I156+6000)*1.00798-(0.00104*(I156+6000))</f>
        <v>508131.27108251641</v>
      </c>
      <c r="J157">
        <f t="shared" si="433"/>
        <v>627433.66661350662</v>
      </c>
      <c r="K157">
        <f t="shared" si="434"/>
        <v>757059.71538047714</v>
      </c>
      <c r="L157">
        <f t="shared" si="435"/>
        <v>897902.75917813717</v>
      </c>
      <c r="M157">
        <f t="shared" si="436"/>
        <v>1051790.3956835428</v>
      </c>
      <c r="N157">
        <f t="shared" si="402"/>
        <v>1221061.8831472446</v>
      </c>
      <c r="O157">
        <f t="shared" si="402"/>
        <v>1405435.2437688096</v>
      </c>
      <c r="P157">
        <f t="shared" si="402"/>
        <v>1606257.8194797907</v>
      </c>
      <c r="Q157">
        <f t="shared" si="402"/>
        <v>1824997.1578485875</v>
      </c>
      <c r="R157">
        <f t="shared" si="402"/>
        <v>2063251.7364517376</v>
      </c>
      <c r="S157">
        <f t="shared" si="402"/>
        <v>2322762.6440401012</v>
      </c>
      <c r="T157">
        <f t="shared" si="402"/>
        <v>2605426.3038621908</v>
      </c>
      <c r="U157">
        <f t="shared" si="402"/>
        <v>2913308.3321226519</v>
      </c>
      <c r="V157">
        <f t="shared" si="402"/>
        <v>3248658.632849094</v>
      </c>
      <c r="W157">
        <f t="shared" si="402"/>
        <v>3613927.8394757882</v>
      </c>
      <c r="X157">
        <f t="shared" si="402"/>
        <v>4011785.2232940616</v>
      </c>
      <c r="Y157">
        <f t="shared" si="402"/>
        <v>4445138.1996386983</v>
      </c>
      <c r="Z157">
        <f t="shared" si="402"/>
        <v>4917153.5743553136</v>
      </c>
      <c r="AA157">
        <f t="shared" si="402"/>
        <v>5431280.6858111722</v>
      </c>
      <c r="AB157">
        <f t="shared" si="402"/>
        <v>5991276.6115638847</v>
      </c>
      <c r="AC157">
        <f t="shared" si="403"/>
        <v>6617684.3300873609</v>
      </c>
      <c r="AD157">
        <f t="shared" si="404"/>
        <v>7301687.3262784658</v>
      </c>
      <c r="AE157">
        <f t="shared" si="405"/>
        <v>8048581.2181692272</v>
      </c>
      <c r="AI157">
        <f t="shared" si="396"/>
        <v>43362.251413622587</v>
      </c>
      <c r="AJ157">
        <f t="shared" si="406"/>
        <v>123547.93130377497</v>
      </c>
      <c r="AK157">
        <f t="shared" si="407"/>
        <v>211758.33238349532</v>
      </c>
      <c r="AL157">
        <f t="shared" si="408"/>
        <v>308796.54256397323</v>
      </c>
      <c r="AM157">
        <f t="shared" si="409"/>
        <v>415546.02017399459</v>
      </c>
      <c r="AN157">
        <f t="shared" si="410"/>
        <v>532978.63716907788</v>
      </c>
      <c r="AO157">
        <f t="shared" si="411"/>
        <v>662163.52727873495</v>
      </c>
      <c r="AP157">
        <f t="shared" si="412"/>
        <v>804276.81964743789</v>
      </c>
      <c r="AQ157">
        <f t="shared" si="413"/>
        <v>960612.34658661112</v>
      </c>
      <c r="AR157">
        <f t="shared" si="414"/>
        <v>1132593.4229235034</v>
      </c>
      <c r="AS157">
        <f t="shared" si="415"/>
        <v>1321785.8041888571</v>
      </c>
      <c r="AT157">
        <f t="shared" si="416"/>
        <v>1529911.9416177138</v>
      </c>
      <c r="AU157">
        <f t="shared" si="417"/>
        <v>1758866.6637441907</v>
      </c>
      <c r="AV157">
        <f t="shared" si="418"/>
        <v>2010734.4273590846</v>
      </c>
      <c r="AW157">
        <f t="shared" si="419"/>
        <v>2287808.2948870258</v>
      </c>
      <c r="AX157">
        <f t="shared" si="420"/>
        <v>2592610.810957612</v>
      </c>
      <c r="AY157">
        <f t="shared" si="421"/>
        <v>2927916.9682356552</v>
      </c>
      <c r="AZ157">
        <f t="shared" si="422"/>
        <v>3296779.4715967877</v>
      </c>
      <c r="BA157">
        <f t="shared" si="423"/>
        <v>3702556.5306593133</v>
      </c>
      <c r="BB157">
        <f t="shared" si="424"/>
        <v>4148942.4337019664</v>
      </c>
      <c r="BC157">
        <f t="shared" si="425"/>
        <v>4640001.1813195851</v>
      </c>
      <c r="BD157">
        <f t="shared" si="426"/>
        <v>5180203.4860253064</v>
      </c>
      <c r="BE157">
        <f t="shared" si="427"/>
        <v>5774467.4746521953</v>
      </c>
      <c r="BF157">
        <f t="shared" si="428"/>
        <v>6428203.4641184378</v>
      </c>
      <c r="BG157">
        <f t="shared" si="429"/>
        <v>7147363.2182049928</v>
      </c>
      <c r="BH157">
        <f t="shared" si="430"/>
        <v>7938494.1337908171</v>
      </c>
      <c r="BI157">
        <f t="shared" si="431"/>
        <v>8808798.8498697095</v>
      </c>
      <c r="BJ157">
        <f t="shared" si="432"/>
        <v>9766200.8220430389</v>
      </c>
    </row>
    <row r="158" spans="1:62" x14ac:dyDescent="0.3">
      <c r="D158">
        <f t="shared" si="394"/>
        <v>49429.956152611259</v>
      </c>
      <c r="E158">
        <f t="shared" si="398"/>
        <v>128564.6106186299</v>
      </c>
      <c r="F158">
        <f t="shared" si="399"/>
        <v>214117.68439373694</v>
      </c>
      <c r="G158">
        <f t="shared" si="437"/>
        <v>307086.12019462476</v>
      </c>
      <c r="H158">
        <f t="shared" si="437"/>
        <v>408053.97234714893</v>
      </c>
      <c r="I158">
        <f t="shared" si="438"/>
        <v>517699.34210382914</v>
      </c>
      <c r="J158">
        <f t="shared" si="433"/>
        <v>637829.69625980442</v>
      </c>
      <c r="K158">
        <f t="shared" si="434"/>
        <v>768355.3498052177</v>
      </c>
      <c r="L158">
        <f t="shared" si="435"/>
        <v>910175.84432683361</v>
      </c>
      <c r="M158">
        <f t="shared" si="436"/>
        <v>1065350.4236414931</v>
      </c>
      <c r="N158">
        <f t="shared" ref="N158:AA162" si="439">(N157+6000)*1.00798-(0.000833*(N157+6000))</f>
        <v>1235831.6944260981</v>
      </c>
      <c r="O158">
        <f t="shared" si="439"/>
        <v>1421522.7714560253</v>
      </c>
      <c r="P158">
        <f t="shared" si="439"/>
        <v>1623780.6261156129</v>
      </c>
      <c r="Q158">
        <f t="shared" si="439"/>
        <v>1844083.2945357314</v>
      </c>
      <c r="R158">
        <f t="shared" si="439"/>
        <v>2084040.6786121584</v>
      </c>
      <c r="S158">
        <f t="shared" si="439"/>
        <v>2345406.310657056</v>
      </c>
      <c r="T158">
        <f t="shared" si="439"/>
        <v>2630090.1676558945</v>
      </c>
      <c r="U158">
        <f t="shared" si="439"/>
        <v>2940172.6287723328</v>
      </c>
      <c r="V158">
        <f t="shared" si="439"/>
        <v>3277919.6780980667</v>
      </c>
      <c r="W158">
        <f t="shared" si="439"/>
        <v>3645799.4637445221</v>
      </c>
      <c r="X158">
        <f t="shared" si="439"/>
        <v>4046500.3342849445</v>
      </c>
      <c r="Y158">
        <f t="shared" si="439"/>
        <v>4482950.4843515158</v>
      </c>
      <c r="Z158">
        <f t="shared" si="439"/>
        <v>4958339.3529512314</v>
      </c>
      <c r="AA158">
        <f t="shared" si="439"/>
        <v>5476140.9308726657</v>
      </c>
      <c r="AB158">
        <f>(AB157+6000)*1.00798-(0.000623*(AB157+6000))</f>
        <v>6041398.5755951609</v>
      </c>
      <c r="AC158">
        <f t="shared" si="403"/>
        <v>6672414.7757038148</v>
      </c>
      <c r="AD158">
        <f t="shared" si="404"/>
        <v>7361449.9819378965</v>
      </c>
      <c r="AE158">
        <f t="shared" si="405"/>
        <v>8113838.7721912991</v>
      </c>
      <c r="AI158">
        <f t="shared" si="396"/>
        <v>49756.162179903302</v>
      </c>
      <c r="AJ158">
        <f t="shared" si="406"/>
        <v>130581.72379557911</v>
      </c>
      <c r="AK158">
        <f t="shared" si="407"/>
        <v>219496.04387591564</v>
      </c>
      <c r="AL158">
        <f t="shared" si="408"/>
        <v>317308.61897363374</v>
      </c>
      <c r="AM158">
        <f t="shared" si="409"/>
        <v>424909.95741498313</v>
      </c>
      <c r="AN158">
        <f t="shared" si="410"/>
        <v>543279.68669368722</v>
      </c>
      <c r="AO158">
        <f t="shared" si="411"/>
        <v>673495.47222641937</v>
      </c>
      <c r="AP158">
        <f t="shared" si="412"/>
        <v>816742.82866822451</v>
      </c>
      <c r="AQ158">
        <f t="shared" si="413"/>
        <v>974325.91311237239</v>
      </c>
      <c r="AR158">
        <f t="shared" si="414"/>
        <v>1147679.3984384332</v>
      </c>
      <c r="AS158">
        <f t="shared" si="415"/>
        <v>1338381.5349062842</v>
      </c>
      <c r="AT158">
        <f t="shared" si="416"/>
        <v>1548168.5189118234</v>
      </c>
      <c r="AU158">
        <f t="shared" si="417"/>
        <v>1778950.2997208696</v>
      </c>
      <c r="AV158">
        <f t="shared" si="418"/>
        <v>2032827.9680894103</v>
      </c>
      <c r="AW158">
        <f t="shared" si="419"/>
        <v>2312112.8850802244</v>
      </c>
      <c r="AX158">
        <f t="shared" si="420"/>
        <v>2619347.7252290542</v>
      </c>
      <c r="AY158">
        <f t="shared" si="421"/>
        <v>2957329.6256421763</v>
      </c>
      <c r="AZ158">
        <f t="shared" si="422"/>
        <v>3329135.6517801303</v>
      </c>
      <c r="BA158">
        <f t="shared" si="423"/>
        <v>3738150.8117739749</v>
      </c>
      <c r="BB158">
        <f t="shared" si="424"/>
        <v>4188098.8743229085</v>
      </c>
      <c r="BC158">
        <f t="shared" si="425"/>
        <v>4683076.2707465161</v>
      </c>
      <c r="BD158">
        <f t="shared" si="426"/>
        <v>5227589.3898437889</v>
      </c>
      <c r="BE158">
        <f t="shared" si="427"/>
        <v>5826595.6050999202</v>
      </c>
      <c r="BF158">
        <f t="shared" si="428"/>
        <v>6485548.4077621037</v>
      </c>
      <c r="BG158">
        <f t="shared" si="429"/>
        <v>7210447.0566862691</v>
      </c>
      <c r="BH158">
        <f t="shared" si="430"/>
        <v>8007891.1969784684</v>
      </c>
      <c r="BI158">
        <f t="shared" si="431"/>
        <v>8885140.9446916711</v>
      </c>
      <c r="BJ158">
        <f t="shared" si="432"/>
        <v>9850182.9846029431</v>
      </c>
    </row>
    <row r="159" spans="1:62" x14ac:dyDescent="0.3">
      <c r="D159">
        <f t="shared" si="394"/>
        <v>55791.359466726288</v>
      </c>
      <c r="E159">
        <f t="shared" si="398"/>
        <v>135441.97187986338</v>
      </c>
      <c r="F159">
        <f t="shared" si="399"/>
        <v>221552.85169598411</v>
      </c>
      <c r="G159">
        <f t="shared" si="437"/>
        <v>315193.18978353462</v>
      </c>
      <c r="H159">
        <f t="shared" si="437"/>
        <v>416840.55558104528</v>
      </c>
      <c r="I159">
        <f t="shared" si="438"/>
        <v>527333.81553802977</v>
      </c>
      <c r="J159">
        <f t="shared" si="433"/>
        <v>648297.87435184757</v>
      </c>
      <c r="K159">
        <f t="shared" si="434"/>
        <v>779729.37593286601</v>
      </c>
      <c r="L159">
        <f t="shared" si="435"/>
        <v>922534.10468646197</v>
      </c>
      <c r="M159">
        <f t="shared" si="436"/>
        <v>1079007.3651192589</v>
      </c>
      <c r="N159">
        <f t="shared" si="439"/>
        <v>1250707.0655461615</v>
      </c>
      <c r="O159">
        <f t="shared" si="439"/>
        <v>1437725.2767036217</v>
      </c>
      <c r="P159">
        <f t="shared" si="439"/>
        <v>1641428.6682504613</v>
      </c>
      <c r="Q159">
        <f t="shared" si="439"/>
        <v>1863305.8398417786</v>
      </c>
      <c r="R159">
        <f t="shared" si="439"/>
        <v>2104978.1993421996</v>
      </c>
      <c r="S159">
        <f t="shared" si="439"/>
        <v>2368211.8115593223</v>
      </c>
      <c r="T159">
        <f t="shared" si="439"/>
        <v>2654930.3040841315</v>
      </c>
      <c r="U159">
        <f t="shared" si="439"/>
        <v>2967228.9245501687</v>
      </c>
      <c r="V159">
        <f t="shared" si="439"/>
        <v>3307389.852037434</v>
      </c>
      <c r="W159">
        <f t="shared" si="439"/>
        <v>3677898.8745119045</v>
      </c>
      <c r="X159">
        <f t="shared" si="439"/>
        <v>4081463.5541740796</v>
      </c>
      <c r="Y159">
        <f t="shared" si="439"/>
        <v>4521033.0134631759</v>
      </c>
      <c r="Z159">
        <f t="shared" si="439"/>
        <v>4999819.4863067744</v>
      </c>
      <c r="AA159">
        <f t="shared" si="439"/>
        <v>5521321.7921056133</v>
      </c>
      <c r="AB159">
        <f>(AB158+6000)*1.00798-(0.000623*(AB158+6000))</f>
        <v>6091889.2869158154</v>
      </c>
      <c r="AC159">
        <f t="shared" si="403"/>
        <v>6727547.8732086681</v>
      </c>
      <c r="AD159">
        <f t="shared" si="404"/>
        <v>7421652.3114550142</v>
      </c>
      <c r="AE159">
        <f t="shared" si="405"/>
        <v>8179576.4260383118</v>
      </c>
      <c r="AI159">
        <f t="shared" si="396"/>
        <v>56201.096354098932</v>
      </c>
      <c r="AJ159">
        <f t="shared" si="406"/>
        <v>137671.64595146783</v>
      </c>
      <c r="AK159">
        <f t="shared" si="407"/>
        <v>227295.50230604547</v>
      </c>
      <c r="AL159">
        <f t="shared" si="408"/>
        <v>325888.62175304338</v>
      </c>
      <c r="AM159">
        <f t="shared" si="409"/>
        <v>434348.61887515476</v>
      </c>
      <c r="AN159">
        <f t="shared" si="410"/>
        <v>553662.93859350285</v>
      </c>
      <c r="AO159">
        <f t="shared" si="411"/>
        <v>684917.84609478631</v>
      </c>
      <c r="AP159">
        <f t="shared" si="412"/>
        <v>829308.31644099706</v>
      </c>
      <c r="AQ159">
        <f t="shared" si="413"/>
        <v>988148.91389900923</v>
      </c>
      <c r="AR159">
        <f t="shared" si="414"/>
        <v>1162885.7600379719</v>
      </c>
      <c r="AS159">
        <f t="shared" si="415"/>
        <v>1355109.6995548364</v>
      </c>
      <c r="AT159">
        <f t="shared" si="416"/>
        <v>1566570.7836927399</v>
      </c>
      <c r="AU159">
        <f t="shared" si="417"/>
        <v>1799194.2031126423</v>
      </c>
      <c r="AV159">
        <f t="shared" si="418"/>
        <v>2055097.8152747641</v>
      </c>
      <c r="AW159">
        <f t="shared" si="419"/>
        <v>2336611.4259031648</v>
      </c>
      <c r="AX159">
        <f t="shared" si="420"/>
        <v>2646298.0000763824</v>
      </c>
      <c r="AY159">
        <f t="shared" si="421"/>
        <v>2986976.9960548012</v>
      </c>
      <c r="AZ159">
        <f t="shared" si="422"/>
        <v>3361750.0342813362</v>
      </c>
      <c r="BA159">
        <f t="shared" si="423"/>
        <v>3774029.1352519314</v>
      </c>
      <c r="BB159">
        <f t="shared" si="424"/>
        <v>4227567.7833400061</v>
      </c>
      <c r="BC159">
        <f t="shared" si="425"/>
        <v>4726495.0993870739</v>
      </c>
      <c r="BD159">
        <f t="shared" si="426"/>
        <v>5275353.4331747433</v>
      </c>
      <c r="BE159">
        <f t="shared" si="427"/>
        <v>5879139.718028618</v>
      </c>
      <c r="BF159">
        <f t="shared" si="428"/>
        <v>6543350.9640560457</v>
      </c>
      <c r="BG159">
        <f t="shared" si="429"/>
        <v>7274034.3041986264</v>
      </c>
      <c r="BH159">
        <f t="shared" si="430"/>
        <v>8077842.0487303576</v>
      </c>
      <c r="BI159">
        <f t="shared" si="431"/>
        <v>8962092.2494303118</v>
      </c>
      <c r="BJ159">
        <f t="shared" si="432"/>
        <v>9934835.3248200752</v>
      </c>
    </row>
    <row r="160" spans="1:62" x14ac:dyDescent="0.3">
      <c r="D160">
        <f t="shared" si="394"/>
        <v>62194.23913044935</v>
      </c>
      <c r="E160">
        <f t="shared" si="398"/>
        <v>142364.17353652013</v>
      </c>
      <c r="F160">
        <f t="shared" si="399"/>
        <v>229036.49628904194</v>
      </c>
      <c r="G160">
        <f t="shared" si="437"/>
        <v>323354.81995077786</v>
      </c>
      <c r="H160">
        <f t="shared" si="437"/>
        <v>425686.27252010576</v>
      </c>
      <c r="I160">
        <f t="shared" si="438"/>
        <v>537035.15221786383</v>
      </c>
      <c r="J160">
        <f t="shared" si="433"/>
        <v>658838.70159984939</v>
      </c>
      <c r="K160">
        <f t="shared" si="434"/>
        <v>791182.33780184027</v>
      </c>
      <c r="L160">
        <f t="shared" si="435"/>
        <v>934978.13137298613</v>
      </c>
      <c r="M160">
        <f t="shared" si="436"/>
        <v>1092761.9127577662</v>
      </c>
      <c r="N160">
        <f t="shared" si="439"/>
        <v>1265688.75094362</v>
      </c>
      <c r="O160">
        <f t="shared" si="439"/>
        <v>1454043.5812562224</v>
      </c>
      <c r="P160">
        <f t="shared" si="439"/>
        <v>1659202.8409424475</v>
      </c>
      <c r="Q160">
        <f t="shared" si="439"/>
        <v>1882665.768679128</v>
      </c>
      <c r="R160">
        <f t="shared" si="439"/>
        <v>2126065.3605328985</v>
      </c>
      <c r="S160">
        <f t="shared" si="439"/>
        <v>2391180.3033765368</v>
      </c>
      <c r="T160">
        <f t="shared" si="439"/>
        <v>2679947.9729674212</v>
      </c>
      <c r="U160">
        <f t="shared" si="439"/>
        <v>2994478.5916739292</v>
      </c>
      <c r="V160">
        <f t="shared" si="439"/>
        <v>3337070.6493099458</v>
      </c>
      <c r="W160">
        <f t="shared" si="439"/>
        <v>3710227.6997680413</v>
      </c>
      <c r="X160">
        <f t="shared" si="439"/>
        <v>4116676.6561957621</v>
      </c>
      <c r="Y160">
        <f t="shared" si="439"/>
        <v>4559387.7184103979</v>
      </c>
      <c r="Z160">
        <f t="shared" si="439"/>
        <v>5041596.0781754097</v>
      </c>
      <c r="AA160">
        <f t="shared" si="439"/>
        <v>5566825.5609537922</v>
      </c>
      <c r="AB160">
        <f>(AB159+6000)*1.00798-(0.000623*(AB159+6000))</f>
        <v>6142751.4583996553</v>
      </c>
      <c r="AC160">
        <f t="shared" si="403"/>
        <v>6783086.5849118643</v>
      </c>
      <c r="AD160">
        <f t="shared" si="404"/>
        <v>7482297.5495103896</v>
      </c>
      <c r="AE160">
        <f t="shared" si="405"/>
        <v>8245797.7118046759</v>
      </c>
      <c r="AI160">
        <f t="shared" si="396"/>
        <v>62697.461103004651</v>
      </c>
      <c r="AJ160">
        <f t="shared" si="406"/>
        <v>144818.14568616057</v>
      </c>
      <c r="AK160">
        <f t="shared" si="407"/>
        <v>235157.20041444773</v>
      </c>
      <c r="AL160">
        <f t="shared" si="408"/>
        <v>334537.09295463271</v>
      </c>
      <c r="AM160">
        <f t="shared" si="409"/>
        <v>443862.60085377854</v>
      </c>
      <c r="AN160">
        <f t="shared" si="410"/>
        <v>564129.04884347902</v>
      </c>
      <c r="AO160">
        <f t="shared" si="411"/>
        <v>696431.37050662271</v>
      </c>
      <c r="AP160">
        <f t="shared" si="412"/>
        <v>841974.07680619624</v>
      </c>
      <c r="AQ160">
        <f t="shared" si="413"/>
        <v>1002082.2222319234</v>
      </c>
      <c r="AR160">
        <f t="shared" si="414"/>
        <v>1178213.4684030751</v>
      </c>
      <c r="AS160">
        <f t="shared" si="415"/>
        <v>1371971.3549572842</v>
      </c>
      <c r="AT160">
        <f t="shared" si="416"/>
        <v>1585119.8985466082</v>
      </c>
      <c r="AU160">
        <f t="shared" si="417"/>
        <v>1819599.6528534812</v>
      </c>
      <c r="AV160">
        <f t="shared" si="418"/>
        <v>2077545.3758406569</v>
      </c>
      <c r="AW160">
        <f t="shared" si="419"/>
        <v>2361305.4650818724</v>
      </c>
      <c r="AX160">
        <f t="shared" si="420"/>
        <v>2673463.3381169923</v>
      </c>
      <c r="AY160">
        <f t="shared" si="421"/>
        <v>3016860.9524833187</v>
      </c>
      <c r="AZ160">
        <f t="shared" si="422"/>
        <v>3394624.6795549016</v>
      </c>
      <c r="BA160">
        <f t="shared" si="423"/>
        <v>3810193.767751242</v>
      </c>
      <c r="BB160">
        <f t="shared" si="424"/>
        <v>4267351.6542510595</v>
      </c>
      <c r="BC160">
        <f t="shared" si="425"/>
        <v>4770260.410280183</v>
      </c>
      <c r="BD160">
        <f t="shared" si="426"/>
        <v>5323498.6335714785</v>
      </c>
      <c r="BE160">
        <f t="shared" si="427"/>
        <v>5932103.1329784868</v>
      </c>
      <c r="BF160">
        <f t="shared" si="428"/>
        <v>6601614.7847492136</v>
      </c>
      <c r="BG160">
        <f t="shared" si="429"/>
        <v>7338128.9779461324</v>
      </c>
      <c r="BH160">
        <f t="shared" si="430"/>
        <v>8148351.1082792263</v>
      </c>
      <c r="BI160">
        <f t="shared" si="431"/>
        <v>9039657.6255807672</v>
      </c>
      <c r="BJ160">
        <f t="shared" si="432"/>
        <v>10020163.190712141</v>
      </c>
    </row>
    <row r="161" spans="4:62" x14ac:dyDescent="0.3">
      <c r="D161">
        <f t="shared" si="394"/>
        <v>68638.865569579881</v>
      </c>
      <c r="E161">
        <f t="shared" si="398"/>
        <v>149331.50794797827</v>
      </c>
      <c r="F161">
        <f t="shared" si="399"/>
        <v>236568.93424484652</v>
      </c>
      <c r="G161">
        <f t="shared" si="437"/>
        <v>331571.37788904662</v>
      </c>
      <c r="H161">
        <f t="shared" si="437"/>
        <v>434591.52113416611</v>
      </c>
      <c r="I161">
        <f t="shared" si="438"/>
        <v>546803.8161742558</v>
      </c>
      <c r="J161">
        <f t="shared" si="433"/>
        <v>669452.68218895234</v>
      </c>
      <c r="K161">
        <f t="shared" si="434"/>
        <v>802714.78322618513</v>
      </c>
      <c r="L161">
        <f t="shared" si="435"/>
        <v>947508.51960471482</v>
      </c>
      <c r="M161">
        <f t="shared" si="436"/>
        <v>1106614.764148246</v>
      </c>
      <c r="N161">
        <f t="shared" si="439"/>
        <v>1280777.5104466141</v>
      </c>
      <c r="O161">
        <f t="shared" si="439"/>
        <v>1470478.5127314609</v>
      </c>
      <c r="P161">
        <f t="shared" si="439"/>
        <v>1677104.0456466633</v>
      </c>
      <c r="Q161">
        <f t="shared" si="439"/>
        <v>1902164.062927878</v>
      </c>
      <c r="R161">
        <f t="shared" si="439"/>
        <v>2147303.2316646273</v>
      </c>
      <c r="S161">
        <f t="shared" si="439"/>
        <v>2414312.9510047692</v>
      </c>
      <c r="T161">
        <f t="shared" si="439"/>
        <v>2705144.4431302194</v>
      </c>
      <c r="U161">
        <f t="shared" si="439"/>
        <v>3021923.012168623</v>
      </c>
      <c r="V161">
        <f t="shared" si="439"/>
        <v>3366963.5752405641</v>
      </c>
      <c r="W161">
        <f t="shared" si="439"/>
        <v>3742787.5791382836</v>
      </c>
      <c r="X161">
        <f t="shared" si="439"/>
        <v>4152141.4262575936</v>
      </c>
      <c r="Y161">
        <f t="shared" si="439"/>
        <v>4598016.5444338769</v>
      </c>
      <c r="Z161">
        <f t="shared" si="439"/>
        <v>5083671.2473461302</v>
      </c>
      <c r="AA161">
        <f t="shared" si="439"/>
        <v>5612654.5452379296</v>
      </c>
      <c r="AB161">
        <f>(AB160+6000)*1.00798-(0.000623*(AB160+6000))</f>
        <v>6193987.8228791021</v>
      </c>
      <c r="AC161">
        <f t="shared" si="403"/>
        <v>6839033.8949170616</v>
      </c>
      <c r="AD161">
        <f t="shared" si="404"/>
        <v>7543388.9545821389</v>
      </c>
      <c r="AE161">
        <f t="shared" si="405"/>
        <v>8312506.1875704238</v>
      </c>
      <c r="AI161">
        <f t="shared" si="396"/>
        <v>69245.666842606632</v>
      </c>
      <c r="AJ161">
        <f t="shared" si="406"/>
        <v>152021.67448873614</v>
      </c>
      <c r="AK161">
        <f t="shared" si="407"/>
        <v>243081.63487375504</v>
      </c>
      <c r="AL161">
        <f t="shared" si="408"/>
        <v>343254.5789564107</v>
      </c>
      <c r="AM161">
        <f t="shared" si="409"/>
        <v>453452.50440859172</v>
      </c>
      <c r="AN161">
        <f t="shared" si="410"/>
        <v>574678.67865324998</v>
      </c>
      <c r="AO161">
        <f t="shared" si="411"/>
        <v>708036.77284326567</v>
      </c>
      <c r="AP161">
        <f t="shared" si="412"/>
        <v>854740.90993910981</v>
      </c>
      <c r="AQ161">
        <f t="shared" si="413"/>
        <v>1016126.7183653342</v>
      </c>
      <c r="AR161">
        <f t="shared" si="414"/>
        <v>1193663.4918809319</v>
      </c>
      <c r="AS161">
        <f t="shared" si="415"/>
        <v>1388967.5663698434</v>
      </c>
      <c r="AT161">
        <f t="shared" si="416"/>
        <v>1603817.0353370102</v>
      </c>
      <c r="AU161">
        <f t="shared" si="417"/>
        <v>1840167.9380832522</v>
      </c>
      <c r="AV161">
        <f t="shared" si="418"/>
        <v>2100172.0679398654</v>
      </c>
      <c r="AW161">
        <f t="shared" si="419"/>
        <v>2386196.5626932262</v>
      </c>
      <c r="AX161">
        <f t="shared" si="420"/>
        <v>2700845.4555551661</v>
      </c>
      <c r="AY161">
        <f t="shared" si="421"/>
        <v>3046983.3828841359</v>
      </c>
      <c r="AZ161">
        <f t="shared" si="422"/>
        <v>3427761.6644977499</v>
      </c>
      <c r="BA161">
        <f t="shared" si="423"/>
        <v>3846646.9940178972</v>
      </c>
      <c r="BB161">
        <f t="shared" si="424"/>
        <v>4307453.000451983</v>
      </c>
      <c r="BC161">
        <f t="shared" si="425"/>
        <v>4814374.9683542196</v>
      </c>
      <c r="BD161">
        <f t="shared" si="426"/>
        <v>5372028.0326673798</v>
      </c>
      <c r="BE161">
        <f t="shared" si="427"/>
        <v>5985489.1959796557</v>
      </c>
      <c r="BF161">
        <f t="shared" si="428"/>
        <v>6660343.5507315127</v>
      </c>
      <c r="BG161">
        <f t="shared" si="429"/>
        <v>7402735.1271901429</v>
      </c>
      <c r="BH161">
        <f t="shared" si="430"/>
        <v>8219422.8301232951</v>
      </c>
      <c r="BI161">
        <f t="shared" si="431"/>
        <v>9117841.9734329022</v>
      </c>
      <c r="BJ161">
        <f t="shared" si="432"/>
        <v>10106171.972974025</v>
      </c>
    </row>
    <row r="162" spans="4:62" x14ac:dyDescent="0.3">
      <c r="D162">
        <f t="shared" si="394"/>
        <v>75125.510973093551</v>
      </c>
      <c r="E162">
        <f t="shared" si="398"/>
        <v>156344.26937979911</v>
      </c>
      <c r="F162">
        <f t="shared" si="399"/>
        <v>244150.48369612294</v>
      </c>
      <c r="G162">
        <f t="shared" si="437"/>
        <v>339843.2332622399</v>
      </c>
      <c r="H162">
        <f t="shared" si="437"/>
        <v>443556.70207139908</v>
      </c>
      <c r="I162">
        <f t="shared" si="438"/>
        <v>556640.27465850511</v>
      </c>
      <c r="J162">
        <f t="shared" si="433"/>
        <v>680140.32380334369</v>
      </c>
      <c r="K162">
        <f t="shared" si="434"/>
        <v>814327.26382177498</v>
      </c>
      <c r="L162">
        <f t="shared" si="435"/>
        <v>960125.86873077159</v>
      </c>
      <c r="M162">
        <f t="shared" si="436"/>
        <v>1120566.6218676136</v>
      </c>
      <c r="N162">
        <f t="shared" si="439"/>
        <v>1295974.1093137763</v>
      </c>
      <c r="O162">
        <f t="shared" si="439"/>
        <v>1487030.9046619528</v>
      </c>
      <c r="P162">
        <f t="shared" si="439"/>
        <v>1695133.1902609002</v>
      </c>
      <c r="Q162">
        <f t="shared" si="439"/>
        <v>1921801.7114856236</v>
      </c>
      <c r="R162">
        <f t="shared" si="439"/>
        <v>2168692.8898613346</v>
      </c>
      <c r="S162">
        <f t="shared" si="439"/>
        <v>2437610.9276656006</v>
      </c>
      <c r="T162">
        <f t="shared" si="439"/>
        <v>2730520.9924652716</v>
      </c>
      <c r="U162">
        <f t="shared" si="439"/>
        <v>3049563.5779365925</v>
      </c>
      <c r="V162">
        <f t="shared" si="439"/>
        <v>3397070.1459128088</v>
      </c>
      <c r="W162" s="3">
        <f t="shared" si="439"/>
        <v>3775580.1639663852</v>
      </c>
      <c r="X162">
        <f t="shared" si="439"/>
        <v>4187859.663031057</v>
      </c>
      <c r="Y162">
        <f t="shared" si="439"/>
        <v>4636921.450676946</v>
      </c>
      <c r="Z162">
        <f t="shared" si="439"/>
        <v>5126047.1277509136</v>
      </c>
      <c r="AA162">
        <f t="shared" si="439"/>
        <v>5658811.0692727454</v>
      </c>
      <c r="AB162" s="3">
        <f>(AB161+6000)*1.00798-(0.000623*(AB161+6000))</f>
        <v>6245601.133292024</v>
      </c>
      <c r="AC162">
        <f t="shared" si="403"/>
        <v>6895392.8092819676</v>
      </c>
      <c r="AD162">
        <f t="shared" si="404"/>
        <v>7604929.8091210006</v>
      </c>
      <c r="AE162">
        <f t="shared" si="405"/>
        <v>8379705.4375923797</v>
      </c>
      <c r="AI162">
        <f t="shared" si="396"/>
        <v>75846.127264010647</v>
      </c>
      <c r="AJ162">
        <f t="shared" si="406"/>
        <v>159282.68745115626</v>
      </c>
      <c r="AK162">
        <f t="shared" si="407"/>
        <v>251069.30632004765</v>
      </c>
      <c r="AL162">
        <f t="shared" si="408"/>
        <v>352041.63049648289</v>
      </c>
      <c r="AM162">
        <f t="shared" si="409"/>
        <v>463118.93539377232</v>
      </c>
      <c r="AN162">
        <f t="shared" si="410"/>
        <v>585312.49450890301</v>
      </c>
      <c r="AO162">
        <f t="shared" si="411"/>
        <v>719734.78629055503</v>
      </c>
      <c r="AP162">
        <f t="shared" si="412"/>
        <v>867609.62240042398</v>
      </c>
      <c r="AQ162">
        <f t="shared" si="413"/>
        <v>1030283.2895778897</v>
      </c>
      <c r="AR162">
        <f t="shared" si="414"/>
        <v>1209236.8065461419</v>
      </c>
      <c r="AS162">
        <f t="shared" si="415"/>
        <v>1406099.4075494749</v>
      </c>
      <c r="AT162">
        <f t="shared" si="416"/>
        <v>1622663.3752789996</v>
      </c>
      <c r="AU162">
        <f t="shared" si="417"/>
        <v>1860900.3582291568</v>
      </c>
      <c r="AV162">
        <f t="shared" si="418"/>
        <v>2122979.3210420259</v>
      </c>
      <c r="AW162">
        <f t="shared" si="419"/>
        <v>2411286.2912635184</v>
      </c>
      <c r="AX162">
        <f t="shared" si="420"/>
        <v>2728446.0822904967</v>
      </c>
      <c r="AY162">
        <f t="shared" si="421"/>
        <v>3077346.1902795518</v>
      </c>
      <c r="AZ162">
        <f t="shared" si="422"/>
        <v>3461163.0825804421</v>
      </c>
      <c r="BA162">
        <f t="shared" si="423"/>
        <v>3883391.1170301605</v>
      </c>
      <c r="BB162" s="3">
        <f t="shared" si="424"/>
        <v>4347874.35539559</v>
      </c>
      <c r="BC162">
        <f t="shared" si="425"/>
        <v>4858841.5606016871</v>
      </c>
      <c r="BD162">
        <f t="shared" si="426"/>
        <v>5420944.6963680657</v>
      </c>
      <c r="BE162">
        <f t="shared" si="427"/>
        <v>6039301.2797635738</v>
      </c>
      <c r="BF162">
        <f t="shared" si="428"/>
        <v>6719540.9722663509</v>
      </c>
      <c r="BG162" s="3">
        <f t="shared" si="429"/>
        <v>7467856.8335051211</v>
      </c>
      <c r="BH162">
        <f t="shared" si="430"/>
        <v>8291061.70430768</v>
      </c>
      <c r="BI162">
        <f t="shared" si="431"/>
        <v>9196650.2323808968</v>
      </c>
      <c r="BJ162">
        <f t="shared" si="432"/>
        <v>10192867.105318358</v>
      </c>
    </row>
    <row r="168" spans="4:62" x14ac:dyDescent="0.3">
      <c r="AE168" t="s">
        <v>93</v>
      </c>
      <c r="AM168" t="s">
        <v>94</v>
      </c>
    </row>
    <row r="170" spans="4:62" x14ac:dyDescent="0.3">
      <c r="AD170" s="4">
        <v>0</v>
      </c>
      <c r="AE170" s="4">
        <v>0.04</v>
      </c>
      <c r="AF170" s="4">
        <v>0.05</v>
      </c>
      <c r="AG170" s="4">
        <v>0.06</v>
      </c>
      <c r="AH170" s="4">
        <v>0.1</v>
      </c>
      <c r="AL170" s="4">
        <v>0</v>
      </c>
      <c r="AM170" s="4">
        <v>0.04</v>
      </c>
      <c r="AN170" s="4">
        <v>0.05</v>
      </c>
      <c r="AO170" s="4">
        <v>0.06</v>
      </c>
      <c r="AP170" s="4">
        <v>7.0000000000000007E-2</v>
      </c>
      <c r="AQ170" s="4">
        <v>0.08</v>
      </c>
      <c r="AR170" s="4">
        <v>0.09</v>
      </c>
      <c r="AS170" s="4">
        <v>0.1</v>
      </c>
    </row>
    <row r="171" spans="4:62" x14ac:dyDescent="0.3">
      <c r="AB171" t="s">
        <v>71</v>
      </c>
      <c r="AC171" t="s">
        <v>91</v>
      </c>
      <c r="AJ171" t="s">
        <v>71</v>
      </c>
      <c r="AK171" t="s">
        <v>91</v>
      </c>
    </row>
    <row r="172" spans="4:62" x14ac:dyDescent="0.3">
      <c r="AB172" t="s">
        <v>71</v>
      </c>
      <c r="AC172" t="s">
        <v>92</v>
      </c>
      <c r="AJ172" t="s">
        <v>71</v>
      </c>
      <c r="AK172" t="s">
        <v>92</v>
      </c>
    </row>
    <row r="173" spans="4:62" x14ac:dyDescent="0.3">
      <c r="AB173" t="s">
        <v>72</v>
      </c>
      <c r="AC173" t="s">
        <v>91</v>
      </c>
      <c r="AJ173" t="s">
        <v>72</v>
      </c>
      <c r="AK173" t="s">
        <v>91</v>
      </c>
    </row>
    <row r="174" spans="4:62" x14ac:dyDescent="0.3">
      <c r="AB174" t="s">
        <v>72</v>
      </c>
      <c r="AC174" t="s">
        <v>92</v>
      </c>
      <c r="AJ174" t="s">
        <v>72</v>
      </c>
      <c r="AK174" t="s">
        <v>92</v>
      </c>
    </row>
    <row r="175" spans="4:62" x14ac:dyDescent="0.3">
      <c r="AB175" t="s">
        <v>73</v>
      </c>
      <c r="AC175" t="s">
        <v>91</v>
      </c>
      <c r="AD175">
        <f>W26</f>
        <v>1281655.6975225522</v>
      </c>
      <c r="AE175">
        <f>W48</f>
        <v>1932387.8885227134</v>
      </c>
      <c r="AF175">
        <f>W67</f>
        <v>2149269.5388117731</v>
      </c>
      <c r="AG175">
        <f>W86</f>
        <v>2399295.4712530226</v>
      </c>
      <c r="AH175">
        <f>W162</f>
        <v>3775580.1639663852</v>
      </c>
      <c r="AJ175" t="s">
        <v>73</v>
      </c>
      <c r="AK175" t="s">
        <v>91</v>
      </c>
      <c r="AL175">
        <f>AB26</f>
        <v>1570149.3074397088</v>
      </c>
      <c r="AM175">
        <f>AB48</f>
        <v>2625793.221490168</v>
      </c>
      <c r="AN175">
        <f>AB67</f>
        <v>3007090.9069445916</v>
      </c>
      <c r="AO175">
        <f>AB86</f>
        <v>3463452.2462790464</v>
      </c>
      <c r="AP175">
        <f>AB105</f>
        <v>3998242.6983263497</v>
      </c>
      <c r="AQ175">
        <f>AB124</f>
        <v>4626513.7663861187</v>
      </c>
      <c r="AR175">
        <f>AB143</f>
        <v>5363008.1929645846</v>
      </c>
      <c r="AS175">
        <f>AB162</f>
        <v>6245601.133292024</v>
      </c>
    </row>
    <row r="176" spans="4:62" x14ac:dyDescent="0.3">
      <c r="AB176" t="s">
        <v>73</v>
      </c>
      <c r="AC176" t="s">
        <v>92</v>
      </c>
      <c r="AD176">
        <f>BB26</f>
        <v>1440000</v>
      </c>
      <c r="AE176">
        <f>BB48</f>
        <v>2192057.1245114845</v>
      </c>
      <c r="AF176">
        <f>BB67</f>
        <v>2443344.3771230225</v>
      </c>
      <c r="AG176">
        <f>BB86</f>
        <v>2734829.7367856223</v>
      </c>
      <c r="AH176">
        <f>BB162</f>
        <v>4347874.35539559</v>
      </c>
      <c r="AJ176" t="s">
        <v>73</v>
      </c>
      <c r="AK176" t="s">
        <v>92</v>
      </c>
      <c r="AL176">
        <f>BG26</f>
        <v>1800000</v>
      </c>
      <c r="AM176">
        <f>BG48</f>
        <v>3066423.6476548612</v>
      </c>
      <c r="AN176">
        <f>BG67</f>
        <v>3526113.9293529955</v>
      </c>
      <c r="AO176">
        <f>BG86</f>
        <v>4079331.1102407901</v>
      </c>
      <c r="AP176">
        <f>BG105</f>
        <v>4730070.2337905085</v>
      </c>
      <c r="AQ176">
        <f>BG124</f>
        <v>5495418.3779322654</v>
      </c>
      <c r="AR176">
        <f>BG143</f>
        <v>6395259.5454237191</v>
      </c>
      <c r="AS176">
        <f>BG162</f>
        <v>7467856.8335051211</v>
      </c>
    </row>
    <row r="177" spans="28:37" x14ac:dyDescent="0.3">
      <c r="AB177" t="s">
        <v>74</v>
      </c>
      <c r="AC177" t="s">
        <v>91</v>
      </c>
      <c r="AJ177" t="s">
        <v>74</v>
      </c>
      <c r="AK177" t="s">
        <v>91</v>
      </c>
    </row>
    <row r="178" spans="28:37" x14ac:dyDescent="0.3">
      <c r="AB178" t="s">
        <v>74</v>
      </c>
      <c r="AC178" t="s">
        <v>92</v>
      </c>
      <c r="AJ178" t="s">
        <v>74</v>
      </c>
      <c r="AK178" t="s">
        <v>92</v>
      </c>
    </row>
    <row r="179" spans="28:37" x14ac:dyDescent="0.3">
      <c r="AB179" t="s">
        <v>75</v>
      </c>
      <c r="AC179" t="s">
        <v>91</v>
      </c>
      <c r="AJ179" t="s">
        <v>75</v>
      </c>
      <c r="AK179" t="s">
        <v>91</v>
      </c>
    </row>
    <row r="180" spans="28:37" x14ac:dyDescent="0.3">
      <c r="AB180" t="s">
        <v>75</v>
      </c>
      <c r="AC180" t="s">
        <v>92</v>
      </c>
      <c r="AJ180" t="s">
        <v>75</v>
      </c>
      <c r="AK180"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824C-246E-4893-AF46-5BB37319E455}">
  <dimension ref="A1:BJ170"/>
  <sheetViews>
    <sheetView topLeftCell="A89" workbookViewId="0">
      <selection activeCell="A89" sqref="A89"/>
    </sheetView>
  </sheetViews>
  <sheetFormatPr defaultRowHeight="14.4" x14ac:dyDescent="0.3"/>
  <cols>
    <col min="1" max="1" width="22.6640625" bestFit="1" customWidth="1"/>
    <col min="28" max="28" width="12.44140625" bestFit="1" customWidth="1"/>
    <col min="59" max="59" width="12.44140625" bestFit="1" customWidth="1"/>
  </cols>
  <sheetData>
    <row r="1" spans="1:62" x14ac:dyDescent="0.3">
      <c r="A1" t="s">
        <v>0</v>
      </c>
    </row>
    <row r="3" spans="1:62" x14ac:dyDescent="0.3">
      <c r="A3" t="s">
        <v>1</v>
      </c>
      <c r="B3" s="1">
        <v>1.7500000000000002E-2</v>
      </c>
    </row>
    <row r="4" spans="1:62" x14ac:dyDescent="0.3">
      <c r="A4" t="s">
        <v>5</v>
      </c>
      <c r="B4" s="1">
        <v>1.4999999999999999E-2</v>
      </c>
      <c r="D4" t="s">
        <v>10</v>
      </c>
    </row>
    <row r="5" spans="1:62" x14ac:dyDescent="0.3">
      <c r="A5" t="s">
        <v>6</v>
      </c>
      <c r="B5" s="1">
        <v>1.2500000000000001E-2</v>
      </c>
      <c r="D5" t="s">
        <v>11</v>
      </c>
    </row>
    <row r="6" spans="1:62" x14ac:dyDescent="0.3">
      <c r="A6" t="s">
        <v>2</v>
      </c>
      <c r="B6" s="1">
        <v>0.01</v>
      </c>
      <c r="D6" t="s">
        <v>12</v>
      </c>
    </row>
    <row r="7" spans="1:62" x14ac:dyDescent="0.3">
      <c r="A7" t="s">
        <v>3</v>
      </c>
      <c r="B7" s="1">
        <v>0.01</v>
      </c>
      <c r="D7" t="s">
        <v>13</v>
      </c>
    </row>
    <row r="8" spans="1:62" x14ac:dyDescent="0.3">
      <c r="A8" t="s">
        <v>4</v>
      </c>
      <c r="B8" s="1">
        <v>7.4999999999999997E-3</v>
      </c>
    </row>
    <row r="10" spans="1:62" x14ac:dyDescent="0.3">
      <c r="D10" t="s">
        <v>7</v>
      </c>
      <c r="AI10" t="s">
        <v>7</v>
      </c>
      <c r="AJ10" t="s">
        <v>66</v>
      </c>
    </row>
    <row r="11" spans="1:62" x14ac:dyDescent="0.3">
      <c r="D11" t="s">
        <v>48</v>
      </c>
      <c r="AI11" t="s">
        <v>48</v>
      </c>
    </row>
    <row r="12" spans="1:62" x14ac:dyDescent="0.3">
      <c r="D12" t="s">
        <v>82</v>
      </c>
      <c r="AI12" t="s">
        <v>70</v>
      </c>
    </row>
    <row r="13" spans="1:62" x14ac:dyDescent="0.3">
      <c r="D13" t="s">
        <v>15</v>
      </c>
      <c r="E13" t="s">
        <v>16</v>
      </c>
      <c r="F13" t="s">
        <v>17</v>
      </c>
      <c r="G13" t="s">
        <v>18</v>
      </c>
      <c r="H13" t="s">
        <v>19</v>
      </c>
      <c r="I13" t="s">
        <v>20</v>
      </c>
      <c r="J13" t="s">
        <v>21</v>
      </c>
      <c r="K13" t="s">
        <v>22</v>
      </c>
      <c r="L13" t="s">
        <v>23</v>
      </c>
      <c r="M13" t="s">
        <v>24</v>
      </c>
      <c r="N13" t="s">
        <v>25</v>
      </c>
      <c r="O13" t="s">
        <v>26</v>
      </c>
      <c r="P13" t="s">
        <v>27</v>
      </c>
      <c r="Q13" t="s">
        <v>28</v>
      </c>
      <c r="R13" t="s">
        <v>29</v>
      </c>
      <c r="S13" t="s">
        <v>30</v>
      </c>
      <c r="T13" t="s">
        <v>31</v>
      </c>
      <c r="U13" t="s">
        <v>32</v>
      </c>
      <c r="V13" t="s">
        <v>33</v>
      </c>
      <c r="W13" t="s">
        <v>34</v>
      </c>
      <c r="X13" t="s">
        <v>35</v>
      </c>
      <c r="Y13" t="s">
        <v>36</v>
      </c>
      <c r="Z13" t="s">
        <v>37</v>
      </c>
      <c r="AA13" t="s">
        <v>38</v>
      </c>
      <c r="AB13" t="s">
        <v>39</v>
      </c>
      <c r="AC13" t="s">
        <v>67</v>
      </c>
      <c r="AD13" t="s">
        <v>68</v>
      </c>
      <c r="AE13" t="s">
        <v>69</v>
      </c>
      <c r="AI13" t="s">
        <v>15</v>
      </c>
      <c r="AJ13" t="s">
        <v>16</v>
      </c>
      <c r="AK13" t="s">
        <v>17</v>
      </c>
      <c r="AL13" t="s">
        <v>18</v>
      </c>
      <c r="AM13" t="s">
        <v>19</v>
      </c>
      <c r="AN13" t="s">
        <v>20</v>
      </c>
      <c r="AO13" t="s">
        <v>21</v>
      </c>
      <c r="AP13" t="s">
        <v>22</v>
      </c>
      <c r="AQ13" t="s">
        <v>23</v>
      </c>
      <c r="AR13" t="s">
        <v>24</v>
      </c>
      <c r="AS13" t="s">
        <v>25</v>
      </c>
      <c r="AT13" t="s">
        <v>26</v>
      </c>
      <c r="AU13" t="s">
        <v>27</v>
      </c>
      <c r="AV13" t="s">
        <v>28</v>
      </c>
      <c r="AW13" t="s">
        <v>29</v>
      </c>
      <c r="AX13" t="s">
        <v>30</v>
      </c>
      <c r="AY13" t="s">
        <v>31</v>
      </c>
      <c r="AZ13" t="s">
        <v>32</v>
      </c>
      <c r="BA13" t="s">
        <v>33</v>
      </c>
      <c r="BB13" t="s">
        <v>34</v>
      </c>
      <c r="BC13" t="s">
        <v>35</v>
      </c>
      <c r="BD13" t="s">
        <v>36</v>
      </c>
      <c r="BE13" t="s">
        <v>37</v>
      </c>
      <c r="BF13" t="s">
        <v>38</v>
      </c>
      <c r="BG13" t="s">
        <v>39</v>
      </c>
      <c r="BH13" t="s">
        <v>67</v>
      </c>
      <c r="BI13" t="s">
        <v>68</v>
      </c>
      <c r="BJ13" t="s">
        <v>69</v>
      </c>
    </row>
    <row r="14" spans="1:62" x14ac:dyDescent="0.3">
      <c r="D14">
        <v>0</v>
      </c>
      <c r="AI14">
        <v>0</v>
      </c>
    </row>
    <row r="15" spans="1:62" x14ac:dyDescent="0.3">
      <c r="C15" t="s">
        <v>40</v>
      </c>
      <c r="D15">
        <f t="shared" ref="D15:D26" si="0">(D14+7000)-(0.00146*(D14+7000))</f>
        <v>6989.78</v>
      </c>
      <c r="E15">
        <f>(D26+7000)-(0.00146*(D26+7000))</f>
        <v>90075.389573599503</v>
      </c>
      <c r="F15">
        <f>(E26+7000)-(0.00146*(E26+7000))</f>
        <v>171716.9715165215</v>
      </c>
      <c r="G15">
        <f>(F26+7000)-(0.00146*(F26+7000))</f>
        <v>251939.62302440393</v>
      </c>
      <c r="H15">
        <f>(G26+7000)-(0.00146*(G26+7000))</f>
        <v>330768.00510370411</v>
      </c>
      <c r="I15">
        <f>(H26+7000)-(0.00125*(H26+7000))</f>
        <v>409019.7110060766</v>
      </c>
      <c r="J15">
        <f>(I26+7000)-(0.00125*(I26+7000))</f>
        <v>486247.0386129049</v>
      </c>
      <c r="K15">
        <f>(J26+7000)-(0.00125*(J26+7000))</f>
        <v>562323.88728331553</v>
      </c>
      <c r="L15">
        <f>(K26+7000)-(0.00125*(K26+7000))</f>
        <v>637267.3960511731</v>
      </c>
      <c r="M15">
        <f t="shared" ref="M15:V15" si="1">(L26+7000)-(0.00104*(L26+7000))</f>
        <v>711392.04321392544</v>
      </c>
      <c r="N15">
        <f t="shared" si="1"/>
        <v>785998.79776925826</v>
      </c>
      <c r="O15">
        <f t="shared" si="1"/>
        <v>859679.76745587063</v>
      </c>
      <c r="P15">
        <f t="shared" si="1"/>
        <v>932446.44020978443</v>
      </c>
      <c r="Q15">
        <f t="shared" si="1"/>
        <v>1004310.1614148172</v>
      </c>
      <c r="R15">
        <f t="shared" si="1"/>
        <v>1075282.1356714924</v>
      </c>
      <c r="S15">
        <f t="shared" si="1"/>
        <v>1145373.428544</v>
      </c>
      <c r="T15">
        <f t="shared" si="1"/>
        <v>1214594.9682854787</v>
      </c>
      <c r="U15">
        <f t="shared" si="1"/>
        <v>1282957.5475418891</v>
      </c>
      <c r="V15">
        <f t="shared" si="1"/>
        <v>1350471.825034746</v>
      </c>
      <c r="W15">
        <f t="shared" ref="W15:AE15" si="2">(V26+7000)-(0.000833*(V26+7000))</f>
        <v>1418314.6206183762</v>
      </c>
      <c r="X15">
        <f t="shared" si="2"/>
        <v>1487748.490021877</v>
      </c>
      <c r="Y15">
        <f t="shared" si="2"/>
        <v>1556491.4694942723</v>
      </c>
      <c r="Z15">
        <f t="shared" si="2"/>
        <v>1624550.4336185423</v>
      </c>
      <c r="AA15">
        <f t="shared" si="2"/>
        <v>1691932.1885732971</v>
      </c>
      <c r="AB15">
        <f t="shared" si="2"/>
        <v>1758643.4728134221</v>
      </c>
      <c r="AC15">
        <f t="shared" si="2"/>
        <v>1824690.9577439509</v>
      </c>
      <c r="AD15">
        <f t="shared" si="2"/>
        <v>1890081.2483872336</v>
      </c>
      <c r="AE15">
        <f t="shared" si="2"/>
        <v>1954820.8840434665</v>
      </c>
      <c r="AH15" t="s">
        <v>40</v>
      </c>
      <c r="AI15">
        <f t="shared" ref="AI15:AI26" si="3">(AI14+7000)-0</f>
        <v>7000</v>
      </c>
      <c r="AJ15">
        <f t="shared" ref="AJ15:BJ15" si="4">(AI26+7000)-0</f>
        <v>91000</v>
      </c>
      <c r="AK15">
        <f t="shared" si="4"/>
        <v>175000</v>
      </c>
      <c r="AL15">
        <f t="shared" si="4"/>
        <v>259000</v>
      </c>
      <c r="AM15">
        <f t="shared" si="4"/>
        <v>343000</v>
      </c>
      <c r="AN15">
        <f t="shared" si="4"/>
        <v>427000</v>
      </c>
      <c r="AO15">
        <f t="shared" si="4"/>
        <v>511000</v>
      </c>
      <c r="AP15">
        <f t="shared" si="4"/>
        <v>595000</v>
      </c>
      <c r="AQ15">
        <f t="shared" si="4"/>
        <v>679000</v>
      </c>
      <c r="AR15">
        <f t="shared" si="4"/>
        <v>763000</v>
      </c>
      <c r="AS15">
        <f t="shared" si="4"/>
        <v>847000</v>
      </c>
      <c r="AT15">
        <f t="shared" si="4"/>
        <v>931000</v>
      </c>
      <c r="AU15">
        <f t="shared" si="4"/>
        <v>1015000</v>
      </c>
      <c r="AV15">
        <f t="shared" si="4"/>
        <v>1099000</v>
      </c>
      <c r="AW15">
        <f t="shared" si="4"/>
        <v>1183000</v>
      </c>
      <c r="AX15">
        <f t="shared" si="4"/>
        <v>1267000</v>
      </c>
      <c r="AY15">
        <f t="shared" si="4"/>
        <v>1351000</v>
      </c>
      <c r="AZ15">
        <f t="shared" si="4"/>
        <v>1435000</v>
      </c>
      <c r="BA15">
        <f t="shared" si="4"/>
        <v>1519000</v>
      </c>
      <c r="BB15">
        <f t="shared" si="4"/>
        <v>1603000</v>
      </c>
      <c r="BC15">
        <f t="shared" si="4"/>
        <v>1687000</v>
      </c>
      <c r="BD15">
        <f t="shared" si="4"/>
        <v>1771000</v>
      </c>
      <c r="BE15">
        <f t="shared" si="4"/>
        <v>1855000</v>
      </c>
      <c r="BF15">
        <f t="shared" si="4"/>
        <v>1939000</v>
      </c>
      <c r="BG15">
        <f t="shared" si="4"/>
        <v>2023000</v>
      </c>
      <c r="BH15">
        <f t="shared" si="4"/>
        <v>2107000</v>
      </c>
      <c r="BI15">
        <f t="shared" si="4"/>
        <v>2191000</v>
      </c>
      <c r="BJ15">
        <f t="shared" si="4"/>
        <v>2275000</v>
      </c>
    </row>
    <row r="16" spans="1:62" x14ac:dyDescent="0.3">
      <c r="A16">
        <f>0.0175/12</f>
        <v>1.4583333333333334E-3</v>
      </c>
      <c r="B16">
        <v>1.75</v>
      </c>
      <c r="C16" t="s">
        <v>41</v>
      </c>
      <c r="D16">
        <f t="shared" si="0"/>
        <v>13969.354921199998</v>
      </c>
      <c r="E16">
        <f t="shared" ref="E16:H17" si="5">(E15+7000)-(0.00146*(E15+7000))</f>
        <v>96933.659504822048</v>
      </c>
      <c r="F16">
        <f t="shared" si="5"/>
        <v>178456.04473810739</v>
      </c>
      <c r="G16">
        <f t="shared" si="5"/>
        <v>258561.57117478829</v>
      </c>
      <c r="H16">
        <f t="shared" si="5"/>
        <v>337274.86381625268</v>
      </c>
      <c r="I16">
        <f t="shared" ref="I16:I25" si="6">(I15+7000)-(0.00125*(I15+7000))</f>
        <v>415499.68636731902</v>
      </c>
      <c r="J16">
        <f t="shared" ref="J16:J25" si="7">(J15+7000)-(0.00125*(J15+7000))</f>
        <v>492630.47981463879</v>
      </c>
      <c r="K16">
        <f t="shared" ref="K16:K25" si="8">(K15+7000)-(0.00125*(K15+7000))</f>
        <v>568612.23242421134</v>
      </c>
      <c r="L16">
        <f t="shared" ref="L16:L25" si="9">(L15+7000)-(0.00125*(L15+7000))</f>
        <v>643462.06180610915</v>
      </c>
      <c r="M16">
        <f t="shared" ref="M16:V23" si="10">(M15+7000)-(0.00104*(M15+7000))</f>
        <v>717644.91548898292</v>
      </c>
      <c r="N16">
        <f t="shared" si="10"/>
        <v>792174.07901957829</v>
      </c>
      <c r="O16">
        <f t="shared" si="10"/>
        <v>865778.42049771652</v>
      </c>
      <c r="P16">
        <f t="shared" si="10"/>
        <v>938469.41591196624</v>
      </c>
      <c r="Q16">
        <f t="shared" si="10"/>
        <v>1010258.3988469458</v>
      </c>
      <c r="R16">
        <f t="shared" si="10"/>
        <v>1081156.5622503941</v>
      </c>
      <c r="S16">
        <f t="shared" si="10"/>
        <v>1151174.9601783142</v>
      </c>
      <c r="T16">
        <f t="shared" si="10"/>
        <v>1220324.5095184618</v>
      </c>
      <c r="U16">
        <f t="shared" si="10"/>
        <v>1288615.9916924455</v>
      </c>
      <c r="V16">
        <f t="shared" si="10"/>
        <v>1356060.0543367099</v>
      </c>
      <c r="W16">
        <f t="shared" ref="W16:W26" si="11">(W15+7000)-(0.000833*(W15+7000))</f>
        <v>1424127.3335394012</v>
      </c>
      <c r="X16">
        <f t="shared" ref="X16:X26" si="12">(X15+7000)-(0.000833*(X15+7000))</f>
        <v>1493503.3645296888</v>
      </c>
      <c r="Y16">
        <f t="shared" ref="Y16:Y26" si="13">(Y15+7000)-(0.000833*(Y15+7000))</f>
        <v>1562189.0811001835</v>
      </c>
      <c r="Z16">
        <f t="shared" ref="Z16:Z26" si="14">(Z15+7000)-(0.000833*(Z15+7000))</f>
        <v>1630191.3521073381</v>
      </c>
      <c r="AA16">
        <f t="shared" ref="AA16:AA26" si="15">(AA15+7000)-(0.000833*(AA15+7000))</f>
        <v>1697516.9780602155</v>
      </c>
      <c r="AB16">
        <f t="shared" ref="AB16:AB26" si="16">(AB15+7000)-(0.000833*(AB15+7000))</f>
        <v>1764172.6918005685</v>
      </c>
      <c r="AC16">
        <f t="shared" ref="AC16:AC26" si="17">(AC15+7000)-(0.000833*(AC15+7000))</f>
        <v>1830165.1591761501</v>
      </c>
      <c r="AD16">
        <f t="shared" ref="AD16:AD26" si="18">(AD15+7000)-(0.000833*(AD15+7000))</f>
        <v>1895500.979707327</v>
      </c>
      <c r="AE16">
        <f t="shared" ref="AE16:AE26" si="19">(AE15+7000)-(0.000833*(AE15+7000))</f>
        <v>1960186.6872470584</v>
      </c>
      <c r="AH16" t="s">
        <v>41</v>
      </c>
      <c r="AI16">
        <f t="shared" si="3"/>
        <v>14000</v>
      </c>
      <c r="AJ16">
        <f t="shared" ref="AJ16:AJ26" si="20">(AJ15+7000)-0</f>
        <v>98000</v>
      </c>
      <c r="AK16">
        <f t="shared" ref="AK16:AK26" si="21">(AK15+7000)-0</f>
        <v>182000</v>
      </c>
      <c r="AL16">
        <f t="shared" ref="AL16:AL26" si="22">(AL15+7000)-0</f>
        <v>266000</v>
      </c>
      <c r="AM16">
        <f t="shared" ref="AM16:AM26" si="23">(AM15+7000)-0</f>
        <v>350000</v>
      </c>
      <c r="AN16">
        <f t="shared" ref="AN16:AN26" si="24">(AN15+7000)-0</f>
        <v>434000</v>
      </c>
      <c r="AO16">
        <f t="shared" ref="AO16:AO26" si="25">(AO15+7000)-0</f>
        <v>518000</v>
      </c>
      <c r="AP16">
        <f t="shared" ref="AP16:AP26" si="26">(AP15+7000)-0</f>
        <v>602000</v>
      </c>
      <c r="AQ16">
        <f t="shared" ref="AQ16:AQ26" si="27">(AQ15+7000)-0</f>
        <v>686000</v>
      </c>
      <c r="AR16">
        <f t="shared" ref="AR16:AR26" si="28">(AR15+7000)-0</f>
        <v>770000</v>
      </c>
      <c r="AS16">
        <f t="shared" ref="AS16:AS26" si="29">(AS15+7000)-0</f>
        <v>854000</v>
      </c>
      <c r="AT16">
        <f t="shared" ref="AT16:AT26" si="30">(AT15+7000)-0</f>
        <v>938000</v>
      </c>
      <c r="AU16">
        <f t="shared" ref="AU16:AU26" si="31">(AU15+7000)-0</f>
        <v>1022000</v>
      </c>
      <c r="AV16">
        <f t="shared" ref="AV16:AV26" si="32">(AV15+7000)-0</f>
        <v>1106000</v>
      </c>
      <c r="AW16">
        <f t="shared" ref="AW16:AW26" si="33">(AW15+7000)-0</f>
        <v>1190000</v>
      </c>
      <c r="AX16">
        <f t="shared" ref="AX16:AX26" si="34">(AX15+7000)-0</f>
        <v>1274000</v>
      </c>
      <c r="AY16">
        <f t="shared" ref="AY16:AY26" si="35">(AY15+7000)-0</f>
        <v>1358000</v>
      </c>
      <c r="AZ16">
        <f t="shared" ref="AZ16:AZ26" si="36">(AZ15+7000)-0</f>
        <v>1442000</v>
      </c>
      <c r="BA16">
        <f t="shared" ref="BA16:BA26" si="37">(BA15+7000)-0</f>
        <v>1526000</v>
      </c>
      <c r="BB16">
        <f t="shared" ref="BB16:BB26" si="38">(BB15+7000)-0</f>
        <v>1610000</v>
      </c>
      <c r="BC16">
        <f t="shared" ref="BC16:BC26" si="39">(BC15+7000)-0</f>
        <v>1694000</v>
      </c>
      <c r="BD16">
        <f t="shared" ref="BD16:BD26" si="40">(BD15+7000)-0</f>
        <v>1778000</v>
      </c>
      <c r="BE16">
        <f t="shared" ref="BE16:BE26" si="41">(BE15+7000)-0</f>
        <v>1862000</v>
      </c>
      <c r="BF16">
        <f t="shared" ref="BF16:BF26" si="42">(BF15+7000)-0</f>
        <v>1946000</v>
      </c>
      <c r="BG16">
        <f t="shared" ref="BG16:BG26" si="43">(BG15+7000)-0</f>
        <v>2030000</v>
      </c>
      <c r="BH16">
        <f t="shared" ref="BH16:BH26" si="44">(BH15+7000)-0</f>
        <v>2114000</v>
      </c>
      <c r="BI16">
        <f t="shared" ref="BI16:BI26" si="45">(BI15+7000)-0</f>
        <v>2198000</v>
      </c>
      <c r="BJ16">
        <f t="shared" ref="BJ16:BJ26" si="46">(BJ15+7000)-0</f>
        <v>2282000</v>
      </c>
    </row>
    <row r="17" spans="1:62" x14ac:dyDescent="0.3">
      <c r="A17">
        <f>0.015/12</f>
        <v>1.25E-3</v>
      </c>
      <c r="B17">
        <v>1.5</v>
      </c>
      <c r="C17" t="s">
        <v>42</v>
      </c>
      <c r="D17">
        <f t="shared" si="0"/>
        <v>20938.739663015047</v>
      </c>
      <c r="E17">
        <f t="shared" si="5"/>
        <v>103781.91636194501</v>
      </c>
      <c r="F17">
        <f t="shared" si="5"/>
        <v>185185.27891278974</v>
      </c>
      <c r="G17">
        <f t="shared" si="5"/>
        <v>265173.85128087312</v>
      </c>
      <c r="H17">
        <f t="shared" si="5"/>
        <v>343772.22251508094</v>
      </c>
      <c r="I17">
        <f t="shared" si="6"/>
        <v>421971.5617593599</v>
      </c>
      <c r="J17">
        <f t="shared" si="7"/>
        <v>499005.94171487051</v>
      </c>
      <c r="K17">
        <f t="shared" si="8"/>
        <v>574892.71713368106</v>
      </c>
      <c r="L17">
        <f t="shared" si="9"/>
        <v>649648.98422885151</v>
      </c>
      <c r="M17">
        <f t="shared" si="10"/>
        <v>723891.28477687435</v>
      </c>
      <c r="N17">
        <f t="shared" si="10"/>
        <v>798342.93797739793</v>
      </c>
      <c r="O17">
        <f t="shared" si="10"/>
        <v>871870.73094039888</v>
      </c>
      <c r="P17">
        <f t="shared" si="10"/>
        <v>944486.1277194178</v>
      </c>
      <c r="Q17">
        <f t="shared" si="10"/>
        <v>1016200.450112145</v>
      </c>
      <c r="R17">
        <f t="shared" si="10"/>
        <v>1087024.8794256537</v>
      </c>
      <c r="S17">
        <f t="shared" si="10"/>
        <v>1156970.4582197289</v>
      </c>
      <c r="T17">
        <f t="shared" si="10"/>
        <v>1226048.0920285627</v>
      </c>
      <c r="U17">
        <f t="shared" si="10"/>
        <v>1294268.5510610854</v>
      </c>
      <c r="V17">
        <f t="shared" si="10"/>
        <v>1361642.4718801996</v>
      </c>
      <c r="W17">
        <f t="shared" si="11"/>
        <v>1429935.2044705627</v>
      </c>
      <c r="X17">
        <f t="shared" si="12"/>
        <v>1499253.4452270356</v>
      </c>
      <c r="Y17">
        <f t="shared" si="13"/>
        <v>1567881.9465956271</v>
      </c>
      <c r="Z17">
        <f t="shared" si="14"/>
        <v>1635827.5717110327</v>
      </c>
      <c r="AA17">
        <f t="shared" si="15"/>
        <v>1703097.1154174914</v>
      </c>
      <c r="AB17">
        <f t="shared" si="16"/>
        <v>1769697.3049482987</v>
      </c>
      <c r="AC17">
        <f t="shared" si="17"/>
        <v>1835634.8005985564</v>
      </c>
      <c r="AD17">
        <f t="shared" si="18"/>
        <v>1900916.1963912307</v>
      </c>
      <c r="AE17">
        <f t="shared" si="19"/>
        <v>1965548.0207365816</v>
      </c>
      <c r="AH17" t="s">
        <v>42</v>
      </c>
      <c r="AI17">
        <f t="shared" si="3"/>
        <v>21000</v>
      </c>
      <c r="AJ17">
        <f t="shared" si="20"/>
        <v>105000</v>
      </c>
      <c r="AK17">
        <f t="shared" si="21"/>
        <v>189000</v>
      </c>
      <c r="AL17">
        <f t="shared" si="22"/>
        <v>273000</v>
      </c>
      <c r="AM17">
        <f t="shared" si="23"/>
        <v>357000</v>
      </c>
      <c r="AN17">
        <f t="shared" si="24"/>
        <v>441000</v>
      </c>
      <c r="AO17">
        <f t="shared" si="25"/>
        <v>525000</v>
      </c>
      <c r="AP17">
        <f t="shared" si="26"/>
        <v>609000</v>
      </c>
      <c r="AQ17">
        <f t="shared" si="27"/>
        <v>693000</v>
      </c>
      <c r="AR17">
        <f t="shared" si="28"/>
        <v>777000</v>
      </c>
      <c r="AS17">
        <f t="shared" si="29"/>
        <v>861000</v>
      </c>
      <c r="AT17">
        <f t="shared" si="30"/>
        <v>945000</v>
      </c>
      <c r="AU17">
        <f t="shared" si="31"/>
        <v>1029000</v>
      </c>
      <c r="AV17">
        <f t="shared" si="32"/>
        <v>1113000</v>
      </c>
      <c r="AW17">
        <f t="shared" si="33"/>
        <v>1197000</v>
      </c>
      <c r="AX17">
        <f t="shared" si="34"/>
        <v>1281000</v>
      </c>
      <c r="AY17">
        <f t="shared" si="35"/>
        <v>1365000</v>
      </c>
      <c r="AZ17">
        <f t="shared" si="36"/>
        <v>1449000</v>
      </c>
      <c r="BA17">
        <f t="shared" si="37"/>
        <v>1533000</v>
      </c>
      <c r="BB17">
        <f t="shared" si="38"/>
        <v>1617000</v>
      </c>
      <c r="BC17">
        <f t="shared" si="39"/>
        <v>1701000</v>
      </c>
      <c r="BD17">
        <f t="shared" si="40"/>
        <v>1785000</v>
      </c>
      <c r="BE17">
        <f t="shared" si="41"/>
        <v>1869000</v>
      </c>
      <c r="BF17">
        <f t="shared" si="42"/>
        <v>1953000</v>
      </c>
      <c r="BG17">
        <f t="shared" si="43"/>
        <v>2037000</v>
      </c>
      <c r="BH17">
        <f t="shared" si="44"/>
        <v>2121000</v>
      </c>
      <c r="BI17">
        <f t="shared" si="45"/>
        <v>2205000</v>
      </c>
      <c r="BJ17">
        <f t="shared" si="46"/>
        <v>2289000</v>
      </c>
    </row>
    <row r="18" spans="1:62" x14ac:dyDescent="0.3">
      <c r="A18">
        <f>0.0125/12</f>
        <v>1.0416666666666667E-3</v>
      </c>
      <c r="B18">
        <v>1.25</v>
      </c>
      <c r="C18" t="s">
        <v>43</v>
      </c>
      <c r="D18">
        <f t="shared" si="0"/>
        <v>27897.949103107047</v>
      </c>
      <c r="E18">
        <f t="shared" ref="E18:E26" si="47">(E17+7000)-(0.00146*(E17+7000))</f>
        <v>110620.17476405657</v>
      </c>
      <c r="F18">
        <f t="shared" ref="F18:F26" si="48">(F17+7000)-(0.00146*(F17+7000))</f>
        <v>191904.68840557706</v>
      </c>
      <c r="G18">
        <f t="shared" ref="G18:G26" si="49">(G17+7000)-(0.00146*(G17+7000))</f>
        <v>271776.47745800304</v>
      </c>
      <c r="H18">
        <f t="shared" ref="H18:H26" si="50">(H17+7000)-(0.00125*(H17+7000))</f>
        <v>350333.75723693706</v>
      </c>
      <c r="I18">
        <f t="shared" si="6"/>
        <v>428435.34730716073</v>
      </c>
      <c r="J18">
        <f t="shared" si="7"/>
        <v>505373.43428772694</v>
      </c>
      <c r="K18">
        <f t="shared" si="8"/>
        <v>581165.351237264</v>
      </c>
      <c r="L18">
        <f t="shared" si="9"/>
        <v>655828.17299856548</v>
      </c>
      <c r="M18">
        <f t="shared" si="10"/>
        <v>730131.15784070641</v>
      </c>
      <c r="N18">
        <f t="shared" si="10"/>
        <v>804505.38132190146</v>
      </c>
      <c r="O18">
        <f t="shared" si="10"/>
        <v>877956.7053802209</v>
      </c>
      <c r="P18">
        <f t="shared" si="10"/>
        <v>950496.58214658964</v>
      </c>
      <c r="Q18">
        <f t="shared" si="10"/>
        <v>1022136.3216440284</v>
      </c>
      <c r="R18">
        <f t="shared" si="10"/>
        <v>1092887.0935510511</v>
      </c>
      <c r="S18">
        <f t="shared" si="10"/>
        <v>1162759.9289431805</v>
      </c>
      <c r="T18">
        <f t="shared" si="10"/>
        <v>1231765.722012853</v>
      </c>
      <c r="U18">
        <f t="shared" si="10"/>
        <v>1299915.231767982</v>
      </c>
      <c r="V18">
        <f t="shared" si="10"/>
        <v>1367219.0837094442</v>
      </c>
      <c r="W18">
        <f t="shared" si="11"/>
        <v>1435738.2374452387</v>
      </c>
      <c r="X18">
        <f t="shared" si="12"/>
        <v>1504998.7361071615</v>
      </c>
      <c r="Y18">
        <f t="shared" si="13"/>
        <v>1573570.069934113</v>
      </c>
      <c r="Z18">
        <f t="shared" si="14"/>
        <v>1641459.0963437974</v>
      </c>
      <c r="AA18">
        <f t="shared" si="15"/>
        <v>1708672.6045203486</v>
      </c>
      <c r="AB18">
        <f t="shared" si="16"/>
        <v>1775217.3160932767</v>
      </c>
      <c r="AC18">
        <f t="shared" si="17"/>
        <v>1841099.8858096579</v>
      </c>
      <c r="AD18">
        <f t="shared" si="18"/>
        <v>1906326.9021996367</v>
      </c>
      <c r="AE18">
        <f t="shared" si="19"/>
        <v>1970904.888235308</v>
      </c>
      <c r="AH18" t="s">
        <v>43</v>
      </c>
      <c r="AI18">
        <f t="shared" si="3"/>
        <v>28000</v>
      </c>
      <c r="AJ18">
        <f t="shared" si="20"/>
        <v>112000</v>
      </c>
      <c r="AK18">
        <f t="shared" si="21"/>
        <v>196000</v>
      </c>
      <c r="AL18">
        <f t="shared" si="22"/>
        <v>280000</v>
      </c>
      <c r="AM18">
        <f t="shared" si="23"/>
        <v>364000</v>
      </c>
      <c r="AN18">
        <f t="shared" si="24"/>
        <v>448000</v>
      </c>
      <c r="AO18">
        <f t="shared" si="25"/>
        <v>532000</v>
      </c>
      <c r="AP18">
        <f t="shared" si="26"/>
        <v>616000</v>
      </c>
      <c r="AQ18">
        <f t="shared" si="27"/>
        <v>700000</v>
      </c>
      <c r="AR18">
        <f t="shared" si="28"/>
        <v>784000</v>
      </c>
      <c r="AS18">
        <f t="shared" si="29"/>
        <v>868000</v>
      </c>
      <c r="AT18">
        <f t="shared" si="30"/>
        <v>952000</v>
      </c>
      <c r="AU18">
        <f t="shared" si="31"/>
        <v>1036000</v>
      </c>
      <c r="AV18">
        <f t="shared" si="32"/>
        <v>1120000</v>
      </c>
      <c r="AW18">
        <f t="shared" si="33"/>
        <v>1204000</v>
      </c>
      <c r="AX18">
        <f t="shared" si="34"/>
        <v>1288000</v>
      </c>
      <c r="AY18">
        <f t="shared" si="35"/>
        <v>1372000</v>
      </c>
      <c r="AZ18">
        <f t="shared" si="36"/>
        <v>1456000</v>
      </c>
      <c r="BA18">
        <f t="shared" si="37"/>
        <v>1540000</v>
      </c>
      <c r="BB18">
        <f t="shared" si="38"/>
        <v>1624000</v>
      </c>
      <c r="BC18">
        <f t="shared" si="39"/>
        <v>1708000</v>
      </c>
      <c r="BD18">
        <f t="shared" si="40"/>
        <v>1792000</v>
      </c>
      <c r="BE18">
        <f t="shared" si="41"/>
        <v>1876000</v>
      </c>
      <c r="BF18">
        <f t="shared" si="42"/>
        <v>1960000</v>
      </c>
      <c r="BG18">
        <f t="shared" si="43"/>
        <v>2044000</v>
      </c>
      <c r="BH18">
        <f t="shared" si="44"/>
        <v>2128000</v>
      </c>
      <c r="BI18">
        <f t="shared" si="45"/>
        <v>2212000</v>
      </c>
      <c r="BJ18">
        <f t="shared" si="46"/>
        <v>2296000</v>
      </c>
    </row>
    <row r="19" spans="1:62" x14ac:dyDescent="0.3">
      <c r="A19">
        <f>0.01/12</f>
        <v>8.3333333333333339E-4</v>
      </c>
      <c r="B19">
        <v>1</v>
      </c>
      <c r="C19" t="s">
        <v>42</v>
      </c>
      <c r="D19">
        <f t="shared" si="0"/>
        <v>34846.998097416516</v>
      </c>
      <c r="E19">
        <f t="shared" si="47"/>
        <v>117448.44930890105</v>
      </c>
      <c r="F19">
        <f t="shared" si="48"/>
        <v>198614.28756050492</v>
      </c>
      <c r="G19">
        <f t="shared" si="49"/>
        <v>278369.46380091435</v>
      </c>
      <c r="H19">
        <f t="shared" si="50"/>
        <v>356887.0900403909</v>
      </c>
      <c r="I19">
        <f t="shared" si="6"/>
        <v>434891.0531230268</v>
      </c>
      <c r="J19">
        <f t="shared" si="7"/>
        <v>511732.96749486728</v>
      </c>
      <c r="K19">
        <f t="shared" si="8"/>
        <v>587430.14454821742</v>
      </c>
      <c r="L19">
        <f t="shared" si="9"/>
        <v>661999.63778231724</v>
      </c>
      <c r="M19">
        <f t="shared" si="10"/>
        <v>736364.54143655207</v>
      </c>
      <c r="N19">
        <f t="shared" si="10"/>
        <v>810661.41572532663</v>
      </c>
      <c r="O19">
        <f t="shared" si="10"/>
        <v>884036.35040662542</v>
      </c>
      <c r="P19">
        <f t="shared" si="10"/>
        <v>956500.78570115718</v>
      </c>
      <c r="Q19">
        <f t="shared" si="10"/>
        <v>1028066.0198695186</v>
      </c>
      <c r="R19">
        <f t="shared" si="10"/>
        <v>1098743.210973758</v>
      </c>
      <c r="S19">
        <f t="shared" si="10"/>
        <v>1168543.3786170795</v>
      </c>
      <c r="T19">
        <f t="shared" si="10"/>
        <v>1237477.4056619597</v>
      </c>
      <c r="U19">
        <f t="shared" si="10"/>
        <v>1305556.0399269434</v>
      </c>
      <c r="V19">
        <f t="shared" si="10"/>
        <v>1372789.8958623863</v>
      </c>
      <c r="W19">
        <f t="shared" si="11"/>
        <v>1441536.4364934468</v>
      </c>
      <c r="X19">
        <f t="shared" si="12"/>
        <v>1510739.2411599841</v>
      </c>
      <c r="Y19">
        <f t="shared" si="13"/>
        <v>1579253.4550658579</v>
      </c>
      <c r="Z19">
        <f t="shared" si="14"/>
        <v>1647085.929916543</v>
      </c>
      <c r="AA19">
        <f t="shared" si="15"/>
        <v>1714243.4492407832</v>
      </c>
      <c r="AB19">
        <f t="shared" si="16"/>
        <v>1780732.729068971</v>
      </c>
      <c r="AC19">
        <f t="shared" si="17"/>
        <v>1846560.4186047784</v>
      </c>
      <c r="AD19">
        <f t="shared" si="18"/>
        <v>1911733.1008901044</v>
      </c>
      <c r="AE19">
        <f t="shared" si="19"/>
        <v>1976257.293463408</v>
      </c>
      <c r="AH19" t="s">
        <v>42</v>
      </c>
      <c r="AI19">
        <f t="shared" si="3"/>
        <v>35000</v>
      </c>
      <c r="AJ19">
        <f t="shared" si="20"/>
        <v>119000</v>
      </c>
      <c r="AK19">
        <f t="shared" si="21"/>
        <v>203000</v>
      </c>
      <c r="AL19">
        <f t="shared" si="22"/>
        <v>287000</v>
      </c>
      <c r="AM19">
        <f t="shared" si="23"/>
        <v>371000</v>
      </c>
      <c r="AN19">
        <f t="shared" si="24"/>
        <v>455000</v>
      </c>
      <c r="AO19">
        <f t="shared" si="25"/>
        <v>539000</v>
      </c>
      <c r="AP19">
        <f t="shared" si="26"/>
        <v>623000</v>
      </c>
      <c r="AQ19">
        <f t="shared" si="27"/>
        <v>707000</v>
      </c>
      <c r="AR19">
        <f t="shared" si="28"/>
        <v>791000</v>
      </c>
      <c r="AS19">
        <f t="shared" si="29"/>
        <v>875000</v>
      </c>
      <c r="AT19">
        <f t="shared" si="30"/>
        <v>959000</v>
      </c>
      <c r="AU19">
        <f t="shared" si="31"/>
        <v>1043000</v>
      </c>
      <c r="AV19">
        <f t="shared" si="32"/>
        <v>1127000</v>
      </c>
      <c r="AW19">
        <f t="shared" si="33"/>
        <v>1211000</v>
      </c>
      <c r="AX19">
        <f t="shared" si="34"/>
        <v>1295000</v>
      </c>
      <c r="AY19">
        <f t="shared" si="35"/>
        <v>1379000</v>
      </c>
      <c r="AZ19">
        <f t="shared" si="36"/>
        <v>1463000</v>
      </c>
      <c r="BA19">
        <f t="shared" si="37"/>
        <v>1547000</v>
      </c>
      <c r="BB19">
        <f t="shared" si="38"/>
        <v>1631000</v>
      </c>
      <c r="BC19">
        <f t="shared" si="39"/>
        <v>1715000</v>
      </c>
      <c r="BD19">
        <f t="shared" si="40"/>
        <v>1799000</v>
      </c>
      <c r="BE19">
        <f t="shared" si="41"/>
        <v>1883000</v>
      </c>
      <c r="BF19">
        <f t="shared" si="42"/>
        <v>1967000</v>
      </c>
      <c r="BG19">
        <f t="shared" si="43"/>
        <v>2051000</v>
      </c>
      <c r="BH19">
        <f t="shared" si="44"/>
        <v>2135000</v>
      </c>
      <c r="BI19">
        <f t="shared" si="45"/>
        <v>2219000</v>
      </c>
      <c r="BJ19">
        <f t="shared" si="46"/>
        <v>2303000</v>
      </c>
    </row>
    <row r="20" spans="1:62" x14ac:dyDescent="0.3">
      <c r="C20" t="s">
        <v>40</v>
      </c>
      <c r="D20">
        <f t="shared" si="0"/>
        <v>41785.90148019429</v>
      </c>
      <c r="E20">
        <f t="shared" si="47"/>
        <v>124266.75457291005</v>
      </c>
      <c r="F20">
        <f t="shared" si="48"/>
        <v>205314.09070066659</v>
      </c>
      <c r="G20">
        <f t="shared" si="49"/>
        <v>284952.82438376499</v>
      </c>
      <c r="H20">
        <f t="shared" si="50"/>
        <v>363432.23117784044</v>
      </c>
      <c r="I20">
        <f t="shared" si="6"/>
        <v>441338.68930662301</v>
      </c>
      <c r="J20">
        <f t="shared" si="7"/>
        <v>518084.55128549872</v>
      </c>
      <c r="K20">
        <f t="shared" si="8"/>
        <v>593687.10686753213</v>
      </c>
      <c r="L20">
        <f t="shared" si="9"/>
        <v>668163.38823508937</v>
      </c>
      <c r="M20">
        <f t="shared" si="10"/>
        <v>742591.44231345807</v>
      </c>
      <c r="N20">
        <f t="shared" si="10"/>
        <v>816811.04785297229</v>
      </c>
      <c r="O20">
        <f t="shared" si="10"/>
        <v>890109.67260220251</v>
      </c>
      <c r="P20">
        <f t="shared" si="10"/>
        <v>962498.74488402798</v>
      </c>
      <c r="Q20">
        <f t="shared" si="10"/>
        <v>1033989.5512088543</v>
      </c>
      <c r="R20">
        <f t="shared" si="10"/>
        <v>1104593.2380343452</v>
      </c>
      <c r="S20">
        <f t="shared" si="10"/>
        <v>1174320.8135033178</v>
      </c>
      <c r="T20">
        <f t="shared" si="10"/>
        <v>1243183.1491600713</v>
      </c>
      <c r="U20">
        <f t="shared" si="10"/>
        <v>1311190.9816454193</v>
      </c>
      <c r="V20">
        <f t="shared" si="10"/>
        <v>1378354.9143706895</v>
      </c>
      <c r="W20">
        <f t="shared" si="11"/>
        <v>1447329.8056418477</v>
      </c>
      <c r="X20">
        <f t="shared" si="12"/>
        <v>1516474.964372098</v>
      </c>
      <c r="Y20">
        <f t="shared" si="13"/>
        <v>1584932.105937788</v>
      </c>
      <c r="Z20">
        <f t="shared" si="14"/>
        <v>1652708.0763369226</v>
      </c>
      <c r="AA20">
        <f t="shared" si="15"/>
        <v>1719809.6534475656</v>
      </c>
      <c r="AB20">
        <f t="shared" si="16"/>
        <v>1786243.5477056566</v>
      </c>
      <c r="AC20">
        <f t="shared" si="17"/>
        <v>1852016.4027760806</v>
      </c>
      <c r="AD20">
        <f t="shared" si="18"/>
        <v>1917134.796217063</v>
      </c>
      <c r="AE20">
        <f t="shared" si="19"/>
        <v>1981605.2401379531</v>
      </c>
      <c r="AH20" t="s">
        <v>40</v>
      </c>
      <c r="AI20">
        <f t="shared" si="3"/>
        <v>42000</v>
      </c>
      <c r="AJ20">
        <f t="shared" si="20"/>
        <v>126000</v>
      </c>
      <c r="AK20">
        <f t="shared" si="21"/>
        <v>210000</v>
      </c>
      <c r="AL20">
        <f t="shared" si="22"/>
        <v>294000</v>
      </c>
      <c r="AM20">
        <f t="shared" si="23"/>
        <v>378000</v>
      </c>
      <c r="AN20">
        <f t="shared" si="24"/>
        <v>462000</v>
      </c>
      <c r="AO20">
        <f t="shared" si="25"/>
        <v>546000</v>
      </c>
      <c r="AP20">
        <f t="shared" si="26"/>
        <v>630000</v>
      </c>
      <c r="AQ20">
        <f t="shared" si="27"/>
        <v>714000</v>
      </c>
      <c r="AR20">
        <f t="shared" si="28"/>
        <v>798000</v>
      </c>
      <c r="AS20">
        <f t="shared" si="29"/>
        <v>882000</v>
      </c>
      <c r="AT20">
        <f t="shared" si="30"/>
        <v>966000</v>
      </c>
      <c r="AU20">
        <f t="shared" si="31"/>
        <v>1050000</v>
      </c>
      <c r="AV20">
        <f t="shared" si="32"/>
        <v>1134000</v>
      </c>
      <c r="AW20">
        <f t="shared" si="33"/>
        <v>1218000</v>
      </c>
      <c r="AX20">
        <f t="shared" si="34"/>
        <v>1302000</v>
      </c>
      <c r="AY20">
        <f t="shared" si="35"/>
        <v>1386000</v>
      </c>
      <c r="AZ20">
        <f t="shared" si="36"/>
        <v>1470000</v>
      </c>
      <c r="BA20">
        <f t="shared" si="37"/>
        <v>1554000</v>
      </c>
      <c r="BB20">
        <f t="shared" si="38"/>
        <v>1638000</v>
      </c>
      <c r="BC20">
        <f t="shared" si="39"/>
        <v>1722000</v>
      </c>
      <c r="BD20">
        <f t="shared" si="40"/>
        <v>1806000</v>
      </c>
      <c r="BE20">
        <f t="shared" si="41"/>
        <v>1890000</v>
      </c>
      <c r="BF20">
        <f t="shared" si="42"/>
        <v>1974000</v>
      </c>
      <c r="BG20">
        <f t="shared" si="43"/>
        <v>2058000</v>
      </c>
      <c r="BH20">
        <f t="shared" si="44"/>
        <v>2142000</v>
      </c>
      <c r="BI20">
        <f t="shared" si="45"/>
        <v>2226000</v>
      </c>
      <c r="BJ20">
        <f t="shared" si="46"/>
        <v>2310000</v>
      </c>
    </row>
    <row r="21" spans="1:62" x14ac:dyDescent="0.3">
      <c r="C21" t="s">
        <v>40</v>
      </c>
      <c r="D21">
        <f t="shared" si="0"/>
        <v>48714.674064033206</v>
      </c>
      <c r="E21">
        <f t="shared" si="47"/>
        <v>131075.1051112336</v>
      </c>
      <c r="F21">
        <f t="shared" si="48"/>
        <v>212004.11212824361</v>
      </c>
      <c r="G21">
        <f t="shared" si="49"/>
        <v>291526.5732601647</v>
      </c>
      <c r="H21">
        <f t="shared" si="50"/>
        <v>369969.19088886812</v>
      </c>
      <c r="I21">
        <f t="shared" si="6"/>
        <v>447778.26594498975</v>
      </c>
      <c r="J21">
        <f t="shared" si="7"/>
        <v>524428.19559639192</v>
      </c>
      <c r="K21">
        <f t="shared" si="8"/>
        <v>599936.24798394775</v>
      </c>
      <c r="L21">
        <f t="shared" si="9"/>
        <v>674319.43399979547</v>
      </c>
      <c r="M21">
        <f t="shared" si="10"/>
        <v>748811.86721345212</v>
      </c>
      <c r="N21">
        <f t="shared" si="10"/>
        <v>822954.2843632052</v>
      </c>
      <c r="O21">
        <f t="shared" si="10"/>
        <v>896176.67854269617</v>
      </c>
      <c r="P21">
        <f t="shared" si="10"/>
        <v>968490.4661893486</v>
      </c>
      <c r="Q21">
        <f t="shared" si="10"/>
        <v>1039906.9220755971</v>
      </c>
      <c r="R21">
        <f t="shared" si="10"/>
        <v>1110437.1810667894</v>
      </c>
      <c r="S21">
        <f t="shared" si="10"/>
        <v>1180092.2398572743</v>
      </c>
      <c r="T21">
        <f t="shared" si="10"/>
        <v>1248882.9586849448</v>
      </c>
      <c r="U21">
        <f t="shared" si="10"/>
        <v>1316820.0630245081</v>
      </c>
      <c r="V21">
        <f t="shared" si="10"/>
        <v>1383914.145259744</v>
      </c>
      <c r="W21">
        <f t="shared" si="11"/>
        <v>1453118.3489137481</v>
      </c>
      <c r="X21">
        <f t="shared" si="12"/>
        <v>1522205.9097267759</v>
      </c>
      <c r="Y21">
        <f t="shared" si="13"/>
        <v>1590606.0264935419</v>
      </c>
      <c r="Z21">
        <f t="shared" si="14"/>
        <v>1658325.5395093339</v>
      </c>
      <c r="AA21">
        <f t="shared" si="15"/>
        <v>1725371.2210062437</v>
      </c>
      <c r="AB21">
        <f t="shared" si="16"/>
        <v>1791749.7758304179</v>
      </c>
      <c r="AC21">
        <f t="shared" si="17"/>
        <v>1857467.8421125682</v>
      </c>
      <c r="AD21">
        <f t="shared" si="18"/>
        <v>1922531.9919318142</v>
      </c>
      <c r="AE21">
        <f t="shared" si="19"/>
        <v>1986948.7319729181</v>
      </c>
      <c r="AH21" t="s">
        <v>40</v>
      </c>
      <c r="AI21">
        <f t="shared" si="3"/>
        <v>49000</v>
      </c>
      <c r="AJ21">
        <f t="shared" si="20"/>
        <v>133000</v>
      </c>
      <c r="AK21">
        <f t="shared" si="21"/>
        <v>217000</v>
      </c>
      <c r="AL21">
        <f t="shared" si="22"/>
        <v>301000</v>
      </c>
      <c r="AM21">
        <f t="shared" si="23"/>
        <v>385000</v>
      </c>
      <c r="AN21">
        <f t="shared" si="24"/>
        <v>469000</v>
      </c>
      <c r="AO21">
        <f t="shared" si="25"/>
        <v>553000</v>
      </c>
      <c r="AP21">
        <f t="shared" si="26"/>
        <v>637000</v>
      </c>
      <c r="AQ21">
        <f t="shared" si="27"/>
        <v>721000</v>
      </c>
      <c r="AR21">
        <f t="shared" si="28"/>
        <v>805000</v>
      </c>
      <c r="AS21">
        <f t="shared" si="29"/>
        <v>889000</v>
      </c>
      <c r="AT21">
        <f t="shared" si="30"/>
        <v>973000</v>
      </c>
      <c r="AU21">
        <f t="shared" si="31"/>
        <v>1057000</v>
      </c>
      <c r="AV21">
        <f t="shared" si="32"/>
        <v>1141000</v>
      </c>
      <c r="AW21">
        <f t="shared" si="33"/>
        <v>1225000</v>
      </c>
      <c r="AX21">
        <f t="shared" si="34"/>
        <v>1309000</v>
      </c>
      <c r="AY21">
        <f t="shared" si="35"/>
        <v>1393000</v>
      </c>
      <c r="AZ21">
        <f t="shared" si="36"/>
        <v>1477000</v>
      </c>
      <c r="BA21">
        <f t="shared" si="37"/>
        <v>1561000</v>
      </c>
      <c r="BB21">
        <f t="shared" si="38"/>
        <v>1645000</v>
      </c>
      <c r="BC21">
        <f t="shared" si="39"/>
        <v>1729000</v>
      </c>
      <c r="BD21">
        <f t="shared" si="40"/>
        <v>1813000</v>
      </c>
      <c r="BE21">
        <f t="shared" si="41"/>
        <v>1897000</v>
      </c>
      <c r="BF21">
        <f t="shared" si="42"/>
        <v>1981000</v>
      </c>
      <c r="BG21">
        <f t="shared" si="43"/>
        <v>2065000</v>
      </c>
      <c r="BH21">
        <f t="shared" si="44"/>
        <v>2149000</v>
      </c>
      <c r="BI21">
        <f t="shared" si="45"/>
        <v>2233000</v>
      </c>
      <c r="BJ21">
        <f t="shared" si="46"/>
        <v>2317000</v>
      </c>
    </row>
    <row r="22" spans="1:62" x14ac:dyDescent="0.3">
      <c r="C22" t="s">
        <v>43</v>
      </c>
      <c r="D22">
        <f t="shared" si="0"/>
        <v>55633.330639899716</v>
      </c>
      <c r="E22">
        <f t="shared" si="47"/>
        <v>137873.51545777119</v>
      </c>
      <c r="F22">
        <f t="shared" si="48"/>
        <v>218684.36612453638</v>
      </c>
      <c r="G22">
        <f t="shared" si="49"/>
        <v>298090.72446320485</v>
      </c>
      <c r="H22">
        <f t="shared" si="50"/>
        <v>376497.97940025706</v>
      </c>
      <c r="I22">
        <f t="shared" si="6"/>
        <v>454209.79311255849</v>
      </c>
      <c r="J22">
        <f t="shared" si="7"/>
        <v>530763.91035189643</v>
      </c>
      <c r="K22">
        <f t="shared" si="8"/>
        <v>606177.57767396781</v>
      </c>
      <c r="L22">
        <f t="shared" si="9"/>
        <v>680467.78470729571</v>
      </c>
      <c r="M22">
        <f t="shared" si="10"/>
        <v>755025.8228715501</v>
      </c>
      <c r="N22">
        <f t="shared" si="10"/>
        <v>829091.1319074675</v>
      </c>
      <c r="O22">
        <f t="shared" si="10"/>
        <v>902237.37479701173</v>
      </c>
      <c r="P22">
        <f t="shared" si="10"/>
        <v>974475.95610451163</v>
      </c>
      <c r="Q22">
        <f t="shared" si="10"/>
        <v>1045818.1388766385</v>
      </c>
      <c r="R22">
        <f t="shared" si="10"/>
        <v>1116275.04639848</v>
      </c>
      <c r="S22">
        <f t="shared" si="10"/>
        <v>1185857.6639278228</v>
      </c>
      <c r="T22">
        <f t="shared" si="10"/>
        <v>1254576.8404079124</v>
      </c>
      <c r="U22">
        <f t="shared" si="10"/>
        <v>1322443.2901589626</v>
      </c>
      <c r="V22">
        <f t="shared" si="10"/>
        <v>1389467.5945486738</v>
      </c>
      <c r="W22">
        <f t="shared" si="11"/>
        <v>1458902.0703291029</v>
      </c>
      <c r="X22">
        <f t="shared" si="12"/>
        <v>1527932.0812039736</v>
      </c>
      <c r="Y22">
        <f t="shared" si="13"/>
        <v>1596275.2206734729</v>
      </c>
      <c r="Z22">
        <f t="shared" si="14"/>
        <v>1663938.3233349225</v>
      </c>
      <c r="AA22">
        <f t="shared" si="15"/>
        <v>1730928.1557791454</v>
      </c>
      <c r="AB22">
        <f t="shared" si="16"/>
        <v>1797251.4172671512</v>
      </c>
      <c r="AC22">
        <f t="shared" si="17"/>
        <v>1862914.7404000885</v>
      </c>
      <c r="AD22">
        <f t="shared" si="18"/>
        <v>1927924.6917825351</v>
      </c>
      <c r="AE22">
        <f t="shared" si="19"/>
        <v>1992287.7726791848</v>
      </c>
      <c r="AH22" t="s">
        <v>43</v>
      </c>
      <c r="AI22">
        <f t="shared" si="3"/>
        <v>56000</v>
      </c>
      <c r="AJ22">
        <f t="shared" si="20"/>
        <v>140000</v>
      </c>
      <c r="AK22">
        <f t="shared" si="21"/>
        <v>224000</v>
      </c>
      <c r="AL22">
        <f t="shared" si="22"/>
        <v>308000</v>
      </c>
      <c r="AM22">
        <f t="shared" si="23"/>
        <v>392000</v>
      </c>
      <c r="AN22">
        <f t="shared" si="24"/>
        <v>476000</v>
      </c>
      <c r="AO22">
        <f t="shared" si="25"/>
        <v>560000</v>
      </c>
      <c r="AP22">
        <f t="shared" si="26"/>
        <v>644000</v>
      </c>
      <c r="AQ22">
        <f t="shared" si="27"/>
        <v>728000</v>
      </c>
      <c r="AR22">
        <f t="shared" si="28"/>
        <v>812000</v>
      </c>
      <c r="AS22">
        <f t="shared" si="29"/>
        <v>896000</v>
      </c>
      <c r="AT22">
        <f t="shared" si="30"/>
        <v>980000</v>
      </c>
      <c r="AU22">
        <f t="shared" si="31"/>
        <v>1064000</v>
      </c>
      <c r="AV22">
        <f t="shared" si="32"/>
        <v>1148000</v>
      </c>
      <c r="AW22">
        <f t="shared" si="33"/>
        <v>1232000</v>
      </c>
      <c r="AX22">
        <f t="shared" si="34"/>
        <v>1316000</v>
      </c>
      <c r="AY22">
        <f t="shared" si="35"/>
        <v>1400000</v>
      </c>
      <c r="AZ22">
        <f t="shared" si="36"/>
        <v>1484000</v>
      </c>
      <c r="BA22">
        <f t="shared" si="37"/>
        <v>1568000</v>
      </c>
      <c r="BB22">
        <f t="shared" si="38"/>
        <v>1652000</v>
      </c>
      <c r="BC22">
        <f t="shared" si="39"/>
        <v>1736000</v>
      </c>
      <c r="BD22">
        <f t="shared" si="40"/>
        <v>1820000</v>
      </c>
      <c r="BE22">
        <f t="shared" si="41"/>
        <v>1904000</v>
      </c>
      <c r="BF22">
        <f t="shared" si="42"/>
        <v>1988000</v>
      </c>
      <c r="BG22">
        <f t="shared" si="43"/>
        <v>2072000</v>
      </c>
      <c r="BH22">
        <f t="shared" si="44"/>
        <v>2156000</v>
      </c>
      <c r="BI22">
        <f t="shared" si="45"/>
        <v>2240000</v>
      </c>
      <c r="BJ22">
        <f t="shared" si="46"/>
        <v>2324000</v>
      </c>
    </row>
    <row r="23" spans="1:62" x14ac:dyDescent="0.3">
      <c r="C23" t="s">
        <v>44</v>
      </c>
      <c r="D23">
        <f t="shared" si="0"/>
        <v>62541.885977165461</v>
      </c>
      <c r="E23">
        <f t="shared" si="47"/>
        <v>144662.00012520285</v>
      </c>
      <c r="F23">
        <f t="shared" si="48"/>
        <v>225354.86694999455</v>
      </c>
      <c r="G23">
        <f t="shared" si="49"/>
        <v>304645.29200548859</v>
      </c>
      <c r="H23">
        <f t="shared" si="50"/>
        <v>383018.60692600673</v>
      </c>
      <c r="I23">
        <f t="shared" si="6"/>
        <v>460633.28087116778</v>
      </c>
      <c r="J23">
        <f t="shared" si="7"/>
        <v>537091.70546395658</v>
      </c>
      <c r="K23">
        <f t="shared" si="8"/>
        <v>612411.10570187541</v>
      </c>
      <c r="L23">
        <f t="shared" si="9"/>
        <v>686608.44997641153</v>
      </c>
      <c r="M23">
        <f t="shared" si="10"/>
        <v>761233.31601576367</v>
      </c>
      <c r="N23">
        <f t="shared" si="10"/>
        <v>835221.59713028371</v>
      </c>
      <c r="O23">
        <f t="shared" si="10"/>
        <v>908291.76792722289</v>
      </c>
      <c r="P23">
        <f t="shared" si="10"/>
        <v>980455.22111016291</v>
      </c>
      <c r="Q23">
        <f t="shared" si="10"/>
        <v>1051723.2080122067</v>
      </c>
      <c r="R23">
        <f t="shared" si="10"/>
        <v>1122106.8403502256</v>
      </c>
      <c r="S23">
        <f t="shared" si="10"/>
        <v>1191617.0919573379</v>
      </c>
      <c r="T23">
        <f t="shared" si="10"/>
        <v>1260264.8004938881</v>
      </c>
      <c r="U23">
        <f t="shared" si="10"/>
        <v>1328060.6691371973</v>
      </c>
      <c r="V23">
        <f t="shared" si="10"/>
        <v>1395015.2682503432</v>
      </c>
      <c r="W23">
        <f t="shared" si="11"/>
        <v>1464680.9739045189</v>
      </c>
      <c r="X23">
        <f t="shared" si="12"/>
        <v>1533653.4827803308</v>
      </c>
      <c r="Y23">
        <f t="shared" si="13"/>
        <v>1601939.6924146519</v>
      </c>
      <c r="Z23">
        <f t="shared" si="14"/>
        <v>1669546.4317115846</v>
      </c>
      <c r="AA23">
        <f t="shared" si="15"/>
        <v>1736480.4616253814</v>
      </c>
      <c r="AB23">
        <f t="shared" si="16"/>
        <v>1802748.4758365676</v>
      </c>
      <c r="AC23">
        <f t="shared" si="17"/>
        <v>1868357.1014213352</v>
      </c>
      <c r="AD23">
        <f t="shared" si="18"/>
        <v>1933312.8995142803</v>
      </c>
      <c r="AE23">
        <f t="shared" si="19"/>
        <v>1997622.3659645431</v>
      </c>
      <c r="AH23" t="s">
        <v>44</v>
      </c>
      <c r="AI23">
        <f t="shared" si="3"/>
        <v>63000</v>
      </c>
      <c r="AJ23">
        <f t="shared" si="20"/>
        <v>147000</v>
      </c>
      <c r="AK23">
        <f t="shared" si="21"/>
        <v>231000</v>
      </c>
      <c r="AL23">
        <f t="shared" si="22"/>
        <v>315000</v>
      </c>
      <c r="AM23">
        <f t="shared" si="23"/>
        <v>399000</v>
      </c>
      <c r="AN23">
        <f t="shared" si="24"/>
        <v>483000</v>
      </c>
      <c r="AO23">
        <f t="shared" si="25"/>
        <v>567000</v>
      </c>
      <c r="AP23">
        <f t="shared" si="26"/>
        <v>651000</v>
      </c>
      <c r="AQ23">
        <f t="shared" si="27"/>
        <v>735000</v>
      </c>
      <c r="AR23">
        <f t="shared" si="28"/>
        <v>819000</v>
      </c>
      <c r="AS23">
        <f t="shared" si="29"/>
        <v>903000</v>
      </c>
      <c r="AT23">
        <f t="shared" si="30"/>
        <v>987000</v>
      </c>
      <c r="AU23">
        <f t="shared" si="31"/>
        <v>1071000</v>
      </c>
      <c r="AV23">
        <f t="shared" si="32"/>
        <v>1155000</v>
      </c>
      <c r="AW23">
        <f t="shared" si="33"/>
        <v>1239000</v>
      </c>
      <c r="AX23">
        <f t="shared" si="34"/>
        <v>1323000</v>
      </c>
      <c r="AY23">
        <f t="shared" si="35"/>
        <v>1407000</v>
      </c>
      <c r="AZ23">
        <f t="shared" si="36"/>
        <v>1491000</v>
      </c>
      <c r="BA23">
        <f t="shared" si="37"/>
        <v>1575000</v>
      </c>
      <c r="BB23">
        <f t="shared" si="38"/>
        <v>1659000</v>
      </c>
      <c r="BC23">
        <f t="shared" si="39"/>
        <v>1743000</v>
      </c>
      <c r="BD23">
        <f t="shared" si="40"/>
        <v>1827000</v>
      </c>
      <c r="BE23">
        <f t="shared" si="41"/>
        <v>1911000</v>
      </c>
      <c r="BF23">
        <f t="shared" si="42"/>
        <v>1995000</v>
      </c>
      <c r="BG23">
        <f t="shared" si="43"/>
        <v>2079000</v>
      </c>
      <c r="BH23">
        <f t="shared" si="44"/>
        <v>2163000</v>
      </c>
      <c r="BI23">
        <f t="shared" si="45"/>
        <v>2247000</v>
      </c>
      <c r="BJ23">
        <f t="shared" si="46"/>
        <v>2331000</v>
      </c>
    </row>
    <row r="24" spans="1:62" x14ac:dyDescent="0.3">
      <c r="C24" t="s">
        <v>45</v>
      </c>
      <c r="D24">
        <f t="shared" si="0"/>
        <v>69440.354823638787</v>
      </c>
      <c r="E24">
        <f t="shared" si="47"/>
        <v>151440.57360502004</v>
      </c>
      <c r="F24">
        <f t="shared" si="48"/>
        <v>232015.62884424755</v>
      </c>
      <c r="G24">
        <f t="shared" si="49"/>
        <v>311190.28987916058</v>
      </c>
      <c r="H24">
        <f t="shared" si="50"/>
        <v>389531.08366734924</v>
      </c>
      <c r="I24">
        <f t="shared" si="6"/>
        <v>467048.73927007883</v>
      </c>
      <c r="J24">
        <f t="shared" si="7"/>
        <v>543411.59083212668</v>
      </c>
      <c r="K24">
        <f t="shared" si="8"/>
        <v>618636.84181974805</v>
      </c>
      <c r="L24">
        <f t="shared" si="9"/>
        <v>692741.439413941</v>
      </c>
      <c r="M24">
        <f t="shared" ref="M24:U26" si="51">(M23+7000)-(0.00104*(M23+7000))</f>
        <v>767434.35336710722</v>
      </c>
      <c r="N24">
        <f t="shared" si="51"/>
        <v>841345.68666926818</v>
      </c>
      <c r="O24">
        <f t="shared" si="51"/>
        <v>914339.86448857852</v>
      </c>
      <c r="P24">
        <f t="shared" si="51"/>
        <v>986428.26768020832</v>
      </c>
      <c r="Q24">
        <f t="shared" si="51"/>
        <v>1057622.135875874</v>
      </c>
      <c r="R24">
        <f t="shared" si="51"/>
        <v>1127932.5692362613</v>
      </c>
      <c r="S24">
        <f t="shared" si="51"/>
        <v>1197370.5301817022</v>
      </c>
      <c r="T24">
        <f t="shared" si="51"/>
        <v>1265946.8451013744</v>
      </c>
      <c r="U24">
        <f t="shared" si="51"/>
        <v>1333672.2060412946</v>
      </c>
      <c r="V24">
        <f>(V23+7000)-(0.000833*(V23+7000))</f>
        <v>1400847.3895318906</v>
      </c>
      <c r="W24">
        <f t="shared" si="11"/>
        <v>1470455.0636532565</v>
      </c>
      <c r="X24">
        <f t="shared" si="12"/>
        <v>1539370.1184291749</v>
      </c>
      <c r="Y24">
        <f t="shared" si="13"/>
        <v>1607599.4456508704</v>
      </c>
      <c r="Z24">
        <f t="shared" si="14"/>
        <v>1675149.8685339689</v>
      </c>
      <c r="AA24">
        <f t="shared" si="15"/>
        <v>1742028.1424008475</v>
      </c>
      <c r="AB24">
        <f t="shared" si="16"/>
        <v>1808240.9553561958</v>
      </c>
      <c r="AC24">
        <f t="shared" si="17"/>
        <v>1873794.9289558514</v>
      </c>
      <c r="AD24">
        <f t="shared" si="18"/>
        <v>1938696.6188689847</v>
      </c>
      <c r="AE24">
        <f t="shared" si="19"/>
        <v>2002952.5155336945</v>
      </c>
      <c r="AH24" t="s">
        <v>45</v>
      </c>
      <c r="AI24">
        <f t="shared" si="3"/>
        <v>70000</v>
      </c>
      <c r="AJ24">
        <f t="shared" si="20"/>
        <v>154000</v>
      </c>
      <c r="AK24">
        <f t="shared" si="21"/>
        <v>238000</v>
      </c>
      <c r="AL24">
        <f t="shared" si="22"/>
        <v>322000</v>
      </c>
      <c r="AM24">
        <f t="shared" si="23"/>
        <v>406000</v>
      </c>
      <c r="AN24">
        <f t="shared" si="24"/>
        <v>490000</v>
      </c>
      <c r="AO24">
        <f t="shared" si="25"/>
        <v>574000</v>
      </c>
      <c r="AP24">
        <f t="shared" si="26"/>
        <v>658000</v>
      </c>
      <c r="AQ24">
        <f t="shared" si="27"/>
        <v>742000</v>
      </c>
      <c r="AR24">
        <f t="shared" si="28"/>
        <v>826000</v>
      </c>
      <c r="AS24">
        <f t="shared" si="29"/>
        <v>910000</v>
      </c>
      <c r="AT24">
        <f t="shared" si="30"/>
        <v>994000</v>
      </c>
      <c r="AU24">
        <f t="shared" si="31"/>
        <v>1078000</v>
      </c>
      <c r="AV24">
        <f t="shared" si="32"/>
        <v>1162000</v>
      </c>
      <c r="AW24">
        <f t="shared" si="33"/>
        <v>1246000</v>
      </c>
      <c r="AX24">
        <f t="shared" si="34"/>
        <v>1330000</v>
      </c>
      <c r="AY24">
        <f t="shared" si="35"/>
        <v>1414000</v>
      </c>
      <c r="AZ24">
        <f t="shared" si="36"/>
        <v>1498000</v>
      </c>
      <c r="BA24">
        <f t="shared" si="37"/>
        <v>1582000</v>
      </c>
      <c r="BB24">
        <f t="shared" si="38"/>
        <v>1666000</v>
      </c>
      <c r="BC24">
        <f t="shared" si="39"/>
        <v>1750000</v>
      </c>
      <c r="BD24">
        <f t="shared" si="40"/>
        <v>1834000</v>
      </c>
      <c r="BE24">
        <f t="shared" si="41"/>
        <v>1918000</v>
      </c>
      <c r="BF24">
        <f t="shared" si="42"/>
        <v>2002000</v>
      </c>
      <c r="BG24">
        <f t="shared" si="43"/>
        <v>2086000</v>
      </c>
      <c r="BH24">
        <f t="shared" si="44"/>
        <v>2170000</v>
      </c>
      <c r="BI24">
        <f t="shared" si="45"/>
        <v>2254000</v>
      </c>
      <c r="BJ24">
        <f t="shared" si="46"/>
        <v>2338000</v>
      </c>
    </row>
    <row r="25" spans="1:62" x14ac:dyDescent="0.3">
      <c r="C25" t="s">
        <v>46</v>
      </c>
      <c r="D25">
        <f t="shared" si="0"/>
        <v>76328.751905596277</v>
      </c>
      <c r="E25">
        <f t="shared" si="47"/>
        <v>158209.2503675567</v>
      </c>
      <c r="F25">
        <f t="shared" si="48"/>
        <v>238666.66602613495</v>
      </c>
      <c r="G25">
        <f t="shared" si="49"/>
        <v>317725.732055937</v>
      </c>
      <c r="H25">
        <f t="shared" si="50"/>
        <v>396035.41981276503</v>
      </c>
      <c r="I25">
        <f t="shared" si="6"/>
        <v>473456.17834599124</v>
      </c>
      <c r="J25">
        <f t="shared" si="7"/>
        <v>549723.57634358655</v>
      </c>
      <c r="K25">
        <f t="shared" si="8"/>
        <v>624854.79576747341</v>
      </c>
      <c r="L25">
        <f t="shared" si="9"/>
        <v>698866.76261467359</v>
      </c>
      <c r="M25">
        <f t="shared" si="51"/>
        <v>773628.94163960544</v>
      </c>
      <c r="N25">
        <f t="shared" si="51"/>
        <v>847463.40715513215</v>
      </c>
      <c r="O25">
        <f t="shared" si="51"/>
        <v>920381.67102951044</v>
      </c>
      <c r="P25">
        <f t="shared" si="51"/>
        <v>992395.10228182084</v>
      </c>
      <c r="Q25">
        <f t="shared" si="51"/>
        <v>1063514.928854563</v>
      </c>
      <c r="R25">
        <f t="shared" si="51"/>
        <v>1133752.2393642557</v>
      </c>
      <c r="S25">
        <f t="shared" si="51"/>
        <v>1203117.9848303134</v>
      </c>
      <c r="T25">
        <f t="shared" si="51"/>
        <v>1271622.980382469</v>
      </c>
      <c r="U25">
        <f t="shared" si="51"/>
        <v>1339277.9069470116</v>
      </c>
      <c r="V25">
        <f>(V24+7000)-(0.000833*(V24+7000))</f>
        <v>1406674.6526564106</v>
      </c>
      <c r="W25">
        <f t="shared" si="11"/>
        <v>1476224.3435852334</v>
      </c>
      <c r="X25">
        <f t="shared" si="12"/>
        <v>1545081.9921205235</v>
      </c>
      <c r="Y25">
        <f t="shared" si="13"/>
        <v>1613254.4843126433</v>
      </c>
      <c r="Z25">
        <f t="shared" si="14"/>
        <v>1680748.6376934801</v>
      </c>
      <c r="AA25">
        <f t="shared" si="15"/>
        <v>1747571.2019582277</v>
      </c>
      <c r="AB25">
        <f t="shared" si="16"/>
        <v>1813728.8596403841</v>
      </c>
      <c r="AC25">
        <f t="shared" si="17"/>
        <v>1879228.2267800311</v>
      </c>
      <c r="AD25">
        <f t="shared" si="18"/>
        <v>1944075.853585467</v>
      </c>
      <c r="AE25">
        <f t="shared" si="19"/>
        <v>2008278.225088255</v>
      </c>
      <c r="AH25" t="s">
        <v>46</v>
      </c>
      <c r="AI25">
        <f t="shared" si="3"/>
        <v>77000</v>
      </c>
      <c r="AJ25">
        <f t="shared" si="20"/>
        <v>161000</v>
      </c>
      <c r="AK25">
        <f t="shared" si="21"/>
        <v>245000</v>
      </c>
      <c r="AL25">
        <f t="shared" si="22"/>
        <v>329000</v>
      </c>
      <c r="AM25">
        <f t="shared" si="23"/>
        <v>413000</v>
      </c>
      <c r="AN25">
        <f t="shared" si="24"/>
        <v>497000</v>
      </c>
      <c r="AO25">
        <f t="shared" si="25"/>
        <v>581000</v>
      </c>
      <c r="AP25">
        <f t="shared" si="26"/>
        <v>665000</v>
      </c>
      <c r="AQ25">
        <f t="shared" si="27"/>
        <v>749000</v>
      </c>
      <c r="AR25">
        <f t="shared" si="28"/>
        <v>833000</v>
      </c>
      <c r="AS25">
        <f t="shared" si="29"/>
        <v>917000</v>
      </c>
      <c r="AT25">
        <f t="shared" si="30"/>
        <v>1001000</v>
      </c>
      <c r="AU25">
        <f t="shared" si="31"/>
        <v>1085000</v>
      </c>
      <c r="AV25">
        <f t="shared" si="32"/>
        <v>1169000</v>
      </c>
      <c r="AW25">
        <f t="shared" si="33"/>
        <v>1253000</v>
      </c>
      <c r="AX25">
        <f t="shared" si="34"/>
        <v>1337000</v>
      </c>
      <c r="AY25">
        <f t="shared" si="35"/>
        <v>1421000</v>
      </c>
      <c r="AZ25">
        <f t="shared" si="36"/>
        <v>1505000</v>
      </c>
      <c r="BA25">
        <f t="shared" si="37"/>
        <v>1589000</v>
      </c>
      <c r="BB25">
        <f t="shared" si="38"/>
        <v>1673000</v>
      </c>
      <c r="BC25">
        <f t="shared" si="39"/>
        <v>1757000</v>
      </c>
      <c r="BD25">
        <f t="shared" si="40"/>
        <v>1841000</v>
      </c>
      <c r="BE25">
        <f t="shared" si="41"/>
        <v>1925000</v>
      </c>
      <c r="BF25">
        <f t="shared" si="42"/>
        <v>2009000</v>
      </c>
      <c r="BG25">
        <f t="shared" si="43"/>
        <v>2093000</v>
      </c>
      <c r="BH25">
        <f t="shared" si="44"/>
        <v>2177000</v>
      </c>
      <c r="BI25">
        <f t="shared" si="45"/>
        <v>2261000</v>
      </c>
      <c r="BJ25">
        <f t="shared" si="46"/>
        <v>2345000</v>
      </c>
    </row>
    <row r="26" spans="1:62" x14ac:dyDescent="0.3">
      <c r="C26" t="s">
        <v>47</v>
      </c>
      <c r="D26">
        <f t="shared" si="0"/>
        <v>83207.091927814108</v>
      </c>
      <c r="E26">
        <f t="shared" si="47"/>
        <v>164968.04486202006</v>
      </c>
      <c r="F26">
        <f t="shared" si="48"/>
        <v>245307.9926937368</v>
      </c>
      <c r="G26">
        <f t="shared" si="49"/>
        <v>324251.63248713536</v>
      </c>
      <c r="H26">
        <f t="shared" si="50"/>
        <v>402531.62553799909</v>
      </c>
      <c r="I26">
        <f>(I25+7000)-(0.00125*(I25+7000))</f>
        <v>479855.60812305874</v>
      </c>
      <c r="J26">
        <f>(J25+7000)-(0.00125*(J25+7000))</f>
        <v>556027.67187315703</v>
      </c>
      <c r="K26">
        <f>(K25+7000)-(0.00125*(K25+7000))</f>
        <v>631064.97727276408</v>
      </c>
      <c r="L26">
        <f>(L25+7000)-(0.00104*(L25+7000))</f>
        <v>705132.66118155431</v>
      </c>
      <c r="M26">
        <f t="shared" si="51"/>
        <v>779817.08754030021</v>
      </c>
      <c r="N26">
        <f t="shared" si="51"/>
        <v>853574.7652116908</v>
      </c>
      <c r="O26">
        <f t="shared" si="51"/>
        <v>926417.19409163971</v>
      </c>
      <c r="P26">
        <f t="shared" si="51"/>
        <v>998355.73137544771</v>
      </c>
      <c r="Q26">
        <f t="shared" si="51"/>
        <v>1069401.5933285542</v>
      </c>
      <c r="R26">
        <f t="shared" si="51"/>
        <v>1139565.8570353168</v>
      </c>
      <c r="S26">
        <f t="shared" si="51"/>
        <v>1208859.4621260897</v>
      </c>
      <c r="T26">
        <f t="shared" si="51"/>
        <v>1277293.2124828713</v>
      </c>
      <c r="U26">
        <f t="shared" si="51"/>
        <v>1344877.7779237868</v>
      </c>
      <c r="V26">
        <f>(V25+7000)-(0.000833*(V25+7000))</f>
        <v>1412497.0616707478</v>
      </c>
      <c r="W26" s="3">
        <f t="shared" si="11"/>
        <v>1481988.8177070268</v>
      </c>
      <c r="X26">
        <f t="shared" si="12"/>
        <v>1550789.1078210871</v>
      </c>
      <c r="Y26">
        <f t="shared" si="13"/>
        <v>1618904.8123272108</v>
      </c>
      <c r="Z26">
        <f t="shared" si="14"/>
        <v>1686342.7430782814</v>
      </c>
      <c r="AA26">
        <f t="shared" si="15"/>
        <v>1753109.6441469966</v>
      </c>
      <c r="AB26" s="3">
        <f t="shared" si="16"/>
        <v>1819212.1925003037</v>
      </c>
      <c r="AC26">
        <f t="shared" si="17"/>
        <v>1884656.9986671233</v>
      </c>
      <c r="AD26">
        <f t="shared" si="18"/>
        <v>1949450.6073994304</v>
      </c>
      <c r="AE26">
        <f t="shared" si="19"/>
        <v>2013599.4983267565</v>
      </c>
      <c r="AH26" t="s">
        <v>47</v>
      </c>
      <c r="AI26">
        <f t="shared" si="3"/>
        <v>84000</v>
      </c>
      <c r="AJ26">
        <f t="shared" si="20"/>
        <v>168000</v>
      </c>
      <c r="AK26">
        <f t="shared" si="21"/>
        <v>252000</v>
      </c>
      <c r="AL26">
        <f t="shared" si="22"/>
        <v>336000</v>
      </c>
      <c r="AM26">
        <f t="shared" si="23"/>
        <v>420000</v>
      </c>
      <c r="AN26">
        <f t="shared" si="24"/>
        <v>504000</v>
      </c>
      <c r="AO26">
        <f t="shared" si="25"/>
        <v>588000</v>
      </c>
      <c r="AP26">
        <f t="shared" si="26"/>
        <v>672000</v>
      </c>
      <c r="AQ26">
        <f t="shared" si="27"/>
        <v>756000</v>
      </c>
      <c r="AR26">
        <f t="shared" si="28"/>
        <v>840000</v>
      </c>
      <c r="AS26">
        <f t="shared" si="29"/>
        <v>924000</v>
      </c>
      <c r="AT26">
        <f t="shared" si="30"/>
        <v>1008000</v>
      </c>
      <c r="AU26">
        <f t="shared" si="31"/>
        <v>1092000</v>
      </c>
      <c r="AV26">
        <f t="shared" si="32"/>
        <v>1176000</v>
      </c>
      <c r="AW26">
        <f t="shared" si="33"/>
        <v>1260000</v>
      </c>
      <c r="AX26">
        <f t="shared" si="34"/>
        <v>1344000</v>
      </c>
      <c r="AY26">
        <f t="shared" si="35"/>
        <v>1428000</v>
      </c>
      <c r="AZ26">
        <f t="shared" si="36"/>
        <v>1512000</v>
      </c>
      <c r="BA26">
        <f t="shared" si="37"/>
        <v>1596000</v>
      </c>
      <c r="BB26" s="3">
        <f t="shared" si="38"/>
        <v>1680000</v>
      </c>
      <c r="BC26">
        <f t="shared" si="39"/>
        <v>1764000</v>
      </c>
      <c r="BD26">
        <f t="shared" si="40"/>
        <v>1848000</v>
      </c>
      <c r="BE26">
        <f t="shared" si="41"/>
        <v>1932000</v>
      </c>
      <c r="BF26">
        <f t="shared" si="42"/>
        <v>2016000</v>
      </c>
      <c r="BG26" s="3">
        <f t="shared" si="43"/>
        <v>2100000</v>
      </c>
      <c r="BH26">
        <f t="shared" si="44"/>
        <v>2184000</v>
      </c>
      <c r="BI26">
        <f t="shared" si="45"/>
        <v>2268000</v>
      </c>
      <c r="BJ26">
        <f t="shared" si="46"/>
        <v>2352000</v>
      </c>
    </row>
    <row r="28" spans="1:62" x14ac:dyDescent="0.3">
      <c r="Z28" s="2"/>
      <c r="AA28" s="2" t="s">
        <v>89</v>
      </c>
      <c r="AB28" s="5">
        <f>7000*12*25</f>
        <v>2100000</v>
      </c>
      <c r="BF28" s="2" t="s">
        <v>89</v>
      </c>
      <c r="BG28" s="5">
        <f>7000*12*25</f>
        <v>2100000</v>
      </c>
    </row>
    <row r="29" spans="1:62" x14ac:dyDescent="0.3">
      <c r="AA29" s="2" t="s">
        <v>84</v>
      </c>
      <c r="AB29" s="5">
        <f>AB26</f>
        <v>1819212.1925003037</v>
      </c>
      <c r="BF29" s="2" t="s">
        <v>84</v>
      </c>
      <c r="BG29" s="5">
        <f>BG26</f>
        <v>2100000</v>
      </c>
    </row>
    <row r="30" spans="1:62" x14ac:dyDescent="0.3">
      <c r="AA30" s="2" t="s">
        <v>85</v>
      </c>
      <c r="AB30" s="5">
        <f>AB28-AB29</f>
        <v>280787.80749969627</v>
      </c>
      <c r="BF30" s="2" t="s">
        <v>85</v>
      </c>
      <c r="BG30" s="5">
        <f>BG28-BG29</f>
        <v>0</v>
      </c>
    </row>
    <row r="31" spans="1:62" x14ac:dyDescent="0.3">
      <c r="AA31" s="2" t="s">
        <v>86</v>
      </c>
      <c r="AB31" s="5">
        <f>AB30/12</f>
        <v>23398.983958308021</v>
      </c>
      <c r="BF31" s="2" t="s">
        <v>88</v>
      </c>
      <c r="BG31" s="5">
        <f>BG30/12</f>
        <v>0</v>
      </c>
    </row>
    <row r="32" spans="1:62" x14ac:dyDescent="0.3">
      <c r="D32" t="s">
        <v>52</v>
      </c>
      <c r="AI32" t="s">
        <v>52</v>
      </c>
      <c r="AJ32" t="s">
        <v>66</v>
      </c>
    </row>
    <row r="33" spans="1:62" x14ac:dyDescent="0.3">
      <c r="D33" t="s">
        <v>14</v>
      </c>
      <c r="AI33" t="s">
        <v>14</v>
      </c>
    </row>
    <row r="34" spans="1:62" x14ac:dyDescent="0.3">
      <c r="D34" t="s">
        <v>78</v>
      </c>
      <c r="AI34" t="s">
        <v>78</v>
      </c>
    </row>
    <row r="35" spans="1:62" x14ac:dyDescent="0.3">
      <c r="D35" t="s">
        <v>15</v>
      </c>
      <c r="E35" t="s">
        <v>16</v>
      </c>
      <c r="F35" t="s">
        <v>17</v>
      </c>
      <c r="G35" t="s">
        <v>18</v>
      </c>
      <c r="H35" t="s">
        <v>19</v>
      </c>
      <c r="I35" t="s">
        <v>20</v>
      </c>
      <c r="J35" t="s">
        <v>21</v>
      </c>
      <c r="K35" t="s">
        <v>22</v>
      </c>
      <c r="L35" t="s">
        <v>23</v>
      </c>
      <c r="M35" t="s">
        <v>24</v>
      </c>
      <c r="N35" t="s">
        <v>25</v>
      </c>
      <c r="O35" t="s">
        <v>26</v>
      </c>
      <c r="P35" t="s">
        <v>27</v>
      </c>
      <c r="Q35" t="s">
        <v>28</v>
      </c>
      <c r="R35" t="s">
        <v>29</v>
      </c>
      <c r="S35" t="s">
        <v>30</v>
      </c>
      <c r="T35" t="s">
        <v>31</v>
      </c>
      <c r="U35" t="s">
        <v>32</v>
      </c>
      <c r="V35" t="s">
        <v>33</v>
      </c>
      <c r="W35" t="s">
        <v>34</v>
      </c>
      <c r="X35" t="s">
        <v>35</v>
      </c>
      <c r="Y35" t="s">
        <v>36</v>
      </c>
      <c r="Z35" t="s">
        <v>37</v>
      </c>
      <c r="AA35" t="s">
        <v>38</v>
      </c>
      <c r="AB35" t="s">
        <v>39</v>
      </c>
      <c r="AC35" t="s">
        <v>67</v>
      </c>
      <c r="AD35" t="s">
        <v>68</v>
      </c>
      <c r="AE35" t="s">
        <v>69</v>
      </c>
      <c r="AI35" t="s">
        <v>15</v>
      </c>
      <c r="AJ35" t="s">
        <v>16</v>
      </c>
      <c r="AK35" t="s">
        <v>17</v>
      </c>
      <c r="AL35" t="s">
        <v>18</v>
      </c>
      <c r="AM35" t="s">
        <v>19</v>
      </c>
      <c r="AN35" t="s">
        <v>20</v>
      </c>
      <c r="AO35" t="s">
        <v>21</v>
      </c>
      <c r="AP35" t="s">
        <v>22</v>
      </c>
      <c r="AQ35" t="s">
        <v>23</v>
      </c>
      <c r="AR35" t="s">
        <v>24</v>
      </c>
      <c r="AS35" t="s">
        <v>25</v>
      </c>
      <c r="AT35" t="s">
        <v>26</v>
      </c>
      <c r="AU35" t="s">
        <v>27</v>
      </c>
      <c r="AV35" t="s">
        <v>28</v>
      </c>
      <c r="AW35" t="s">
        <v>29</v>
      </c>
      <c r="AX35" t="s">
        <v>30</v>
      </c>
      <c r="AY35" t="s">
        <v>31</v>
      </c>
      <c r="AZ35" t="s">
        <v>32</v>
      </c>
      <c r="BA35" t="s">
        <v>33</v>
      </c>
      <c r="BB35" t="s">
        <v>34</v>
      </c>
      <c r="BC35" t="s">
        <v>35</v>
      </c>
      <c r="BD35" t="s">
        <v>36</v>
      </c>
      <c r="BE35" t="s">
        <v>37</v>
      </c>
      <c r="BF35" t="s">
        <v>38</v>
      </c>
      <c r="BG35" t="s">
        <v>39</v>
      </c>
      <c r="BH35" t="s">
        <v>67</v>
      </c>
      <c r="BI35" t="s">
        <v>68</v>
      </c>
      <c r="BJ35" t="s">
        <v>69</v>
      </c>
    </row>
    <row r="36" spans="1:62" x14ac:dyDescent="0.3">
      <c r="D36">
        <v>0</v>
      </c>
      <c r="AI36">
        <v>0</v>
      </c>
    </row>
    <row r="37" spans="1:62" x14ac:dyDescent="0.3">
      <c r="D37">
        <f t="shared" ref="D37:D48" si="52">(D36+7000)*1.00328-(0.00146*(D36+7000))</f>
        <v>7012.74</v>
      </c>
      <c r="E37">
        <f>(D48+7000)*1.00328-(0.00146*(D48+7000))</f>
        <v>92167.822391558104</v>
      </c>
      <c r="F37">
        <f>(E48+7000)*1.00328-(0.00146*(E48+7000))</f>
        <v>179201.42165415571</v>
      </c>
      <c r="G37">
        <f>(F48+7000)*1.00328-(0.00146*(F48+7000))</f>
        <v>268154.97777628992</v>
      </c>
      <c r="H37">
        <f>(G48+7000)*1.00328-(0.00125*(G48+7000))</f>
        <v>359219.92615968338</v>
      </c>
      <c r="I37">
        <f>(H48+7000)*1.00328-(0.00125*(H48+7000))</f>
        <v>453185.56018069264</v>
      </c>
      <c r="J37">
        <f>(I48+7000)*1.00328-(0.00125*(I48+7000))</f>
        <v>549465.92748944531</v>
      </c>
      <c r="K37">
        <f>(J48+7000)*1.00328-(0.00125*(J48+7000))</f>
        <v>648118.04882814374</v>
      </c>
      <c r="L37">
        <f>(K48+7000)*1.00328-(0.00104*(K48+7000))</f>
        <v>750120.79654836259</v>
      </c>
      <c r="M37">
        <f>(L48+7000)*1.00328-(0.00125*(L48+7000))</f>
        <v>855588.15115079307</v>
      </c>
      <c r="N37">
        <f>(M48+7000)*1.00328-(0.00104*(M48+7000))</f>
        <v>963732.18781038246</v>
      </c>
      <c r="O37">
        <f t="shared" ref="O37:AE37" si="53">(N48+7000)*1.00328-(0.000833*(N48+7000))</f>
        <v>1075414.0641888757</v>
      </c>
      <c r="P37">
        <f t="shared" si="53"/>
        <v>1192769.1304399408</v>
      </c>
      <c r="Q37">
        <f t="shared" si="53"/>
        <v>1313616.9694203706</v>
      </c>
      <c r="R37">
        <f t="shared" si="53"/>
        <v>1438061.5345573905</v>
      </c>
      <c r="S37">
        <f t="shared" si="53"/>
        <v>1566209.8731855217</v>
      </c>
      <c r="T37">
        <f t="shared" si="53"/>
        <v>1698172.2186288014</v>
      </c>
      <c r="U37">
        <f t="shared" si="53"/>
        <v>1834062.0850235934</v>
      </c>
      <c r="V37">
        <f t="shared" si="53"/>
        <v>1973996.3649635622</v>
      </c>
      <c r="W37">
        <f t="shared" si="53"/>
        <v>2118095.4300507866</v>
      </c>
      <c r="X37">
        <f t="shared" si="53"/>
        <v>2266483.2344395323</v>
      </c>
      <c r="Y37">
        <f t="shared" si="53"/>
        <v>2419287.4214617345</v>
      </c>
      <c r="Z37">
        <f t="shared" si="53"/>
        <v>2576639.4334259145</v>
      </c>
      <c r="AA37">
        <f t="shared" si="53"/>
        <v>2738674.6246839762</v>
      </c>
      <c r="AB37">
        <f t="shared" si="53"/>
        <v>2905532.3780631558</v>
      </c>
      <c r="AC37">
        <f t="shared" si="53"/>
        <v>3077356.224763257</v>
      </c>
      <c r="AD37">
        <f t="shared" si="53"/>
        <v>3254293.9678223366</v>
      </c>
      <c r="AE37">
        <f t="shared" si="53"/>
        <v>3436497.8092570072</v>
      </c>
      <c r="AI37">
        <f t="shared" ref="AI37:AI48" si="54">(AI36+7000)*1.00328-0</f>
        <v>7022.96</v>
      </c>
      <c r="AJ37">
        <f t="shared" ref="AJ37:BJ37" si="55">(AI48+7000)*1.00328-0</f>
        <v>93117.021293111975</v>
      </c>
      <c r="AK37">
        <f t="shared" si="55"/>
        <v>182661.5496350234</v>
      </c>
      <c r="AL37">
        <f t="shared" si="55"/>
        <v>275794.8324136915</v>
      </c>
      <c r="AM37">
        <f t="shared" si="55"/>
        <v>372660.69928175741</v>
      </c>
      <c r="AN37">
        <f t="shared" si="55"/>
        <v>473408.74427873909</v>
      </c>
      <c r="AO37">
        <f t="shared" si="55"/>
        <v>578194.55685540917</v>
      </c>
      <c r="AP37">
        <f t="shared" si="55"/>
        <v>687179.96215714002</v>
      </c>
      <c r="AQ37">
        <f t="shared" si="55"/>
        <v>800533.27093729307</v>
      </c>
      <c r="AR37">
        <f t="shared" si="55"/>
        <v>918429.5394866073</v>
      </c>
      <c r="AS37">
        <f t="shared" si="55"/>
        <v>1041050.8399800046</v>
      </c>
      <c r="AT37">
        <f t="shared" si="55"/>
        <v>1168586.5416583216</v>
      </c>
      <c r="AU37">
        <f t="shared" si="55"/>
        <v>1301233.6032792055</v>
      </c>
      <c r="AV37">
        <f t="shared" si="55"/>
        <v>1439196.8772888242</v>
      </c>
      <c r="AW37">
        <f t="shared" si="55"/>
        <v>1582689.4261841285</v>
      </c>
      <c r="AX37">
        <f t="shared" si="55"/>
        <v>1731932.8515542441</v>
      </c>
      <c r="AY37">
        <f t="shared" si="55"/>
        <v>1887157.6363091418</v>
      </c>
      <c r="AZ37">
        <f t="shared" si="55"/>
        <v>2048603.5006241063</v>
      </c>
      <c r="BA37">
        <f t="shared" si="55"/>
        <v>2216519.7721497053</v>
      </c>
      <c r="BB37">
        <f t="shared" si="55"/>
        <v>2391165.7710589832</v>
      </c>
      <c r="BC37">
        <f t="shared" si="55"/>
        <v>2572811.2105265292</v>
      </c>
      <c r="BD37">
        <f t="shared" si="55"/>
        <v>2761736.6132579022</v>
      </c>
      <c r="BE37">
        <f t="shared" si="55"/>
        <v>2958233.7447126582</v>
      </c>
      <c r="BF37">
        <f t="shared" si="55"/>
        <v>3162606.0636900468</v>
      </c>
      <c r="BG37">
        <f t="shared" si="55"/>
        <v>3375169.1909732185</v>
      </c>
      <c r="BH37">
        <f t="shared" si="55"/>
        <v>3596251.3967556981</v>
      </c>
      <c r="BI37">
        <f t="shared" si="55"/>
        <v>3826194.1076028799</v>
      </c>
      <c r="BJ37">
        <f t="shared" si="55"/>
        <v>4065352.4337314521</v>
      </c>
    </row>
    <row r="38" spans="1:62" x14ac:dyDescent="0.3">
      <c r="D38">
        <f t="shared" si="52"/>
        <v>14038.2431868</v>
      </c>
      <c r="E38">
        <f t="shared" ref="E38:E47" si="56">(E37+7000)*1.00328-(0.00146*(E37+7000))</f>
        <v>99348.307828310732</v>
      </c>
      <c r="F38">
        <f t="shared" ref="F38:F47" si="57">(F37+7000)*1.00328-(0.00146*(F37+7000))</f>
        <v>186540.30824156626</v>
      </c>
      <c r="G38">
        <f t="shared" ref="G38:G47" si="58">(G37+7000)*1.00328-(0.00146*(G37+7000))</f>
        <v>275655.75983584271</v>
      </c>
      <c r="H38">
        <f t="shared" ref="H38:K43" si="59">(H37+7000)*1.00328-(0.00125*(H37+7000))</f>
        <v>366963.35260978749</v>
      </c>
      <c r="I38">
        <f t="shared" si="59"/>
        <v>461119.73686785938</v>
      </c>
      <c r="J38">
        <f t="shared" si="59"/>
        <v>557595.55332224886</v>
      </c>
      <c r="K38">
        <f t="shared" si="59"/>
        <v>656447.93846726476</v>
      </c>
      <c r="L38">
        <f t="shared" ref="L38:L48" si="60">(L37+7000)*1.00328-(0.00104*(L37+7000))</f>
        <v>758816.7471326309</v>
      </c>
      <c r="M38">
        <f>(M37+7000)*1.00328-(0.00125*(M37+7000))</f>
        <v>864339.20509762922</v>
      </c>
      <c r="N38">
        <f t="shared" ref="N38:N48" si="61">(N37+7000)*1.00328-(0.00104*(N37+7000))</f>
        <v>972906.6279110777</v>
      </c>
      <c r="O38">
        <f t="shared" ref="O38:O48" si="62">(O37+7000)*1.00328-(0.000833*(O37+7000))</f>
        <v>1085062.7314039459</v>
      </c>
      <c r="P38">
        <f t="shared" ref="P38:P48" si="63">(P37+7000)*1.00328-(0.000833*(P37+7000))</f>
        <v>1202704.9655021273</v>
      </c>
      <c r="Q38">
        <f t="shared" ref="Q38:Q48" si="64">(Q37+7000)*1.00328-(0.000833*(Q37+7000))</f>
        <v>1323848.5191445423</v>
      </c>
      <c r="R38">
        <f t="shared" ref="R38:R48" si="65">(R37+7000)*1.00328-(0.000833*(R37+7000))</f>
        <v>1448597.6001324523</v>
      </c>
      <c r="S38">
        <f t="shared" ref="S38:S48" si="66">(S37+7000)*1.00328-(0.000833*(S37+7000))</f>
        <v>1577059.5177452066</v>
      </c>
      <c r="T38">
        <f t="shared" ref="T38:T48" si="67">(T37+7000)*1.00328-(0.000833*(T37+7000))</f>
        <v>1709344.7750477858</v>
      </c>
      <c r="U38">
        <f t="shared" ref="U38:U48" si="68">(U37+7000)*1.00328-(0.000833*(U37+7000))</f>
        <v>1845567.163945646</v>
      </c>
      <c r="V38">
        <f t="shared" ref="V38:V48" si="69">(V37+7000)*1.00328-(0.000833*(V37+7000))</f>
        <v>1985843.8630686279</v>
      </c>
      <c r="W38">
        <f t="shared" ref="W38:W48" si="70">(W37+7000)*1.00328-(0.000833*(W37+7000))</f>
        <v>2130295.5385681204</v>
      </c>
      <c r="X38">
        <f t="shared" ref="X38:X48" si="71">(X37+7000)*1.00328-(0.000833*(X37+7000))</f>
        <v>2279046.4479142055</v>
      </c>
      <c r="Y38">
        <f t="shared" ref="Y38:Y48" si="72">(Y37+7000)*1.00328-(0.000833*(Y37+7000))</f>
        <v>2432224.5467820512</v>
      </c>
      <c r="Z38">
        <f t="shared" ref="Z38:Z48" si="73">(Z37+7000)*1.00328-(0.000833*(Z37+7000))</f>
        <v>2589961.5991195077</v>
      </c>
      <c r="AA38">
        <f t="shared" ref="AA38:AA48" si="74">(AA37+7000)*1.00328-(0.000833*(AA37+7000))</f>
        <v>2752393.2904905775</v>
      </c>
      <c r="AB38">
        <f t="shared" ref="AB38:AB48" si="75">(AB37+7000)*1.00328-(0.000833*(AB37+7000))</f>
        <v>2919659.3447922762</v>
      </c>
      <c r="AC38">
        <f t="shared" ref="AC38:AC48" si="76">(AC37+7000)*1.00328-(0.000833*(AC37+7000))</f>
        <v>3091903.6444452526</v>
      </c>
      <c r="AD38">
        <f t="shared" ref="AD38:AD48" si="77">(AD37+7000)*1.00328-(0.000833*(AD37+7000))</f>
        <v>3269274.3541615978</v>
      </c>
      <c r="AE38">
        <f t="shared" ref="AE38:AE48" si="78">(AE37+7000)*1.00328-(0.000833*(AE37+7000))</f>
        <v>3451924.0483962586</v>
      </c>
      <c r="AI38">
        <f t="shared" si="54"/>
        <v>14068.955308799998</v>
      </c>
      <c r="AJ38">
        <f t="shared" ref="AJ38:AJ48" si="79">(AJ37+7000)*1.00328-0</f>
        <v>100445.40512295338</v>
      </c>
      <c r="AK38">
        <f t="shared" ref="AK38:AK48" si="80">(AK37+7000)*1.00328-0</f>
        <v>190283.63951782626</v>
      </c>
      <c r="AL38">
        <f t="shared" ref="AL38:AL48" si="81">(AL37+7000)*1.00328-0</f>
        <v>283722.3994640084</v>
      </c>
      <c r="AM38">
        <f t="shared" ref="AM38:AM48" si="82">(AM37+7000)*1.00328-0</f>
        <v>380905.98637540155</v>
      </c>
      <c r="AN38">
        <f t="shared" ref="AN38:AN48" si="83">(AN37+7000)*1.00328-0</f>
        <v>481984.48495997331</v>
      </c>
      <c r="AO38">
        <f t="shared" ref="AO38:AO48" si="84">(AO37+7000)*1.00328-0</f>
        <v>587113.99500189489</v>
      </c>
      <c r="AP38">
        <f t="shared" ref="AP38:AP48" si="85">(AP37+7000)*1.00328-0</f>
        <v>696456.87243301538</v>
      </c>
      <c r="AQ38">
        <f t="shared" ref="AQ38:AQ48" si="86">(AQ37+7000)*1.00328-0</f>
        <v>810181.98006596731</v>
      </c>
      <c r="AR38">
        <f t="shared" ref="AR38:AR48" si="87">(AR37+7000)*1.00328-0</f>
        <v>928464.94837612333</v>
      </c>
      <c r="AS38">
        <f t="shared" ref="AS38:AS48" si="88">(AS37+7000)*1.00328-0</f>
        <v>1051488.446735139</v>
      </c>
      <c r="AT38">
        <f t="shared" ref="AT38:AT48" si="89">(AT37+7000)*1.00328-0</f>
        <v>1179442.4655149609</v>
      </c>
      <c r="AU38">
        <f t="shared" ref="AU38:AU48" si="90">(AU37+7000)*1.00328-0</f>
        <v>1312524.6094979611</v>
      </c>
      <c r="AV38">
        <f t="shared" ref="AV38:AV48" si="91">(AV37+7000)*1.00328-0</f>
        <v>1450940.4030463314</v>
      </c>
      <c r="AW38">
        <f t="shared" ref="AW38:AW48" si="92">(AW37+7000)*1.00328-0</f>
        <v>1594903.6075020123</v>
      </c>
      <c r="AX38">
        <f t="shared" ref="AX38:AX48" si="93">(AX37+7000)*1.00328-0</f>
        <v>1744636.5513073418</v>
      </c>
      <c r="AY38">
        <f t="shared" ref="AY38:AY48" si="94">(AY37+7000)*1.00328-0</f>
        <v>1900370.4733562355</v>
      </c>
      <c r="AZ38">
        <f t="shared" ref="AZ38:AZ48" si="95">(AZ37+7000)*1.00328-0</f>
        <v>2062345.8801061532</v>
      </c>
      <c r="BA38">
        <f t="shared" ref="BA38:BA48" si="96">(BA37+7000)*1.00328-0</f>
        <v>2230812.9170023561</v>
      </c>
      <c r="BB38">
        <f t="shared" ref="BB38:BB48" si="97">(BB37+7000)*1.00328-0</f>
        <v>2406031.7547880565</v>
      </c>
      <c r="BC38">
        <f t="shared" ref="BC38:BC48" si="98">(BC37+7000)*1.00328-0</f>
        <v>2588272.991297056</v>
      </c>
      <c r="BD38">
        <f t="shared" ref="BD38:BD48" si="99">(BD37+7000)*1.00328-0</f>
        <v>2777818.0693493881</v>
      </c>
      <c r="BE38">
        <f t="shared" ref="BE38:BE48" si="100">(BE37+7000)*1.00328-0</f>
        <v>2974959.7113953158</v>
      </c>
      <c r="BF38">
        <f t="shared" ref="BF38:BF48" si="101">(BF37+7000)*1.00328-0</f>
        <v>3180002.37157895</v>
      </c>
      <c r="BG38">
        <f t="shared" ref="BG38:BG48" si="102">(BG37+7000)*1.00328-0</f>
        <v>3393262.7059196103</v>
      </c>
      <c r="BH38">
        <f t="shared" ref="BH38:BH48" si="103">(BH37+7000)*1.00328-0</f>
        <v>3615070.0613370566</v>
      </c>
      <c r="BI38">
        <f t="shared" ref="BI38:BI48" si="104">(BI37+7000)*1.00328-0</f>
        <v>3845766.9842758169</v>
      </c>
      <c r="BJ38">
        <f t="shared" ref="BJ38:BJ48" si="105">(BJ37+7000)*1.00328-0</f>
        <v>4085709.749714091</v>
      </c>
    </row>
    <row r="39" spans="1:62" x14ac:dyDescent="0.3">
      <c r="A39">
        <f>0.0175/12</f>
        <v>1.4583333333333334E-3</v>
      </c>
      <c r="B39">
        <v>1.75</v>
      </c>
      <c r="D39">
        <f t="shared" si="52"/>
        <v>21076.532789399975</v>
      </c>
      <c r="E39">
        <f t="shared" si="56"/>
        <v>106541.86174855825</v>
      </c>
      <c r="F39">
        <f t="shared" si="57"/>
        <v>193892.55160256589</v>
      </c>
      <c r="G39">
        <f t="shared" si="58"/>
        <v>283170.19331874396</v>
      </c>
      <c r="H39">
        <f t="shared" si="59"/>
        <v>374722.49821558531</v>
      </c>
      <c r="I39">
        <f t="shared" si="59"/>
        <v>469070.01993370109</v>
      </c>
      <c r="J39">
        <f t="shared" si="59"/>
        <v>565741.68229549297</v>
      </c>
      <c r="K39">
        <f t="shared" si="59"/>
        <v>664794.7377823533</v>
      </c>
      <c r="L39">
        <f t="shared" si="60"/>
        <v>767532.17664620792</v>
      </c>
      <c r="M39">
        <f>(M38+7000)*1.00328-(0.00125*(M38+7000))</f>
        <v>873108.02368397743</v>
      </c>
      <c r="N39">
        <f t="shared" si="61"/>
        <v>982101.61875759845</v>
      </c>
      <c r="O39">
        <f t="shared" si="62"/>
        <v>1094735.0089076913</v>
      </c>
      <c r="P39">
        <f t="shared" si="63"/>
        <v>1212665.113552711</v>
      </c>
      <c r="Q39">
        <f t="shared" si="64"/>
        <v>1334105.105470889</v>
      </c>
      <c r="R39">
        <f t="shared" si="65"/>
        <v>1459159.4474599764</v>
      </c>
      <c r="S39">
        <f t="shared" si="66"/>
        <v>1587935.7113851293</v>
      </c>
      <c r="T39">
        <f t="shared" si="67"/>
        <v>1720544.6707123276</v>
      </c>
      <c r="U39">
        <f t="shared" si="68"/>
        <v>1857100.395795821</v>
      </c>
      <c r="V39">
        <f t="shared" si="69"/>
        <v>1997720.3520015569</v>
      </c>
      <c r="W39">
        <f t="shared" si="70"/>
        <v>2142525.5007509966</v>
      </c>
      <c r="X39">
        <f t="shared" si="71"/>
        <v>2291640.4035722511</v>
      </c>
      <c r="Y39">
        <f t="shared" si="72"/>
        <v>2445193.3292480269</v>
      </c>
      <c r="Z39">
        <f t="shared" si="73"/>
        <v>2603316.364152553</v>
      </c>
      <c r="AA39">
        <f t="shared" si="74"/>
        <v>2766145.5258724075</v>
      </c>
      <c r="AB39">
        <f t="shared" si="75"/>
        <v>2933820.8802089826</v>
      </c>
      <c r="AC39">
        <f t="shared" si="76"/>
        <v>3106486.66166321</v>
      </c>
      <c r="AD39">
        <f t="shared" si="77"/>
        <v>3284291.397506231</v>
      </c>
      <c r="AE39">
        <f t="shared" si="78"/>
        <v>3467388.0355426841</v>
      </c>
      <c r="AI39">
        <f t="shared" si="54"/>
        <v>21138.061482212859</v>
      </c>
      <c r="AJ39">
        <f t="shared" si="79"/>
        <v>107797.82605175667</v>
      </c>
      <c r="AK39">
        <f t="shared" si="80"/>
        <v>197930.72985544472</v>
      </c>
      <c r="AL39">
        <f t="shared" si="81"/>
        <v>291675.96893425036</v>
      </c>
      <c r="AM39">
        <f t="shared" si="82"/>
        <v>389178.31801071286</v>
      </c>
      <c r="AN39">
        <f t="shared" si="83"/>
        <v>490588.35407064197</v>
      </c>
      <c r="AO39">
        <f t="shared" si="84"/>
        <v>596062.68890550104</v>
      </c>
      <c r="AP39">
        <f t="shared" si="85"/>
        <v>705764.21097459563</v>
      </c>
      <c r="AQ39">
        <f t="shared" si="86"/>
        <v>819862.33696058369</v>
      </c>
      <c r="AR39">
        <f t="shared" si="87"/>
        <v>938533.27340679697</v>
      </c>
      <c r="AS39">
        <f t="shared" si="88"/>
        <v>1061960.2888404303</v>
      </c>
      <c r="AT39">
        <f t="shared" si="89"/>
        <v>1190333.9968018499</v>
      </c>
      <c r="AU39">
        <f t="shared" si="90"/>
        <v>1323852.6502171145</v>
      </c>
      <c r="AV39">
        <f t="shared" si="91"/>
        <v>1462722.4475683232</v>
      </c>
      <c r="AW39">
        <f t="shared" si="92"/>
        <v>1607157.8513346189</v>
      </c>
      <c r="AX39">
        <f t="shared" si="93"/>
        <v>1757381.9191956299</v>
      </c>
      <c r="AY39">
        <f t="shared" si="94"/>
        <v>1913626.648508844</v>
      </c>
      <c r="AZ39">
        <f t="shared" si="95"/>
        <v>2076133.3345929012</v>
      </c>
      <c r="BA39">
        <f t="shared" si="96"/>
        <v>2245152.9433701239</v>
      </c>
      <c r="BB39">
        <f t="shared" si="97"/>
        <v>2420946.498943761</v>
      </c>
      <c r="BC39">
        <f t="shared" si="98"/>
        <v>2603785.4867085102</v>
      </c>
      <c r="BD39">
        <f t="shared" si="99"/>
        <v>2793952.2726168539</v>
      </c>
      <c r="BE39">
        <f t="shared" si="100"/>
        <v>2991740.5392486923</v>
      </c>
      <c r="BF39">
        <f t="shared" si="101"/>
        <v>3197455.739357729</v>
      </c>
      <c r="BG39">
        <f t="shared" si="102"/>
        <v>3411415.5675950265</v>
      </c>
      <c r="BH39">
        <f t="shared" si="103"/>
        <v>3633950.4511382421</v>
      </c>
      <c r="BI39">
        <f t="shared" si="104"/>
        <v>3865404.0599842416</v>
      </c>
      <c r="BJ39">
        <f t="shared" si="105"/>
        <v>4106133.8376931529</v>
      </c>
    </row>
    <row r="40" spans="1:62" x14ac:dyDescent="0.3">
      <c r="A40">
        <f>0.015/12</f>
        <v>1.25E-3</v>
      </c>
      <c r="B40">
        <v>1.5</v>
      </c>
      <c r="D40">
        <f t="shared" si="52"/>
        <v>28127.632079076684</v>
      </c>
      <c r="E40">
        <f t="shared" si="56"/>
        <v>113748.50793694062</v>
      </c>
      <c r="F40">
        <f t="shared" si="57"/>
        <v>201258.17604648255</v>
      </c>
      <c r="G40">
        <f t="shared" si="58"/>
        <v>290698.30307058402</v>
      </c>
      <c r="H40">
        <f t="shared" si="59"/>
        <v>382497.39488696289</v>
      </c>
      <c r="I40">
        <f t="shared" si="59"/>
        <v>477036.44207416644</v>
      </c>
      <c r="J40">
        <f t="shared" si="59"/>
        <v>573904.34791055275</v>
      </c>
      <c r="K40">
        <f t="shared" si="59"/>
        <v>673158.48110005143</v>
      </c>
      <c r="L40">
        <f t="shared" si="60"/>
        <v>776267.12872189539</v>
      </c>
      <c r="M40">
        <f t="shared" ref="M40:M48" si="106">(M39+7000)*1.00328-(0.00104*(M39+7000))</f>
        <v>882079.46565702953</v>
      </c>
      <c r="N40">
        <f t="shared" si="61"/>
        <v>991317.20638361538</v>
      </c>
      <c r="O40">
        <f t="shared" si="62"/>
        <v>1104430.9544744885</v>
      </c>
      <c r="P40">
        <f t="shared" si="63"/>
        <v>1222649.6340855742</v>
      </c>
      <c r="Q40">
        <f t="shared" si="64"/>
        <v>1344386.7896639763</v>
      </c>
      <c r="R40">
        <f t="shared" si="65"/>
        <v>1469747.1396279109</v>
      </c>
      <c r="S40">
        <f t="shared" si="66"/>
        <v>1598838.5190708886</v>
      </c>
      <c r="T40">
        <f t="shared" si="67"/>
        <v>1731771.9725215605</v>
      </c>
      <c r="U40">
        <f t="shared" si="68"/>
        <v>1868661.8494643334</v>
      </c>
      <c r="V40">
        <f t="shared" si="69"/>
        <v>2009625.9027029048</v>
      </c>
      <c r="W40">
        <f t="shared" si="70"/>
        <v>2154785.3896513339</v>
      </c>
      <c r="X40">
        <f t="shared" si="71"/>
        <v>2304265.176639792</v>
      </c>
      <c r="Y40">
        <f t="shared" si="72"/>
        <v>2458193.8463246967</v>
      </c>
      <c r="Z40">
        <f t="shared" si="73"/>
        <v>2616703.8082956341</v>
      </c>
      <c r="AA40">
        <f t="shared" si="74"/>
        <v>2779931.4129742174</v>
      </c>
      <c r="AB40">
        <f t="shared" si="75"/>
        <v>2948017.0689028539</v>
      </c>
      <c r="AC40">
        <f t="shared" si="76"/>
        <v>3121105.3635243</v>
      </c>
      <c r="AD40">
        <f t="shared" si="77"/>
        <v>3299345.1875559287</v>
      </c>
      <c r="AE40">
        <f t="shared" si="78"/>
        <v>3482889.8630656572</v>
      </c>
      <c r="AI40">
        <f t="shared" si="54"/>
        <v>28230.354323874515</v>
      </c>
      <c r="AJ40">
        <f t="shared" si="79"/>
        <v>115174.36292120643</v>
      </c>
      <c r="AK40">
        <f t="shared" si="80"/>
        <v>205602.90264937058</v>
      </c>
      <c r="AL40">
        <f t="shared" si="81"/>
        <v>299655.62611235469</v>
      </c>
      <c r="AM40">
        <f t="shared" si="82"/>
        <v>397477.78289378795</v>
      </c>
      <c r="AN40">
        <f t="shared" si="83"/>
        <v>499220.44387199363</v>
      </c>
      <c r="AO40">
        <f t="shared" si="84"/>
        <v>605040.73452511104</v>
      </c>
      <c r="AP40">
        <f t="shared" si="85"/>
        <v>715102.07758659229</v>
      </c>
      <c r="AQ40">
        <f t="shared" si="86"/>
        <v>829574.44542581437</v>
      </c>
      <c r="AR40">
        <f t="shared" si="87"/>
        <v>948634.62254357117</v>
      </c>
      <c r="AS40">
        <f t="shared" si="88"/>
        <v>1072466.4785878269</v>
      </c>
      <c r="AT40">
        <f t="shared" si="89"/>
        <v>1201261.2523113599</v>
      </c>
      <c r="AU40">
        <f t="shared" si="90"/>
        <v>1335217.8469098266</v>
      </c>
      <c r="AV40">
        <f t="shared" si="91"/>
        <v>1474543.1371963474</v>
      </c>
      <c r="AW40">
        <f t="shared" si="92"/>
        <v>1619452.2890869963</v>
      </c>
      <c r="AX40">
        <f t="shared" si="93"/>
        <v>1770169.0918905914</v>
      </c>
      <c r="AY40">
        <f t="shared" si="94"/>
        <v>1926926.3039159528</v>
      </c>
      <c r="AZ40">
        <f t="shared" si="95"/>
        <v>2089966.0119303658</v>
      </c>
      <c r="BA40">
        <f t="shared" si="96"/>
        <v>2259540.0050243777</v>
      </c>
      <c r="BB40">
        <f t="shared" si="97"/>
        <v>2435910.1634602966</v>
      </c>
      <c r="BC40">
        <f t="shared" si="98"/>
        <v>2619348.8631049138</v>
      </c>
      <c r="BD40">
        <f t="shared" si="99"/>
        <v>2810139.3960710373</v>
      </c>
      <c r="BE40">
        <f t="shared" si="100"/>
        <v>3008576.4082174278</v>
      </c>
      <c r="BF40">
        <f t="shared" si="101"/>
        <v>3214966.3541828222</v>
      </c>
      <c r="BG40">
        <f t="shared" si="102"/>
        <v>3429627.9706567382</v>
      </c>
      <c r="BH40">
        <f t="shared" si="103"/>
        <v>3652892.7686179755</v>
      </c>
      <c r="BI40">
        <f t="shared" si="104"/>
        <v>3885105.5453009899</v>
      </c>
      <c r="BJ40">
        <f t="shared" si="105"/>
        <v>4126624.9166807863</v>
      </c>
    </row>
    <row r="41" spans="1:62" x14ac:dyDescent="0.3">
      <c r="A41">
        <f>0.0125/12</f>
        <v>1.0416666666666667E-3</v>
      </c>
      <c r="B41">
        <v>1.25</v>
      </c>
      <c r="D41">
        <f t="shared" si="52"/>
        <v>35191.564369460597</v>
      </c>
      <c r="E41">
        <f t="shared" si="56"/>
        <v>120968.27022138584</v>
      </c>
      <c r="F41">
        <f t="shared" si="57"/>
        <v>208637.20592688714</v>
      </c>
      <c r="G41">
        <f t="shared" si="58"/>
        <v>298240.11398217245</v>
      </c>
      <c r="H41">
        <f t="shared" si="59"/>
        <v>390288.07459858339</v>
      </c>
      <c r="I41">
        <f t="shared" si="59"/>
        <v>485019.03605157696</v>
      </c>
      <c r="J41">
        <f t="shared" si="59"/>
        <v>582083.58373681118</v>
      </c>
      <c r="K41">
        <f t="shared" si="59"/>
        <v>681539.2028166845</v>
      </c>
      <c r="L41">
        <f t="shared" si="60"/>
        <v>785021.64709023247</v>
      </c>
      <c r="M41">
        <f t="shared" si="106"/>
        <v>891071.00366010121</v>
      </c>
      <c r="N41">
        <f t="shared" si="61"/>
        <v>1000553.4369259146</v>
      </c>
      <c r="O41">
        <f t="shared" si="62"/>
        <v>1114150.6260200874</v>
      </c>
      <c r="P41">
        <f t="shared" si="63"/>
        <v>1232658.5867401815</v>
      </c>
      <c r="Q41">
        <f t="shared" si="64"/>
        <v>1354693.6331382839</v>
      </c>
      <c r="R41">
        <f t="shared" si="65"/>
        <v>1480360.7398785804</v>
      </c>
      <c r="S41">
        <f t="shared" si="66"/>
        <v>1609768.0059270551</v>
      </c>
      <c r="T41">
        <f t="shared" si="67"/>
        <v>1743026.7475383207</v>
      </c>
      <c r="U41">
        <f t="shared" si="68"/>
        <v>1880251.5940099724</v>
      </c>
      <c r="V41">
        <f t="shared" si="69"/>
        <v>2021560.5862868186</v>
      </c>
      <c r="W41">
        <f t="shared" si="70"/>
        <v>2167075.278499811</v>
      </c>
      <c r="X41">
        <f t="shared" si="71"/>
        <v>2316920.8425270296</v>
      </c>
      <c r="Y41">
        <f t="shared" si="72"/>
        <v>2471226.1756666531</v>
      </c>
      <c r="Z41">
        <f t="shared" si="73"/>
        <v>2630124.0115145333</v>
      </c>
      <c r="AA41">
        <f t="shared" si="74"/>
        <v>2793751.034141765</v>
      </c>
      <c r="AB41">
        <f t="shared" si="75"/>
        <v>2962247.9956704588</v>
      </c>
      <c r="AC41">
        <f t="shared" si="76"/>
        <v>3135759.8373488439</v>
      </c>
      <c r="AD41">
        <f t="shared" si="77"/>
        <v>3314435.8142298781</v>
      </c>
      <c r="AE41">
        <f t="shared" si="78"/>
        <v>3498429.6235605786</v>
      </c>
      <c r="AI41">
        <f t="shared" si="54"/>
        <v>35345.909886056827</v>
      </c>
      <c r="AJ41">
        <f t="shared" si="79"/>
        <v>122575.09483158798</v>
      </c>
      <c r="AK41">
        <f t="shared" si="80"/>
        <v>213300.24017006051</v>
      </c>
      <c r="AL41">
        <f t="shared" si="81"/>
        <v>307661.45656600321</v>
      </c>
      <c r="AM41">
        <f t="shared" si="82"/>
        <v>405804.47002167953</v>
      </c>
      <c r="AN41">
        <f t="shared" si="83"/>
        <v>507880.84692789376</v>
      </c>
      <c r="AO41">
        <f t="shared" si="84"/>
        <v>614048.22813435341</v>
      </c>
      <c r="AP41">
        <f t="shared" si="85"/>
        <v>724470.57240107632</v>
      </c>
      <c r="AQ41">
        <f t="shared" si="86"/>
        <v>839318.40960681101</v>
      </c>
      <c r="AR41">
        <f t="shared" si="87"/>
        <v>958769.10410551401</v>
      </c>
      <c r="AS41">
        <f t="shared" si="88"/>
        <v>1083007.1286375949</v>
      </c>
      <c r="AT41">
        <f t="shared" si="89"/>
        <v>1212224.3492189411</v>
      </c>
      <c r="AU41">
        <f t="shared" si="90"/>
        <v>1346620.3214476907</v>
      </c>
      <c r="AV41">
        <f t="shared" si="91"/>
        <v>1486402.5986863512</v>
      </c>
      <c r="AW41">
        <f t="shared" si="92"/>
        <v>1631787.0525952016</v>
      </c>
      <c r="AX41">
        <f t="shared" si="93"/>
        <v>1782998.2065119925</v>
      </c>
      <c r="AY41">
        <f t="shared" si="94"/>
        <v>1940269.582192797</v>
      </c>
      <c r="AZ41">
        <f t="shared" si="95"/>
        <v>2103844.0604494973</v>
      </c>
      <c r="BA41">
        <f t="shared" si="96"/>
        <v>2273974.2562408578</v>
      </c>
      <c r="BB41">
        <f t="shared" si="97"/>
        <v>2450922.9087964464</v>
      </c>
      <c r="BC41">
        <f t="shared" si="98"/>
        <v>2634963.2873758976</v>
      </c>
      <c r="BD41">
        <f t="shared" si="99"/>
        <v>2826379.6132901502</v>
      </c>
      <c r="BE41">
        <f t="shared" si="100"/>
        <v>3025467.4988363809</v>
      </c>
      <c r="BF41">
        <f t="shared" si="101"/>
        <v>3232534.4038245417</v>
      </c>
      <c r="BG41">
        <f t="shared" si="102"/>
        <v>3447900.1104004919</v>
      </c>
      <c r="BH41">
        <f t="shared" si="103"/>
        <v>3671897.2168990425</v>
      </c>
      <c r="BI41">
        <f t="shared" si="104"/>
        <v>3904871.6514895768</v>
      </c>
      <c r="BJ41">
        <f t="shared" si="105"/>
        <v>4147183.206407499</v>
      </c>
    </row>
    <row r="42" spans="1:62" x14ac:dyDescent="0.3">
      <c r="A42">
        <f>0.01/12</f>
        <v>8.3333333333333339E-4</v>
      </c>
      <c r="B42">
        <v>1</v>
      </c>
      <c r="D42">
        <f t="shared" si="52"/>
        <v>42268.353016613015</v>
      </c>
      <c r="E42">
        <f t="shared" si="56"/>
        <v>128201.17247318877</v>
      </c>
      <c r="F42">
        <f t="shared" si="57"/>
        <v>216029.66564167407</v>
      </c>
      <c r="G42">
        <f t="shared" si="58"/>
        <v>305795.65098961996</v>
      </c>
      <c r="H42">
        <f t="shared" si="59"/>
        <v>398094.56939001847</v>
      </c>
      <c r="I42">
        <f t="shared" si="59"/>
        <v>493017.83469476161</v>
      </c>
      <c r="J42">
        <f t="shared" si="59"/>
        <v>590279.42341179692</v>
      </c>
      <c r="K42">
        <f t="shared" si="59"/>
        <v>689936.93739840237</v>
      </c>
      <c r="L42">
        <f t="shared" si="60"/>
        <v>793795.77557971457</v>
      </c>
      <c r="M42">
        <f t="shared" si="106"/>
        <v>900082.68270829972</v>
      </c>
      <c r="N42">
        <f t="shared" si="61"/>
        <v>1009810.3566246287</v>
      </c>
      <c r="O42">
        <f t="shared" si="62"/>
        <v>1123894.0816019585</v>
      </c>
      <c r="P42">
        <f t="shared" si="63"/>
        <v>1242692.0313019347</v>
      </c>
      <c r="Q42">
        <f t="shared" si="64"/>
        <v>1365025.6974585732</v>
      </c>
      <c r="R42">
        <f t="shared" si="65"/>
        <v>1491000.3116090631</v>
      </c>
      <c r="S42">
        <f t="shared" si="66"/>
        <v>1620724.2372375585</v>
      </c>
      <c r="T42">
        <f t="shared" si="67"/>
        <v>1754309.0629895469</v>
      </c>
      <c r="U42">
        <f t="shared" si="68"/>
        <v>1891869.6986605148</v>
      </c>
      <c r="V42">
        <f t="shared" si="69"/>
        <v>2033524.4740414624</v>
      </c>
      <c r="W42">
        <f t="shared" si="70"/>
        <v>2179395.2407062999</v>
      </c>
      <c r="X42">
        <f t="shared" si="71"/>
        <v>2329607.4768286934</v>
      </c>
      <c r="Y42">
        <f t="shared" si="72"/>
        <v>2484290.3951185094</v>
      </c>
      <c r="Z42">
        <f t="shared" si="73"/>
        <v>2643577.0539707094</v>
      </c>
      <c r="AA42">
        <f t="shared" si="74"/>
        <v>2807604.4719223096</v>
      </c>
      <c r="AB42">
        <f t="shared" si="75"/>
        <v>2976513.7455158639</v>
      </c>
      <c r="AC42">
        <f t="shared" si="76"/>
        <v>3150450.1706708362</v>
      </c>
      <c r="AD42">
        <f t="shared" si="77"/>
        <v>3329563.3676672988</v>
      </c>
      <c r="AE42">
        <f t="shared" si="78"/>
        <v>3514007.4098494309</v>
      </c>
      <c r="AI42">
        <f t="shared" si="54"/>
        <v>42484.80447048309</v>
      </c>
      <c r="AJ42">
        <f t="shared" si="79"/>
        <v>130000.10114263558</v>
      </c>
      <c r="AK42">
        <f t="shared" si="80"/>
        <v>221022.82495781829</v>
      </c>
      <c r="AL42">
        <f t="shared" si="81"/>
        <v>315693.54614353966</v>
      </c>
      <c r="AM42">
        <f t="shared" si="82"/>
        <v>414158.4686833506</v>
      </c>
      <c r="AN42">
        <f t="shared" si="83"/>
        <v>516569.65610581724</v>
      </c>
      <c r="AO42">
        <f t="shared" si="84"/>
        <v>623085.26632263407</v>
      </c>
      <c r="AP42">
        <f t="shared" si="85"/>
        <v>733869.79587855178</v>
      </c>
      <c r="AQ42">
        <f t="shared" si="86"/>
        <v>849094.33399032126</v>
      </c>
      <c r="AR42">
        <f t="shared" si="87"/>
        <v>968936.82676698</v>
      </c>
      <c r="AS42">
        <f t="shared" si="88"/>
        <v>1093582.3520195261</v>
      </c>
      <c r="AT42">
        <f t="shared" si="89"/>
        <v>1223223.405084379</v>
      </c>
      <c r="AU42">
        <f t="shared" si="90"/>
        <v>1358060.196102039</v>
      </c>
      <c r="AV42">
        <f t="shared" si="91"/>
        <v>1498300.9592100424</v>
      </c>
      <c r="AW42">
        <f t="shared" si="92"/>
        <v>1644162.2741277139</v>
      </c>
      <c r="AX42">
        <f t="shared" si="93"/>
        <v>1795869.4006293518</v>
      </c>
      <c r="AY42">
        <f t="shared" si="94"/>
        <v>1953656.6264223892</v>
      </c>
      <c r="AZ42">
        <f t="shared" si="95"/>
        <v>2117767.6289677718</v>
      </c>
      <c r="BA42">
        <f t="shared" si="96"/>
        <v>2288455.8518013279</v>
      </c>
      <c r="BB42">
        <f t="shared" si="97"/>
        <v>2465984.8959372984</v>
      </c>
      <c r="BC42">
        <f t="shared" si="98"/>
        <v>2650628.9269584906</v>
      </c>
      <c r="BD42">
        <f t="shared" si="99"/>
        <v>2842673.0984217417</v>
      </c>
      <c r="BE42">
        <f t="shared" si="100"/>
        <v>3042413.9922325639</v>
      </c>
      <c r="BF42">
        <f t="shared" si="101"/>
        <v>3250160.0766690862</v>
      </c>
      <c r="BG42">
        <f t="shared" si="102"/>
        <v>3466232.1827626051</v>
      </c>
      <c r="BH42">
        <f t="shared" si="103"/>
        <v>3690963.9997704714</v>
      </c>
      <c r="BI42">
        <f t="shared" si="104"/>
        <v>3924702.5905064624</v>
      </c>
      <c r="BJ42">
        <f t="shared" si="105"/>
        <v>4167808.9273245153</v>
      </c>
    </row>
    <row r="43" spans="1:62" x14ac:dyDescent="0.3">
      <c r="D43">
        <f t="shared" si="52"/>
        <v>49358.02141910325</v>
      </c>
      <c r="E43">
        <f t="shared" si="56"/>
        <v>135447.23860709</v>
      </c>
      <c r="F43">
        <f t="shared" si="57"/>
        <v>223435.5796331419</v>
      </c>
      <c r="G43">
        <f t="shared" si="58"/>
        <v>313364.93907442101</v>
      </c>
      <c r="H43">
        <f t="shared" si="59"/>
        <v>405916.91136588017</v>
      </c>
      <c r="I43">
        <f t="shared" si="59"/>
        <v>501032.87089919194</v>
      </c>
      <c r="J43">
        <f t="shared" si="59"/>
        <v>598491.90064132283</v>
      </c>
      <c r="K43">
        <f t="shared" si="59"/>
        <v>698351.71938132111</v>
      </c>
      <c r="L43">
        <f t="shared" si="60"/>
        <v>802589.55811701308</v>
      </c>
      <c r="M43">
        <f t="shared" si="106"/>
        <v>909114.54791756626</v>
      </c>
      <c r="N43">
        <f t="shared" si="61"/>
        <v>1019088.0118234677</v>
      </c>
      <c r="O43">
        <f t="shared" si="62"/>
        <v>1133661.3794196385</v>
      </c>
      <c r="P43">
        <f t="shared" si="63"/>
        <v>1252750.0277025304</v>
      </c>
      <c r="Q43">
        <f t="shared" si="64"/>
        <v>1375383.0443402543</v>
      </c>
      <c r="R43">
        <f t="shared" si="65"/>
        <v>1501665.9183715703</v>
      </c>
      <c r="S43">
        <f t="shared" si="66"/>
        <v>1631707.2784460788</v>
      </c>
      <c r="T43">
        <f t="shared" si="67"/>
        <v>1765618.9862666822</v>
      </c>
      <c r="U43">
        <f t="shared" si="68"/>
        <v>1903516.2328131369</v>
      </c>
      <c r="V43">
        <f t="shared" si="69"/>
        <v>2045517.6374294416</v>
      </c>
      <c r="W43">
        <f t="shared" si="70"/>
        <v>2191745.3498603082</v>
      </c>
      <c r="X43">
        <f t="shared" si="71"/>
        <v>2342325.1553244931</v>
      </c>
      <c r="Y43">
        <f t="shared" si="72"/>
        <v>2497386.5827153642</v>
      </c>
      <c r="Z43">
        <f t="shared" si="73"/>
        <v>2657063.016021776</v>
      </c>
      <c r="AA43">
        <f t="shared" si="74"/>
        <v>2821491.8090651035</v>
      </c>
      <c r="AB43">
        <f t="shared" si="75"/>
        <v>2990814.4036511411</v>
      </c>
      <c r="AC43">
        <f t="shared" si="76"/>
        <v>3165176.4512384674</v>
      </c>
      <c r="AD43">
        <f t="shared" si="77"/>
        <v>3344727.9382279804</v>
      </c>
      <c r="AE43">
        <f t="shared" si="78"/>
        <v>3529623.3149813325</v>
      </c>
      <c r="AI43">
        <f t="shared" si="54"/>
        <v>49647.114629146272</v>
      </c>
      <c r="AJ43">
        <f t="shared" si="79"/>
        <v>137449.4614743834</v>
      </c>
      <c r="AK43">
        <f t="shared" si="80"/>
        <v>228770.73982367993</v>
      </c>
      <c r="AL43">
        <f t="shared" si="81"/>
        <v>323751.98097489047</v>
      </c>
      <c r="AM43">
        <f t="shared" si="82"/>
        <v>422539.86846063199</v>
      </c>
      <c r="AN43">
        <f t="shared" si="83"/>
        <v>525286.96457784425</v>
      </c>
      <c r="AO43">
        <f t="shared" si="84"/>
        <v>632151.94599617226</v>
      </c>
      <c r="AP43">
        <f t="shared" si="85"/>
        <v>743299.8488090334</v>
      </c>
      <c r="AQ43">
        <f t="shared" si="86"/>
        <v>858902.32340580947</v>
      </c>
      <c r="AR43">
        <f t="shared" si="87"/>
        <v>979137.89955877559</v>
      </c>
      <c r="AS43">
        <f t="shared" si="88"/>
        <v>1104192.2621341501</v>
      </c>
      <c r="AT43">
        <f t="shared" si="89"/>
        <v>1234258.5378530556</v>
      </c>
      <c r="AU43">
        <f t="shared" si="90"/>
        <v>1369537.5935452536</v>
      </c>
      <c r="AV43">
        <f t="shared" si="91"/>
        <v>1510238.3463562513</v>
      </c>
      <c r="AW43">
        <f t="shared" si="92"/>
        <v>1656578.0863868527</v>
      </c>
      <c r="AX43">
        <f t="shared" si="93"/>
        <v>1808782.8122634161</v>
      </c>
      <c r="AY43">
        <f t="shared" si="94"/>
        <v>1967087.5801570546</v>
      </c>
      <c r="AZ43">
        <f t="shared" si="95"/>
        <v>2131736.8667907859</v>
      </c>
      <c r="BA43">
        <f t="shared" si="96"/>
        <v>2302984.946995236</v>
      </c>
      <c r="BB43">
        <f t="shared" si="97"/>
        <v>2481096.2863959726</v>
      </c>
      <c r="BC43">
        <f t="shared" si="98"/>
        <v>2666345.9498389144</v>
      </c>
      <c r="BD43">
        <f t="shared" si="99"/>
        <v>2859020.0261845649</v>
      </c>
      <c r="BE43">
        <f t="shared" si="100"/>
        <v>3059416.0701270867</v>
      </c>
      <c r="BF43">
        <f t="shared" si="101"/>
        <v>3267843.5617205608</v>
      </c>
      <c r="BG43">
        <f t="shared" si="102"/>
        <v>3484624.3843220663</v>
      </c>
      <c r="BH43">
        <f t="shared" si="103"/>
        <v>3710093.3216897184</v>
      </c>
      <c r="BI43">
        <f t="shared" si="104"/>
        <v>3944598.5750033236</v>
      </c>
      <c r="BJ43">
        <f t="shared" si="105"/>
        <v>4188502.3006061395</v>
      </c>
    </row>
    <row r="44" spans="1:62" x14ac:dyDescent="0.3">
      <c r="D44">
        <f t="shared" si="52"/>
        <v>56460.593018086016</v>
      </c>
      <c r="E44">
        <f t="shared" si="56"/>
        <v>142706.49258135489</v>
      </c>
      <c r="F44">
        <f t="shared" si="57"/>
        <v>230854.97238807421</v>
      </c>
      <c r="G44">
        <f t="shared" si="58"/>
        <v>320948.00326353649</v>
      </c>
      <c r="H44">
        <f t="shared" ref="H44:J48" si="107">(H43+7000)*1.00328-(0.00125*(H43+7000))</f>
        <v>413755.1326959529</v>
      </c>
      <c r="I44">
        <f t="shared" si="107"/>
        <v>509064.17762711726</v>
      </c>
      <c r="J44">
        <f t="shared" si="107"/>
        <v>606721.04919962469</v>
      </c>
      <c r="K44">
        <f>(K43+7000)*1.00328-(0.00104*(K43+7000))</f>
        <v>706931.70723273524</v>
      </c>
      <c r="L44">
        <f t="shared" si="60"/>
        <v>811403.03872719512</v>
      </c>
      <c r="M44">
        <f t="shared" si="106"/>
        <v>918166.6445049016</v>
      </c>
      <c r="N44">
        <f t="shared" si="61"/>
        <v>1028386.4489699522</v>
      </c>
      <c r="O44">
        <f t="shared" si="62"/>
        <v>1143452.5778150782</v>
      </c>
      <c r="P44">
        <f t="shared" si="63"/>
        <v>1262832.6360203184</v>
      </c>
      <c r="Q44">
        <f t="shared" si="64"/>
        <v>1385765.7356497548</v>
      </c>
      <c r="R44">
        <f t="shared" si="65"/>
        <v>1512357.6238738257</v>
      </c>
      <c r="S44">
        <f t="shared" si="66"/>
        <v>1642717.1951564362</v>
      </c>
      <c r="T44">
        <f t="shared" si="67"/>
        <v>1776956.5849260765</v>
      </c>
      <c r="U44">
        <f t="shared" si="68"/>
        <v>1915191.2660348306</v>
      </c>
      <c r="V44">
        <f t="shared" si="69"/>
        <v>2057540.1480882314</v>
      </c>
      <c r="W44">
        <f t="shared" si="70"/>
        <v>2204125.6797314161</v>
      </c>
      <c r="X44">
        <f t="shared" si="71"/>
        <v>2355073.9539795718</v>
      </c>
      <c r="Y44">
        <f t="shared" si="72"/>
        <v>2510514.8166832686</v>
      </c>
      <c r="Z44">
        <f t="shared" si="73"/>
        <v>2670581.9782219809</v>
      </c>
      <c r="AA44">
        <f t="shared" si="74"/>
        <v>2835413.1285218857</v>
      </c>
      <c r="AB44">
        <f t="shared" si="75"/>
        <v>3005150.0554968752</v>
      </c>
      <c r="AC44">
        <f t="shared" si="76"/>
        <v>3179938.7670146478</v>
      </c>
      <c r="AD44">
        <f t="shared" si="77"/>
        <v>3359929.6164928242</v>
      </c>
      <c r="AE44">
        <f t="shared" si="78"/>
        <v>3545277.4322330919</v>
      </c>
      <c r="AI44">
        <f t="shared" si="54"/>
        <v>56832.917165129867</v>
      </c>
      <c r="AJ44">
        <f t="shared" si="79"/>
        <v>144923.25570801937</v>
      </c>
      <c r="AK44">
        <f t="shared" si="80"/>
        <v>236544.0678503016</v>
      </c>
      <c r="AL44">
        <f t="shared" si="81"/>
        <v>331836.84747248807</v>
      </c>
      <c r="AM44">
        <f t="shared" si="82"/>
        <v>430948.75922918285</v>
      </c>
      <c r="AN44">
        <f t="shared" si="83"/>
        <v>534032.86582165956</v>
      </c>
      <c r="AO44">
        <f t="shared" si="84"/>
        <v>641248.36437903962</v>
      </c>
      <c r="AP44">
        <f t="shared" si="85"/>
        <v>752760.832313127</v>
      </c>
      <c r="AQ44">
        <f t="shared" si="86"/>
        <v>868742.48302658054</v>
      </c>
      <c r="AR44">
        <f t="shared" si="87"/>
        <v>989372.43186932837</v>
      </c>
      <c r="AS44">
        <f t="shared" si="88"/>
        <v>1114836.9727539502</v>
      </c>
      <c r="AT44">
        <f t="shared" si="89"/>
        <v>1245329.8658572135</v>
      </c>
      <c r="AU44">
        <f t="shared" si="90"/>
        <v>1381052.6368520821</v>
      </c>
      <c r="AV44">
        <f t="shared" si="91"/>
        <v>1522214.8881322998</v>
      </c>
      <c r="AW44">
        <f t="shared" si="92"/>
        <v>1669034.6225102015</v>
      </c>
      <c r="AX44">
        <f t="shared" si="93"/>
        <v>1821738.57988764</v>
      </c>
      <c r="AY44">
        <f t="shared" si="94"/>
        <v>1980562.5874199697</v>
      </c>
      <c r="AZ44">
        <f t="shared" si="95"/>
        <v>2145751.9237138596</v>
      </c>
      <c r="BA44">
        <f t="shared" si="96"/>
        <v>2317561.6976213804</v>
      </c>
      <c r="BB44">
        <f t="shared" si="97"/>
        <v>2496257.2422153512</v>
      </c>
      <c r="BC44">
        <f t="shared" si="98"/>
        <v>2682114.5245543858</v>
      </c>
      <c r="BD44">
        <f t="shared" si="99"/>
        <v>2875420.5718704499</v>
      </c>
      <c r="BE44">
        <f t="shared" si="100"/>
        <v>3076473.9148371033</v>
      </c>
      <c r="BF44">
        <f t="shared" si="101"/>
        <v>3285585.0486030038</v>
      </c>
      <c r="BG44">
        <f t="shared" si="102"/>
        <v>3503076.9123026426</v>
      </c>
      <c r="BH44">
        <f t="shared" si="103"/>
        <v>3729285.3877848606</v>
      </c>
      <c r="BI44">
        <f t="shared" si="104"/>
        <v>3964559.8183293343</v>
      </c>
      <c r="BJ44">
        <f t="shared" si="105"/>
        <v>4209263.5481521273</v>
      </c>
    </row>
    <row r="45" spans="1:62" x14ac:dyDescent="0.3">
      <c r="D45">
        <f t="shared" si="52"/>
        <v>63576.091297378924</v>
      </c>
      <c r="E45">
        <f t="shared" si="56"/>
        <v>149978.95839785296</v>
      </c>
      <c r="F45">
        <f t="shared" si="57"/>
        <v>238287.86843782049</v>
      </c>
      <c r="G45">
        <f t="shared" si="58"/>
        <v>328544.86862947611</v>
      </c>
      <c r="H45">
        <f t="shared" si="107"/>
        <v>421609.26561532565</v>
      </c>
      <c r="I45">
        <f t="shared" si="107"/>
        <v>517111.78790770029</v>
      </c>
      <c r="J45">
        <f t="shared" si="107"/>
        <v>614966.90292949986</v>
      </c>
      <c r="K45">
        <f>(K44+7000)*1.00328-(0.00104*(K44+7000))</f>
        <v>715530.91425693664</v>
      </c>
      <c r="L45">
        <f t="shared" si="60"/>
        <v>820236.26153394405</v>
      </c>
      <c r="M45">
        <f t="shared" si="106"/>
        <v>927239.01778859249</v>
      </c>
      <c r="N45">
        <f t="shared" si="61"/>
        <v>1037705.7146156448</v>
      </c>
      <c r="O45">
        <f t="shared" si="62"/>
        <v>1153267.7352729917</v>
      </c>
      <c r="P45">
        <f t="shared" si="63"/>
        <v>1272939.91648066</v>
      </c>
      <c r="Q45">
        <f t="shared" si="64"/>
        <v>1396173.8334048896</v>
      </c>
      <c r="R45">
        <f t="shared" si="65"/>
        <v>1523075.4919794449</v>
      </c>
      <c r="S45">
        <f t="shared" si="66"/>
        <v>1653754.0531329839</v>
      </c>
      <c r="T45">
        <f t="shared" si="67"/>
        <v>1788321.9266893903</v>
      </c>
      <c r="U45">
        <f t="shared" si="68"/>
        <v>1926894.8680628177</v>
      </c>
      <c r="V45">
        <f t="shared" si="69"/>
        <v>2069592.0778306031</v>
      </c>
      <c r="W45">
        <f t="shared" si="70"/>
        <v>2216536.3042697189</v>
      </c>
      <c r="X45">
        <f t="shared" si="71"/>
        <v>2367853.9489449598</v>
      </c>
      <c r="Y45">
        <f t="shared" si="72"/>
        <v>2523675.1754396926</v>
      </c>
      <c r="Z45">
        <f t="shared" si="73"/>
        <v>2684134.0213226895</v>
      </c>
      <c r="AA45">
        <f t="shared" si="74"/>
        <v>2849368.5134473788</v>
      </c>
      <c r="AB45">
        <f t="shared" si="75"/>
        <v>3019520.7866826761</v>
      </c>
      <c r="AC45">
        <f t="shared" si="76"/>
        <v>3194737.2061775327</v>
      </c>
      <c r="AD45">
        <f t="shared" si="77"/>
        <v>3375168.4932643818</v>
      </c>
      <c r="AE45">
        <f t="shared" si="78"/>
        <v>3560969.8551097661</v>
      </c>
      <c r="AI45">
        <f t="shared" si="54"/>
        <v>64042.289133431492</v>
      </c>
      <c r="AJ45">
        <f t="shared" si="79"/>
        <v>152421.56398674168</v>
      </c>
      <c r="AK45">
        <f t="shared" si="80"/>
        <v>244342.89239285057</v>
      </c>
      <c r="AL45">
        <f t="shared" si="81"/>
        <v>339948.23233219783</v>
      </c>
      <c r="AM45">
        <f t="shared" si="82"/>
        <v>439385.23115945456</v>
      </c>
      <c r="AN45">
        <f t="shared" si="83"/>
        <v>542807.45362155454</v>
      </c>
      <c r="AO45">
        <f t="shared" si="84"/>
        <v>650374.61901420285</v>
      </c>
      <c r="AP45">
        <f t="shared" si="85"/>
        <v>762252.84784311405</v>
      </c>
      <c r="AQ45">
        <f t="shared" si="86"/>
        <v>878614.91837090766</v>
      </c>
      <c r="AR45">
        <f t="shared" si="87"/>
        <v>999640.53344585968</v>
      </c>
      <c r="AS45">
        <f t="shared" si="88"/>
        <v>1125516.598024583</v>
      </c>
      <c r="AT45">
        <f t="shared" si="89"/>
        <v>1256437.5078172251</v>
      </c>
      <c r="AU45">
        <f t="shared" si="90"/>
        <v>1392605.4495009568</v>
      </c>
      <c r="AV45">
        <f t="shared" si="91"/>
        <v>1534230.7129653736</v>
      </c>
      <c r="AW45">
        <f t="shared" si="92"/>
        <v>1681532.0160720348</v>
      </c>
      <c r="AX45">
        <f t="shared" si="93"/>
        <v>1834736.8424296714</v>
      </c>
      <c r="AY45">
        <f t="shared" si="94"/>
        <v>1994081.792706707</v>
      </c>
      <c r="AZ45">
        <f t="shared" si="95"/>
        <v>2159812.9500236409</v>
      </c>
      <c r="BA45">
        <f t="shared" si="96"/>
        <v>2332186.2599895783</v>
      </c>
      <c r="BB45">
        <f t="shared" si="97"/>
        <v>2511467.9259698172</v>
      </c>
      <c r="BC45">
        <f t="shared" si="98"/>
        <v>2697934.8201949243</v>
      </c>
      <c r="BD45">
        <f t="shared" si="99"/>
        <v>2891874.911346185</v>
      </c>
      <c r="BE45">
        <f t="shared" si="100"/>
        <v>3093587.7092777691</v>
      </c>
      <c r="BF45">
        <f t="shared" si="101"/>
        <v>3303384.7275624215</v>
      </c>
      <c r="BG45">
        <f t="shared" si="102"/>
        <v>3521589.964574995</v>
      </c>
      <c r="BH45">
        <f t="shared" si="103"/>
        <v>3748540.4038567948</v>
      </c>
      <c r="BI45">
        <f t="shared" si="104"/>
        <v>3984586.5345334541</v>
      </c>
      <c r="BJ45">
        <f t="shared" si="105"/>
        <v>4230092.8925900664</v>
      </c>
    </row>
    <row r="46" spans="1:62" x14ac:dyDescent="0.3">
      <c r="D46">
        <f t="shared" si="52"/>
        <v>70704.539783540153</v>
      </c>
      <c r="E46">
        <f t="shared" si="56"/>
        <v>157264.66010213704</v>
      </c>
      <c r="F46">
        <f t="shared" si="57"/>
        <v>245734.29235837731</v>
      </c>
      <c r="G46">
        <f t="shared" si="58"/>
        <v>336155.56029038172</v>
      </c>
      <c r="H46">
        <f t="shared" si="107"/>
        <v>429479.34242452472</v>
      </c>
      <c r="I46">
        <f t="shared" si="107"/>
        <v>525175.73483715288</v>
      </c>
      <c r="J46">
        <f t="shared" si="107"/>
        <v>623229.49574244663</v>
      </c>
      <c r="K46">
        <f>(K45+7000)*1.00328-(0.00104*(K45+7000))</f>
        <v>724149.38350487209</v>
      </c>
      <c r="L46">
        <f t="shared" si="60"/>
        <v>829089.27075978008</v>
      </c>
      <c r="M46">
        <f t="shared" si="106"/>
        <v>936331.71318843891</v>
      </c>
      <c r="N46">
        <f t="shared" si="61"/>
        <v>1047045.8554163838</v>
      </c>
      <c r="O46">
        <f t="shared" si="62"/>
        <v>1163106.9104212048</v>
      </c>
      <c r="P46">
        <f t="shared" si="63"/>
        <v>1283071.929456288</v>
      </c>
      <c r="Q46">
        <f t="shared" si="64"/>
        <v>1406607.3997752313</v>
      </c>
      <c r="R46">
        <f t="shared" si="65"/>
        <v>1533819.5867083184</v>
      </c>
      <c r="S46">
        <f t="shared" si="66"/>
        <v>1664817.9183010003</v>
      </c>
      <c r="T46">
        <f t="shared" si="67"/>
        <v>1799715.0794439991</v>
      </c>
      <c r="U46">
        <f t="shared" si="68"/>
        <v>1938627.1088049675</v>
      </c>
      <c r="V46">
        <f t="shared" si="69"/>
        <v>2081673.4986450544</v>
      </c>
      <c r="W46">
        <f t="shared" si="70"/>
        <v>2228977.2976062666</v>
      </c>
      <c r="X46">
        <f t="shared" si="71"/>
        <v>2380665.216558028</v>
      </c>
      <c r="Y46">
        <f t="shared" si="72"/>
        <v>2536867.7375939931</v>
      </c>
      <c r="Z46">
        <f t="shared" si="73"/>
        <v>2697719.2262728657</v>
      </c>
      <c r="AA46">
        <f t="shared" si="74"/>
        <v>2863358.0471997843</v>
      </c>
      <c r="AB46">
        <f t="shared" si="75"/>
        <v>3033926.6830476881</v>
      </c>
      <c r="AC46">
        <f t="shared" si="76"/>
        <v>3209571.857121049</v>
      </c>
      <c r="AD46">
        <f t="shared" si="77"/>
        <v>3390444.6595673994</v>
      </c>
      <c r="AE46">
        <f t="shared" si="78"/>
        <v>3576700.67734522</v>
      </c>
      <c r="AI46">
        <f t="shared" si="54"/>
        <v>71275.307841789137</v>
      </c>
      <c r="AJ46">
        <f t="shared" si="79"/>
        <v>159944.46671661819</v>
      </c>
      <c r="AK46">
        <f t="shared" si="80"/>
        <v>252167.29707989912</v>
      </c>
      <c r="AL46">
        <f t="shared" si="81"/>
        <v>348086.22253424744</v>
      </c>
      <c r="AM46">
        <f t="shared" si="82"/>
        <v>447849.37471765757</v>
      </c>
      <c r="AN46">
        <f t="shared" si="83"/>
        <v>551610.82206943317</v>
      </c>
      <c r="AO46">
        <f t="shared" si="84"/>
        <v>659530.80776456941</v>
      </c>
      <c r="AP46">
        <f t="shared" si="85"/>
        <v>771775.99718403944</v>
      </c>
      <c r="AQ46">
        <f t="shared" si="86"/>
        <v>888519.73530316423</v>
      </c>
      <c r="AR46">
        <f t="shared" si="87"/>
        <v>1009942.314395562</v>
      </c>
      <c r="AS46">
        <f t="shared" si="88"/>
        <v>1136231.2524661035</v>
      </c>
      <c r="AT46">
        <f t="shared" si="89"/>
        <v>1267581.5828428655</v>
      </c>
      <c r="AU46">
        <f t="shared" si="90"/>
        <v>1404196.1553753198</v>
      </c>
      <c r="AV46">
        <f t="shared" si="91"/>
        <v>1546285.9497038999</v>
      </c>
      <c r="AW46">
        <f t="shared" si="92"/>
        <v>1694070.4010847511</v>
      </c>
      <c r="AX46">
        <f t="shared" si="93"/>
        <v>1847777.7392728406</v>
      </c>
      <c r="AY46">
        <f t="shared" si="94"/>
        <v>2007645.340986785</v>
      </c>
      <c r="AZ46">
        <f t="shared" si="95"/>
        <v>2173920.0964997183</v>
      </c>
      <c r="BA46">
        <f t="shared" si="96"/>
        <v>2346858.7909223442</v>
      </c>
      <c r="BB46">
        <f t="shared" si="97"/>
        <v>2526728.5007669982</v>
      </c>
      <c r="BC46">
        <f t="shared" si="98"/>
        <v>2713807.0064051636</v>
      </c>
      <c r="BD46">
        <f t="shared" si="99"/>
        <v>2908383.2210554006</v>
      </c>
      <c r="BE46">
        <f t="shared" si="100"/>
        <v>3110757.6369642001</v>
      </c>
      <c r="BF46">
        <f t="shared" si="101"/>
        <v>3321242.7894688263</v>
      </c>
      <c r="BG46">
        <f t="shared" si="102"/>
        <v>3540163.7396588009</v>
      </c>
      <c r="BH46">
        <f t="shared" si="103"/>
        <v>3767858.5763814449</v>
      </c>
      <c r="BI46">
        <f t="shared" si="104"/>
        <v>4004678.9383667237</v>
      </c>
      <c r="BJ46">
        <f t="shared" si="105"/>
        <v>4250990.5572777614</v>
      </c>
    </row>
    <row r="47" spans="1:62" x14ac:dyDescent="0.3">
      <c r="D47">
        <f t="shared" si="52"/>
        <v>77845.962045946202</v>
      </c>
      <c r="E47">
        <f t="shared" si="56"/>
        <v>164563.62178352292</v>
      </c>
      <c r="F47">
        <f t="shared" si="57"/>
        <v>253194.26877046953</v>
      </c>
      <c r="G47">
        <f t="shared" si="58"/>
        <v>343780.10341011023</v>
      </c>
      <c r="H47">
        <f t="shared" si="107"/>
        <v>437365.39548964647</v>
      </c>
      <c r="I47">
        <f t="shared" si="107"/>
        <v>533256.05157887226</v>
      </c>
      <c r="J47">
        <f t="shared" si="107"/>
        <v>631508.8616188037</v>
      </c>
      <c r="K47">
        <f>(K46+7000)*1.00328-(0.00104*(K46+7000))</f>
        <v>732787.158123923</v>
      </c>
      <c r="L47">
        <f t="shared" si="60"/>
        <v>837962.110726282</v>
      </c>
      <c r="M47">
        <f t="shared" si="106"/>
        <v>945444.77622598095</v>
      </c>
      <c r="N47">
        <f t="shared" si="61"/>
        <v>1056406.9181325163</v>
      </c>
      <c r="O47">
        <f t="shared" si="62"/>
        <v>1172970.1620310054</v>
      </c>
      <c r="P47">
        <f t="shared" si="63"/>
        <v>1293228.7354676677</v>
      </c>
      <c r="Q47">
        <f t="shared" si="64"/>
        <v>1417066.4970824812</v>
      </c>
      <c r="R47">
        <f t="shared" si="65"/>
        <v>1544589.9722369937</v>
      </c>
      <c r="S47">
        <f t="shared" si="66"/>
        <v>1675908.8567470827</v>
      </c>
      <c r="T47">
        <f t="shared" si="67"/>
        <v>1811136.1112433984</v>
      </c>
      <c r="U47">
        <f t="shared" si="68"/>
        <v>1950388.0583402133</v>
      </c>
      <c r="V47">
        <f t="shared" si="69"/>
        <v>2093784.4826962387</v>
      </c>
      <c r="W47">
        <f t="shared" si="70"/>
        <v>2241448.7340535088</v>
      </c>
      <c r="X47">
        <f t="shared" si="71"/>
        <v>2393507.8333429457</v>
      </c>
      <c r="Y47">
        <f t="shared" si="72"/>
        <v>2550092.5819478855</v>
      </c>
      <c r="Z47">
        <f t="shared" si="73"/>
        <v>2711337.6742195552</v>
      </c>
      <c r="AA47">
        <f t="shared" si="74"/>
        <v>2877381.8133412823</v>
      </c>
      <c r="AB47">
        <f t="shared" si="75"/>
        <v>3048367.8306411053</v>
      </c>
      <c r="AC47">
        <f t="shared" si="76"/>
        <v>3224442.8084554244</v>
      </c>
      <c r="AD47">
        <f t="shared" si="77"/>
        <v>3405758.2066493607</v>
      </c>
      <c r="AE47">
        <f t="shared" si="78"/>
        <v>3592469.9929026836</v>
      </c>
      <c r="AI47">
        <f t="shared" si="54"/>
        <v>78532.050851510197</v>
      </c>
      <c r="AJ47">
        <f t="shared" si="79"/>
        <v>167492.0445674487</v>
      </c>
      <c r="AK47">
        <f t="shared" si="80"/>
        <v>260017.36581432118</v>
      </c>
      <c r="AL47">
        <f t="shared" si="81"/>
        <v>356250.90534415975</v>
      </c>
      <c r="AM47">
        <f t="shared" si="82"/>
        <v>456341.28066673147</v>
      </c>
      <c r="AN47">
        <f t="shared" si="83"/>
        <v>560443.0655658209</v>
      </c>
      <c r="AO47">
        <f t="shared" si="84"/>
        <v>668717.02881403721</v>
      </c>
      <c r="AP47">
        <f t="shared" si="85"/>
        <v>781330.3824548031</v>
      </c>
      <c r="AQ47">
        <f t="shared" si="86"/>
        <v>898457.04003495851</v>
      </c>
      <c r="AR47">
        <f t="shared" si="87"/>
        <v>1020277.8851867794</v>
      </c>
      <c r="AS47">
        <f t="shared" si="88"/>
        <v>1146981.0509741923</v>
      </c>
      <c r="AT47">
        <f t="shared" si="89"/>
        <v>1278762.21043459</v>
      </c>
      <c r="AU47">
        <f t="shared" si="90"/>
        <v>1415824.8787649507</v>
      </c>
      <c r="AV47">
        <f t="shared" si="91"/>
        <v>1558380.7276189285</v>
      </c>
      <c r="AW47">
        <f t="shared" si="92"/>
        <v>1706649.912000309</v>
      </c>
      <c r="AX47">
        <f t="shared" si="93"/>
        <v>1860861.4102576554</v>
      </c>
      <c r="AY47">
        <f t="shared" si="94"/>
        <v>2021253.3777052215</v>
      </c>
      <c r="AZ47">
        <f t="shared" si="95"/>
        <v>2188073.5144162374</v>
      </c>
      <c r="BA47">
        <f t="shared" si="96"/>
        <v>2361579.4477565694</v>
      </c>
      <c r="BB47">
        <f t="shared" si="97"/>
        <v>2542039.1302495138</v>
      </c>
      <c r="BC47">
        <f t="shared" si="98"/>
        <v>2729731.2533861725</v>
      </c>
      <c r="BD47">
        <f t="shared" si="99"/>
        <v>2924945.6780204619</v>
      </c>
      <c r="BE47">
        <f t="shared" si="100"/>
        <v>3127983.8820134425</v>
      </c>
      <c r="BF47">
        <f t="shared" si="101"/>
        <v>3339159.425818284</v>
      </c>
      <c r="BG47">
        <f t="shared" si="102"/>
        <v>3558798.4367248816</v>
      </c>
      <c r="BH47">
        <f t="shared" si="103"/>
        <v>3787240.1125119757</v>
      </c>
      <c r="BI47">
        <f t="shared" si="104"/>
        <v>4024837.2452845662</v>
      </c>
      <c r="BJ47">
        <f t="shared" si="105"/>
        <v>4271956.766305632</v>
      </c>
    </row>
    <row r="48" spans="1:62" x14ac:dyDescent="0.3">
      <c r="D48">
        <f t="shared" si="52"/>
        <v>85000.381696869808</v>
      </c>
      <c r="E48">
        <f>(E47+7000)*1.00328-(0.00146*(E47+7000))</f>
        <v>171875.8675751689</v>
      </c>
      <c r="F48">
        <f>(F47+7000)*1.00328-(0.00146*(F47+7000))</f>
        <v>260667.82233963179</v>
      </c>
      <c r="G48">
        <f>(G47+7000)*1.00328-(0.00125*(G47+7000))</f>
        <v>351492.18702003272</v>
      </c>
      <c r="H48">
        <f t="shared" si="107"/>
        <v>445267.45724249043</v>
      </c>
      <c r="I48">
        <f t="shared" si="107"/>
        <v>541352.77136357734</v>
      </c>
      <c r="J48">
        <f t="shared" si="107"/>
        <v>639805.03460788983</v>
      </c>
      <c r="K48">
        <f>(K47+7000)*1.00328-(0.00104*(K47+7000))</f>
        <v>741444.2813581205</v>
      </c>
      <c r="L48">
        <f t="shared" si="60"/>
        <v>846854.8258543089</v>
      </c>
      <c r="M48">
        <f t="shared" si="106"/>
        <v>954578.25252472714</v>
      </c>
      <c r="N48">
        <f t="shared" si="61"/>
        <v>1065788.9496291331</v>
      </c>
      <c r="O48">
        <f t="shared" si="62"/>
        <v>1182857.5490174952</v>
      </c>
      <c r="P48">
        <f t="shared" si="63"/>
        <v>1303410.3951833569</v>
      </c>
      <c r="Q48">
        <f t="shared" si="64"/>
        <v>1427551.1878008419</v>
      </c>
      <c r="R48">
        <f t="shared" si="65"/>
        <v>1555386.7128990577</v>
      </c>
      <c r="S48">
        <f t="shared" si="66"/>
        <v>1687026.9347195427</v>
      </c>
      <c r="T48">
        <f t="shared" si="67"/>
        <v>1822585.0903076108</v>
      </c>
      <c r="U48">
        <f t="shared" si="68"/>
        <v>1962177.7869189717</v>
      </c>
      <c r="V48">
        <f t="shared" si="69"/>
        <v>2105925.1023253966</v>
      </c>
      <c r="W48" s="3">
        <f t="shared" si="70"/>
        <v>2253950.6881057373</v>
      </c>
      <c r="X48">
        <f t="shared" si="71"/>
        <v>2406381.8760111355</v>
      </c>
      <c r="Y48">
        <f t="shared" si="72"/>
        <v>2563349.7874959121</v>
      </c>
      <c r="Z48">
        <f t="shared" si="73"/>
        <v>2724989.4465083703</v>
      </c>
      <c r="AA48">
        <f t="shared" si="74"/>
        <v>2891439.8956385283</v>
      </c>
      <c r="AB48" s="3">
        <f t="shared" si="75"/>
        <v>3062844.3157226839</v>
      </c>
      <c r="AC48">
        <f t="shared" si="76"/>
        <v>3239350.1490077148</v>
      </c>
      <c r="AD48">
        <f t="shared" si="77"/>
        <v>3421109.2259810315</v>
      </c>
      <c r="AE48">
        <f t="shared" si="78"/>
        <v>3608277.8959753159</v>
      </c>
      <c r="AI48">
        <f t="shared" si="54"/>
        <v>85812.595978303143</v>
      </c>
      <c r="AJ48">
        <f t="shared" si="79"/>
        <v>175064.37847362991</v>
      </c>
      <c r="AK48">
        <f t="shared" si="80"/>
        <v>267893.18277419219</v>
      </c>
      <c r="AL48">
        <f t="shared" si="81"/>
        <v>364442.36831368855</v>
      </c>
      <c r="AM48">
        <f t="shared" si="82"/>
        <v>464861.0400673183</v>
      </c>
      <c r="AN48">
        <f t="shared" si="83"/>
        <v>569304.27882087673</v>
      </c>
      <c r="AO48">
        <f t="shared" si="84"/>
        <v>677933.38066854724</v>
      </c>
      <c r="AP48">
        <f t="shared" si="85"/>
        <v>790916.10610925476</v>
      </c>
      <c r="AQ48">
        <f t="shared" si="86"/>
        <v>908426.93912627315</v>
      </c>
      <c r="AR48">
        <f t="shared" si="87"/>
        <v>1030647.3566501921</v>
      </c>
      <c r="AS48">
        <f t="shared" si="88"/>
        <v>1157766.1088213876</v>
      </c>
      <c r="AT48">
        <f t="shared" si="89"/>
        <v>1289979.5104848153</v>
      </c>
      <c r="AU48">
        <f t="shared" si="90"/>
        <v>1427491.7443672996</v>
      </c>
      <c r="AV48">
        <f t="shared" si="91"/>
        <v>1570515.1764055185</v>
      </c>
      <c r="AW48">
        <f t="shared" si="92"/>
        <v>1719270.6837116699</v>
      </c>
      <c r="AX48">
        <f t="shared" si="93"/>
        <v>1873987.9956833005</v>
      </c>
      <c r="AY48">
        <f t="shared" si="94"/>
        <v>2034906.0487840946</v>
      </c>
      <c r="AZ48">
        <f t="shared" si="95"/>
        <v>2202273.3555435226</v>
      </c>
      <c r="BA48">
        <f t="shared" si="96"/>
        <v>2376348.3883452108</v>
      </c>
      <c r="BB48" s="3">
        <f t="shared" si="97"/>
        <v>2557399.978596732</v>
      </c>
      <c r="BC48">
        <f t="shared" si="98"/>
        <v>2745707.7318972792</v>
      </c>
      <c r="BD48">
        <f t="shared" si="99"/>
        <v>2941562.459844369</v>
      </c>
      <c r="BE48">
        <f t="shared" si="100"/>
        <v>3145266.6291464465</v>
      </c>
      <c r="BF48">
        <f t="shared" si="101"/>
        <v>3357134.8287349679</v>
      </c>
      <c r="BG48" s="3">
        <f t="shared" si="102"/>
        <v>3577494.255597339</v>
      </c>
      <c r="BH48">
        <f t="shared" si="103"/>
        <v>3806685.2200810146</v>
      </c>
      <c r="BI48">
        <f t="shared" si="104"/>
        <v>4045061.6714490992</v>
      </c>
      <c r="BJ48">
        <f t="shared" si="105"/>
        <v>4292991.7444991143</v>
      </c>
    </row>
    <row r="51" spans="1:62" x14ac:dyDescent="0.3">
      <c r="D51" t="s">
        <v>55</v>
      </c>
      <c r="AI51" t="s">
        <v>55</v>
      </c>
      <c r="AJ51" t="s">
        <v>66</v>
      </c>
    </row>
    <row r="52" spans="1:62" x14ac:dyDescent="0.3">
      <c r="D52" t="s">
        <v>56</v>
      </c>
      <c r="AI52" t="s">
        <v>56</v>
      </c>
    </row>
    <row r="53" spans="1:62" x14ac:dyDescent="0.3">
      <c r="D53" t="s">
        <v>78</v>
      </c>
      <c r="AI53" t="s">
        <v>78</v>
      </c>
    </row>
    <row r="54" spans="1:62" x14ac:dyDescent="0.3">
      <c r="D54" t="s">
        <v>15</v>
      </c>
      <c r="E54" t="s">
        <v>16</v>
      </c>
      <c r="F54" t="s">
        <v>17</v>
      </c>
      <c r="G54" t="s">
        <v>18</v>
      </c>
      <c r="H54" t="s">
        <v>19</v>
      </c>
      <c r="I54" t="s">
        <v>20</v>
      </c>
      <c r="J54" t="s">
        <v>21</v>
      </c>
      <c r="K54" t="s">
        <v>22</v>
      </c>
      <c r="L54" t="s">
        <v>23</v>
      </c>
      <c r="M54" t="s">
        <v>24</v>
      </c>
      <c r="N54" t="s">
        <v>25</v>
      </c>
      <c r="O54" t="s">
        <v>26</v>
      </c>
      <c r="P54" t="s">
        <v>27</v>
      </c>
      <c r="Q54" t="s">
        <v>28</v>
      </c>
      <c r="R54" t="s">
        <v>29</v>
      </c>
      <c r="S54" t="s">
        <v>30</v>
      </c>
      <c r="T54" t="s">
        <v>31</v>
      </c>
      <c r="U54" t="s">
        <v>32</v>
      </c>
      <c r="V54" t="s">
        <v>33</v>
      </c>
      <c r="W54" t="s">
        <v>34</v>
      </c>
      <c r="X54" t="s">
        <v>35</v>
      </c>
      <c r="Y54" t="s">
        <v>36</v>
      </c>
      <c r="Z54" t="s">
        <v>37</v>
      </c>
      <c r="AA54" t="s">
        <v>38</v>
      </c>
      <c r="AB54" t="s">
        <v>39</v>
      </c>
      <c r="AC54" t="s">
        <v>67</v>
      </c>
      <c r="AD54" t="s">
        <v>68</v>
      </c>
      <c r="AE54" t="s">
        <v>69</v>
      </c>
      <c r="AI54" t="s">
        <v>15</v>
      </c>
      <c r="AJ54" t="s">
        <v>16</v>
      </c>
      <c r="AK54" t="s">
        <v>17</v>
      </c>
      <c r="AL54" t="s">
        <v>18</v>
      </c>
      <c r="AM54" t="s">
        <v>19</v>
      </c>
      <c r="AN54" t="s">
        <v>20</v>
      </c>
      <c r="AO54" t="s">
        <v>21</v>
      </c>
      <c r="AP54" t="s">
        <v>22</v>
      </c>
      <c r="AQ54" t="s">
        <v>23</v>
      </c>
      <c r="AR54" t="s">
        <v>24</v>
      </c>
      <c r="AS54" t="s">
        <v>25</v>
      </c>
      <c r="AT54" t="s">
        <v>26</v>
      </c>
      <c r="AU54" t="s">
        <v>27</v>
      </c>
      <c r="AV54" t="s">
        <v>28</v>
      </c>
      <c r="AW54" t="s">
        <v>29</v>
      </c>
      <c r="AX54" t="s">
        <v>30</v>
      </c>
      <c r="AY54" t="s">
        <v>31</v>
      </c>
      <c r="AZ54" t="s">
        <v>32</v>
      </c>
      <c r="BA54" t="s">
        <v>33</v>
      </c>
      <c r="BB54" t="s">
        <v>34</v>
      </c>
      <c r="BC54" t="s">
        <v>35</v>
      </c>
      <c r="BD54" t="s">
        <v>36</v>
      </c>
      <c r="BE54" t="s">
        <v>37</v>
      </c>
      <c r="BF54" t="s">
        <v>38</v>
      </c>
      <c r="BG54" t="s">
        <v>39</v>
      </c>
      <c r="BH54" t="s">
        <v>67</v>
      </c>
      <c r="BI54" t="s">
        <v>68</v>
      </c>
      <c r="BJ54" t="s">
        <v>69</v>
      </c>
    </row>
    <row r="55" spans="1:62" x14ac:dyDescent="0.3">
      <c r="D55">
        <v>0</v>
      </c>
      <c r="AI55">
        <v>0</v>
      </c>
    </row>
    <row r="56" spans="1:62" x14ac:dyDescent="0.3">
      <c r="D56">
        <f t="shared" ref="D56:D67" si="108">(D55+7000)*1.00407-(0.00146*(D55+7000))</f>
        <v>7018.2699999999995</v>
      </c>
      <c r="E56">
        <f>(D67+7000)*1.00407-(0.00146*(D67+7000))</f>
        <v>92680.052465193221</v>
      </c>
      <c r="F56">
        <f>(E67+7000)*1.00407-(0.00146*(E67+7000))</f>
        <v>181063.61241731964</v>
      </c>
      <c r="G56">
        <f>(F67+7000)*1.00407-(0.00146*(F67+7000))</f>
        <v>272255.4303436536</v>
      </c>
      <c r="H56">
        <f>(G67+7000)*1.00407-(0.00125*(G67+7000))</f>
        <v>366570.56373316702</v>
      </c>
      <c r="I56">
        <f>(H67+7000)*1.00407-(0.00125*(H67+7000))</f>
        <v>464725.28283204895</v>
      </c>
      <c r="J56">
        <f>(I67+7000)*1.00407-(0.00125*(I67+7000))</f>
        <v>566253.56230350421</v>
      </c>
      <c r="K56">
        <f>(J67+7000)*1.00407-(0.00125*(J67+7000))</f>
        <v>671271.35082215467</v>
      </c>
      <c r="L56">
        <f>(K67+7000)*1.00407-(0.00104*(K67+7000))</f>
        <v>781316.34431882424</v>
      </c>
      <c r="M56">
        <f>(L67+7000)*1.00407-(0.00104*(L67+7000))</f>
        <v>895876.15151318489</v>
      </c>
      <c r="N56">
        <f>(M67+7000)*1.00407-(0.00104*(M67+7000))</f>
        <v>1014671.4755056419</v>
      </c>
      <c r="O56">
        <f t="shared" ref="O56:AE56" si="109">(N67+7000)*1.00407-(0.000833*(N67+7000))</f>
        <v>1138093.737526627</v>
      </c>
      <c r="P56">
        <f t="shared" si="109"/>
        <v>1268886.014397643</v>
      </c>
      <c r="Q56">
        <f t="shared" si="109"/>
        <v>1404850.2201748425</v>
      </c>
      <c r="R56">
        <f t="shared" si="109"/>
        <v>1546190.8688345139</v>
      </c>
      <c r="S56">
        <f t="shared" si="109"/>
        <v>1693120.5614645921</v>
      </c>
      <c r="T56">
        <f t="shared" si="109"/>
        <v>1845860.3060539279</v>
      </c>
      <c r="U56">
        <f t="shared" si="109"/>
        <v>2004639.8499270065</v>
      </c>
      <c r="V56">
        <f t="shared" si="109"/>
        <v>2169698.0253241593</v>
      </c>
      <c r="W56">
        <f t="shared" si="109"/>
        <v>2341283.1086470778</v>
      </c>
      <c r="X56">
        <f t="shared" si="109"/>
        <v>2519653.1939100055</v>
      </c>
      <c r="Y56">
        <f t="shared" si="109"/>
        <v>2705076.5809583236</v>
      </c>
      <c r="Z56">
        <f t="shared" si="109"/>
        <v>2897832.1790385167</v>
      </c>
      <c r="AA56">
        <f t="shared" si="109"/>
        <v>3098209.9263265179</v>
      </c>
      <c r="AB56">
        <f t="shared" si="109"/>
        <v>3306511.2260454996</v>
      </c>
      <c r="AC56">
        <f t="shared" si="109"/>
        <v>3523049.3998291059</v>
      </c>
      <c r="AD56">
        <f t="shared" si="109"/>
        <v>3748150.1590120653</v>
      </c>
      <c r="AE56">
        <f t="shared" si="109"/>
        <v>3982152.0945570688</v>
      </c>
      <c r="AI56">
        <f t="shared" ref="AI56:AI67" si="110">(AI55+7000)*1.00407-0</f>
        <v>7028.49</v>
      </c>
      <c r="AJ56">
        <f t="shared" ref="AJ56:BJ56" si="111">(AI67+7000)*1.00407-0</f>
        <v>93635.273640104977</v>
      </c>
      <c r="AK56">
        <f t="shared" si="111"/>
        <v>184567.91476262218</v>
      </c>
      <c r="AL56">
        <f t="shared" si="111"/>
        <v>280042.48238861014</v>
      </c>
      <c r="AM56">
        <f t="shared" si="111"/>
        <v>380285.83780911099</v>
      </c>
      <c r="AN56">
        <f t="shared" si="111"/>
        <v>485536.17364017491</v>
      </c>
      <c r="AO56">
        <f t="shared" si="111"/>
        <v>596043.57980274083</v>
      </c>
      <c r="AP56">
        <f t="shared" si="111"/>
        <v>712070.63777222321</v>
      </c>
      <c r="AQ56">
        <f t="shared" si="111"/>
        <v>833893.044509826</v>
      </c>
      <c r="AR56">
        <f t="shared" si="111"/>
        <v>961800.26755813754</v>
      </c>
      <c r="AS56">
        <f t="shared" si="111"/>
        <v>1096096.2328576029</v>
      </c>
      <c r="AT56">
        <f t="shared" si="111"/>
        <v>1237100.0469182299</v>
      </c>
      <c r="AU56">
        <f t="shared" si="111"/>
        <v>1385146.7550625065</v>
      </c>
      <c r="AV56">
        <f t="shared" si="111"/>
        <v>1540588.1375412294</v>
      </c>
      <c r="AW56">
        <f t="shared" si="111"/>
        <v>1703793.5454139253</v>
      </c>
      <c r="AX56">
        <f t="shared" si="111"/>
        <v>1875150.7781800388</v>
      </c>
      <c r="AY56">
        <f t="shared" si="111"/>
        <v>2055067.0052462651</v>
      </c>
      <c r="AZ56">
        <f t="shared" si="111"/>
        <v>2243969.7334195646</v>
      </c>
      <c r="BA56">
        <f t="shared" si="111"/>
        <v>2442307.8227247614</v>
      </c>
      <c r="BB56">
        <f t="shared" si="111"/>
        <v>2650552.552960461</v>
      </c>
      <c r="BC56">
        <f t="shared" si="111"/>
        <v>2869198.7435275647</v>
      </c>
      <c r="BD56">
        <f t="shared" si="111"/>
        <v>3098765.9291912657</v>
      </c>
      <c r="BE56">
        <f t="shared" si="111"/>
        <v>3339799.594570301</v>
      </c>
      <c r="BF56">
        <f t="shared" si="111"/>
        <v>3592872.4702867847</v>
      </c>
      <c r="BG56">
        <f t="shared" si="111"/>
        <v>3858585.8938564598</v>
      </c>
      <c r="BH56">
        <f t="shared" si="111"/>
        <v>4137571.2385530388</v>
      </c>
      <c r="BI56">
        <f t="shared" si="111"/>
        <v>4430491.4136418179</v>
      </c>
      <c r="BJ56">
        <f t="shared" si="111"/>
        <v>4738042.4395473525</v>
      </c>
    </row>
    <row r="57" spans="1:62" x14ac:dyDescent="0.3">
      <c r="D57">
        <f t="shared" si="108"/>
        <v>14054.8576847</v>
      </c>
      <c r="E57">
        <f t="shared" ref="E57:E65" si="112">(E56+7000)*1.00407-(0.00146*(E56+7000))</f>
        <v>99940.217402127368</v>
      </c>
      <c r="F57">
        <f t="shared" ref="F57:F65" si="113">(F56+7000)*1.00407-(0.00146*(F56+7000))</f>
        <v>188554.45844572884</v>
      </c>
      <c r="G57">
        <f t="shared" ref="G57:G65" si="114">(G56+7000)*1.00407-(0.00146*(G56+7000))</f>
        <v>279984.28701685055</v>
      </c>
      <c r="H57">
        <f t="shared" ref="H57:K59" si="115">(H56+7000)*1.00407-(0.00125*(H56+7000))</f>
        <v>374624.03272289457</v>
      </c>
      <c r="I57">
        <f t="shared" si="115"/>
        <v>473055.54812963534</v>
      </c>
      <c r="J57">
        <f t="shared" si="115"/>
        <v>574870.13734920009</v>
      </c>
      <c r="K57">
        <f t="shared" si="115"/>
        <v>680184.07603147323</v>
      </c>
      <c r="L57">
        <f t="shared" ref="L57:L67" si="116">(L56+7000)*1.00407-(0.00104*(L56+7000))</f>
        <v>790704.94284211029</v>
      </c>
      <c r="M57">
        <f t="shared" ref="M57:M67" si="117">(M56+7000)*1.00407-(0.00104*(M56+7000))</f>
        <v>905611.86625226983</v>
      </c>
      <c r="N57">
        <f t="shared" ref="N57:N67" si="118">(N56+7000)*1.00407-(0.00104*(N56+7000))</f>
        <v>1024767.140076424</v>
      </c>
      <c r="O57">
        <f t="shared" ref="O57:O67" si="119">(O56+7000)*1.00407-(0.000833*(O56+7000))</f>
        <v>1148800.4059550005</v>
      </c>
      <c r="P57">
        <f t="shared" ref="P57:P67" si="120">(P56+7000)*1.00407-(0.000833*(P56+7000))</f>
        <v>1280016.0574262482</v>
      </c>
      <c r="Q57">
        <f t="shared" ref="Q57:Q67" si="121">(Q56+7000)*1.00407-(0.000833*(Q56+7000))</f>
        <v>1416420.3793375485</v>
      </c>
      <c r="R57">
        <f t="shared" ref="R57:R67" si="122">(R56+7000)*1.00407-(0.000833*(R56+7000))</f>
        <v>1558218.5476769314</v>
      </c>
      <c r="S57">
        <f t="shared" ref="S57:S67" si="123">(S56+7000)*1.00407-(0.000833*(S56+7000))</f>
        <v>1705623.851722053</v>
      </c>
      <c r="T57">
        <f t="shared" ref="T57:T67" si="124">(T56+7000)*1.00407-(0.000833*(T56+7000))</f>
        <v>1858858.0148646245</v>
      </c>
      <c r="U57">
        <f t="shared" ref="U57:U67" si="125">(U56+7000)*1.00407-(0.000833*(U56+7000))</f>
        <v>2018151.5281212202</v>
      </c>
      <c r="V57">
        <f t="shared" ref="V57:V67" si="126">(V56+7000)*1.00407-(0.000833*(V56+7000))</f>
        <v>2183743.9968321333</v>
      </c>
      <c r="W57">
        <f t="shared" ref="W57:W67" si="127">(W56+7000)*1.00407-(0.000833*(W56+7000))</f>
        <v>2355884.5010697688</v>
      </c>
      <c r="X57">
        <f t="shared" ref="X57:X67" si="128">(X56+7000)*1.00407-(0.000833*(X56+7000))</f>
        <v>2534831.9702986921</v>
      </c>
      <c r="Y57">
        <f t="shared" ref="Y57:Y67" si="129">(Y56+7000)*1.00407-(0.000833*(Y56+7000))</f>
        <v>2720855.5728508853</v>
      </c>
      <c r="Z57">
        <f t="shared" ref="Z57:Z67" si="130">(Z56+7000)*1.00407-(0.000833*(Z56+7000))</f>
        <v>2914235.1208020644</v>
      </c>
      <c r="AA57">
        <f t="shared" ref="AA57:AA67" si="131">(AA56+7000)*1.00407-(0.000833*(AA56+7000))</f>
        <v>3115261.490858037</v>
      </c>
      <c r="AB57">
        <f t="shared" ref="AB57:AB67" si="132">(AB56+7000)*1.00407-(0.000833*(AB56+7000))</f>
        <v>3324237.0618842086</v>
      </c>
      <c r="AC57">
        <f t="shared" ref="AC57:AC67" si="133">(AC56+7000)*1.00407-(0.000833*(AC56+7000))</f>
        <v>3541476.1697363532</v>
      </c>
      <c r="AD57">
        <f t="shared" ref="AD57:AD67" si="134">(AD56+7000)*1.00407-(0.000833*(AD56+7000))</f>
        <v>3767305.5800767876</v>
      </c>
      <c r="AE57">
        <f t="shared" ref="AE57:AE67" si="135">(AE56+7000)*1.00407-(0.000833*(AE56+7000))</f>
        <v>4002064.9798871498</v>
      </c>
      <c r="AI57">
        <f t="shared" si="110"/>
        <v>14085.585954300001</v>
      </c>
      <c r="AJ57">
        <f t="shared" ref="AJ57:AJ67" si="136">(AJ56+7000)*1.00407-0</f>
        <v>101044.8592038202</v>
      </c>
      <c r="AK57">
        <f t="shared" ref="AK57:AK67" si="137">(AK56+7000)*1.00407-0</f>
        <v>192347.59617570607</v>
      </c>
      <c r="AL57">
        <f t="shared" ref="AL57:AL67" si="138">(AL56+7000)*1.00407-0</f>
        <v>288210.74529193179</v>
      </c>
      <c r="AM57">
        <f t="shared" ref="AM57:AM67" si="139">(AM56+7000)*1.00407-0</f>
        <v>388862.09116899408</v>
      </c>
      <c r="AN57">
        <f t="shared" ref="AN57:AN67" si="140">(AN56+7000)*1.00407-0</f>
        <v>494540.7958668904</v>
      </c>
      <c r="AO57">
        <f t="shared" ref="AO57:AO67" si="141">(AO56+7000)*1.00407-0</f>
        <v>605497.96717253805</v>
      </c>
      <c r="AP57">
        <f t="shared" ref="AP57:AP67" si="142">(AP56+7000)*1.00407-0</f>
        <v>721997.25526795618</v>
      </c>
      <c r="AQ57">
        <f t="shared" ref="AQ57:AQ67" si="143">(AQ56+7000)*1.00407-0</f>
        <v>844315.47920098098</v>
      </c>
      <c r="AR57">
        <f t="shared" ref="AR57:AR67" si="144">(AR56+7000)*1.00407-0</f>
        <v>972743.28464709921</v>
      </c>
      <c r="AS57">
        <f t="shared" ref="AS57:AS67" si="145">(AS56+7000)*1.00407-0</f>
        <v>1107585.8345253333</v>
      </c>
      <c r="AT57">
        <f t="shared" ref="AT57:AT67" si="146">(AT56+7000)*1.00407-0</f>
        <v>1249163.5341091871</v>
      </c>
      <c r="AU57">
        <f t="shared" ref="AU57:AU67" si="147">(AU56+7000)*1.00407-0</f>
        <v>1397812.792355611</v>
      </c>
      <c r="AV57">
        <f t="shared" ref="AV57:AV67" si="148">(AV56+7000)*1.00407-0</f>
        <v>1553886.8212610222</v>
      </c>
      <c r="AW57">
        <f t="shared" ref="AW57:AW67" si="149">(AW56+7000)*1.00407-0</f>
        <v>1717756.47514376</v>
      </c>
      <c r="AX57">
        <f t="shared" ref="AX57:AX67" si="150">(AX56+7000)*1.00407-0</f>
        <v>1889811.1318472316</v>
      </c>
      <c r="AY57">
        <f t="shared" ref="AY57:AY67" si="151">(AY56+7000)*1.00407-0</f>
        <v>2070459.6179576174</v>
      </c>
      <c r="AZ57">
        <f t="shared" ref="AZ57:AZ67" si="152">(AZ56+7000)*1.00407-0</f>
        <v>2260131.1802345822</v>
      </c>
      <c r="BA57">
        <f t="shared" ref="BA57:BA67" si="153">(BA56+7000)*1.00407-0</f>
        <v>2459276.5055632512</v>
      </c>
      <c r="BB57">
        <f t="shared" ref="BB57:BB67" si="154">(BB56+7000)*1.00407-0</f>
        <v>2668368.7918510102</v>
      </c>
      <c r="BC57">
        <f t="shared" ref="BC57:BC67" si="155">(BC56+7000)*1.00407-0</f>
        <v>2887904.8724137219</v>
      </c>
      <c r="BD57">
        <f t="shared" ref="BD57:BD67" si="156">(BD56+7000)*1.00407-0</f>
        <v>3118406.3965230742</v>
      </c>
      <c r="BE57">
        <f t="shared" ref="BE57:BE67" si="157">(BE56+7000)*1.00407-0</f>
        <v>3360421.0689202021</v>
      </c>
      <c r="BF57">
        <f t="shared" ref="BF57:BF67" si="158">(BF56+7000)*1.00407-0</f>
        <v>3614523.951240852</v>
      </c>
      <c r="BG57">
        <f t="shared" ref="BG57:BG67" si="159">(BG56+7000)*1.00407-0</f>
        <v>3881318.8284444558</v>
      </c>
      <c r="BH57">
        <f t="shared" ref="BH57:BH67" si="160">(BH56+7000)*1.00407-0</f>
        <v>4161439.6434939499</v>
      </c>
      <c r="BI57">
        <f t="shared" ref="BI57:BI67" si="161">(BI56+7000)*1.00407-0</f>
        <v>4455552.0036953399</v>
      </c>
      <c r="BJ57">
        <f t="shared" ref="BJ57:BJ67" si="162">(BJ56+7000)*1.00407-0</f>
        <v>4764354.7622763105</v>
      </c>
    </row>
    <row r="58" spans="1:62" x14ac:dyDescent="0.3">
      <c r="A58">
        <f>0.0175/12</f>
        <v>1.4583333333333334E-3</v>
      </c>
      <c r="B58">
        <v>1.75</v>
      </c>
      <c r="D58">
        <f t="shared" si="108"/>
        <v>21109.810863257069</v>
      </c>
      <c r="E58">
        <f t="shared" si="112"/>
        <v>107219.33136954693</v>
      </c>
      <c r="F58">
        <f t="shared" si="113"/>
        <v>196064.8555822722</v>
      </c>
      <c r="G58">
        <f t="shared" si="114"/>
        <v>287733.31600596453</v>
      </c>
      <c r="H58">
        <f t="shared" si="115"/>
        <v>382700.21249517315</v>
      </c>
      <c r="I58">
        <f t="shared" si="115"/>
        <v>481409.30477536091</v>
      </c>
      <c r="J58">
        <f t="shared" si="115"/>
        <v>583511.01113652484</v>
      </c>
      <c r="K58">
        <f t="shared" si="115"/>
        <v>689121.93512588204</v>
      </c>
      <c r="L58">
        <f t="shared" si="116"/>
        <v>800121.98881892185</v>
      </c>
      <c r="M58">
        <f t="shared" si="117"/>
        <v>915377.08020701422</v>
      </c>
      <c r="N58">
        <f t="shared" si="118"/>
        <v>1034893.3945108555</v>
      </c>
      <c r="O58">
        <f t="shared" si="119"/>
        <v>1159541.7318690771</v>
      </c>
      <c r="P58">
        <f t="shared" si="120"/>
        <v>1291182.1284041372</v>
      </c>
      <c r="Q58">
        <f t="shared" si="121"/>
        <v>1428027.9911054643</v>
      </c>
      <c r="R58">
        <f t="shared" si="122"/>
        <v>1570285.1601157617</v>
      </c>
      <c r="S58">
        <f t="shared" si="123"/>
        <v>1718167.6151300773</v>
      </c>
      <c r="T58">
        <f t="shared" si="124"/>
        <v>1871897.7972587412</v>
      </c>
      <c r="U58">
        <f t="shared" si="125"/>
        <v>2031706.9436177486</v>
      </c>
      <c r="V58">
        <f t="shared" si="126"/>
        <v>2197835.4351498787</v>
      </c>
      <c r="W58">
        <f t="shared" si="127"/>
        <v>2370533.1581997317</v>
      </c>
      <c r="X58">
        <f t="shared" si="128"/>
        <v>2550059.880386549</v>
      </c>
      <c r="Y58">
        <f t="shared" si="129"/>
        <v>2736685.6413402036</v>
      </c>
      <c r="Z58">
        <f t="shared" si="130"/>
        <v>2930691.1588881006</v>
      </c>
      <c r="AA58">
        <f t="shared" si="131"/>
        <v>3132368.2513039447</v>
      </c>
      <c r="AB58">
        <f t="shared" si="132"/>
        <v>3342020.2762535275</v>
      </c>
      <c r="AC58">
        <f t="shared" si="133"/>
        <v>3559962.5870977901</v>
      </c>
      <c r="AD58">
        <f t="shared" si="134"/>
        <v>3786523.0072394963</v>
      </c>
      <c r="AE58">
        <f t="shared" si="135"/>
        <v>4022042.3232270447</v>
      </c>
      <c r="AI58">
        <f t="shared" si="110"/>
        <v>21171.404289134003</v>
      </c>
      <c r="AJ58">
        <f t="shared" si="136"/>
        <v>108484.60178077975</v>
      </c>
      <c r="AK58">
        <f t="shared" si="137"/>
        <v>200158.9408921412</v>
      </c>
      <c r="AL58">
        <f t="shared" si="138"/>
        <v>296412.25302526995</v>
      </c>
      <c r="AM58">
        <f t="shared" si="139"/>
        <v>397473.24988005188</v>
      </c>
      <c r="AN58">
        <f t="shared" si="140"/>
        <v>503582.06690606865</v>
      </c>
      <c r="AO58">
        <f t="shared" si="141"/>
        <v>614990.83389893034</v>
      </c>
      <c r="AP58">
        <f t="shared" si="142"/>
        <v>731964.27409689676</v>
      </c>
      <c r="AQ58">
        <f t="shared" si="143"/>
        <v>854780.33320132899</v>
      </c>
      <c r="AR58">
        <f t="shared" si="144"/>
        <v>983730.83981561288</v>
      </c>
      <c r="AS58">
        <f t="shared" si="145"/>
        <v>1119122.1988718514</v>
      </c>
      <c r="AT58">
        <f t="shared" si="146"/>
        <v>1261276.1196930115</v>
      </c>
      <c r="AU58">
        <f t="shared" si="147"/>
        <v>1410530.3804204983</v>
      </c>
      <c r="AV58">
        <f t="shared" si="148"/>
        <v>1567239.6306235546</v>
      </c>
      <c r="AW58">
        <f t="shared" si="149"/>
        <v>1731776.233997595</v>
      </c>
      <c r="AX58">
        <f t="shared" si="150"/>
        <v>1904531.15315385</v>
      </c>
      <c r="AY58">
        <f t="shared" si="151"/>
        <v>2085914.878602705</v>
      </c>
      <c r="AZ58">
        <f t="shared" si="152"/>
        <v>2276358.4041381371</v>
      </c>
      <c r="BA58">
        <f t="shared" si="153"/>
        <v>2476314.2509408938</v>
      </c>
      <c r="BB58">
        <f t="shared" si="154"/>
        <v>2686257.5428338437</v>
      </c>
      <c r="BC58">
        <f t="shared" si="155"/>
        <v>2906687.1352444459</v>
      </c>
      <c r="BD58">
        <f t="shared" si="156"/>
        <v>3138126.8005569233</v>
      </c>
      <c r="BE58">
        <f t="shared" si="157"/>
        <v>3381126.4726707074</v>
      </c>
      <c r="BF58">
        <f t="shared" si="158"/>
        <v>3636263.5537224025</v>
      </c>
      <c r="BG58">
        <f t="shared" si="159"/>
        <v>3904144.2860762249</v>
      </c>
      <c r="BH58">
        <f t="shared" si="160"/>
        <v>4185405.1928429701</v>
      </c>
      <c r="BI58">
        <f t="shared" si="161"/>
        <v>4480714.5903503802</v>
      </c>
      <c r="BJ58">
        <f t="shared" si="162"/>
        <v>4790774.1761587756</v>
      </c>
    </row>
    <row r="59" spans="1:62" x14ac:dyDescent="0.3">
      <c r="A59">
        <f>0.015/12</f>
        <v>1.25E-3</v>
      </c>
      <c r="B59">
        <v>1.5</v>
      </c>
      <c r="D59">
        <f t="shared" si="108"/>
        <v>28183.177469610171</v>
      </c>
      <c r="E59">
        <f t="shared" si="112"/>
        <v>114517.44382442144</v>
      </c>
      <c r="F59">
        <f t="shared" si="113"/>
        <v>203594.85485534192</v>
      </c>
      <c r="G59">
        <f t="shared" si="114"/>
        <v>295502.5699607401</v>
      </c>
      <c r="H59">
        <f t="shared" si="115"/>
        <v>390799.16709440958</v>
      </c>
      <c r="I59">
        <f t="shared" si="115"/>
        <v>489786.61901482748</v>
      </c>
      <c r="J59">
        <f t="shared" si="115"/>
        <v>592176.25218792993</v>
      </c>
      <c r="K59">
        <f t="shared" si="115"/>
        <v>698084.99898293696</v>
      </c>
      <c r="L59">
        <f t="shared" si="116"/>
        <v>809567.56844504317</v>
      </c>
      <c r="M59">
        <f t="shared" si="117"/>
        <v>925171.88276004151</v>
      </c>
      <c r="N59">
        <f t="shared" si="118"/>
        <v>1045050.3314962235</v>
      </c>
      <c r="O59">
        <f t="shared" si="119"/>
        <v>1170317.8274551372</v>
      </c>
      <c r="P59">
        <f t="shared" si="120"/>
        <v>1302384.3439537813</v>
      </c>
      <c r="Q59">
        <f t="shared" si="121"/>
        <v>1439673.1767126727</v>
      </c>
      <c r="R59">
        <f t="shared" si="122"/>
        <v>1582390.8321790565</v>
      </c>
      <c r="S59">
        <f t="shared" si="123"/>
        <v>1730751.9827002534</v>
      </c>
      <c r="T59">
        <f t="shared" si="124"/>
        <v>1884979.7894284679</v>
      </c>
      <c r="U59">
        <f t="shared" si="125"/>
        <v>2045306.2379942392</v>
      </c>
      <c r="V59">
        <f t="shared" si="126"/>
        <v>2211972.4874534588</v>
      </c>
      <c r="W59">
        <f t="shared" si="127"/>
        <v>2385229.2330328245</v>
      </c>
      <c r="X59">
        <f t="shared" si="128"/>
        <v>2565337.0832193606</v>
      </c>
      <c r="Y59">
        <f t="shared" si="129"/>
        <v>2752566.951761222</v>
      </c>
      <c r="Z59">
        <f t="shared" si="130"/>
        <v>2947200.4651694219</v>
      </c>
      <c r="AA59">
        <f t="shared" si="131"/>
        <v>3149530.3863334158</v>
      </c>
      <c r="AB59">
        <f t="shared" si="132"/>
        <v>3359861.0548877604</v>
      </c>
      <c r="AC59">
        <f t="shared" si="133"/>
        <v>3578508.844992226</v>
      </c>
      <c r="AD59">
        <f t="shared" si="134"/>
        <v>3805802.6412139307</v>
      </c>
      <c r="AE59">
        <f t="shared" si="135"/>
        <v>4042084.3332273304</v>
      </c>
      <c r="AI59">
        <f t="shared" si="110"/>
        <v>28286.061904590781</v>
      </c>
      <c r="AJ59">
        <f t="shared" si="136"/>
        <v>115954.62411002752</v>
      </c>
      <c r="AK59">
        <f t="shared" si="137"/>
        <v>208002.07778157221</v>
      </c>
      <c r="AL59">
        <f t="shared" si="138"/>
        <v>304647.14089508279</v>
      </c>
      <c r="AM59">
        <f t="shared" si="139"/>
        <v>406119.45600706368</v>
      </c>
      <c r="AN59">
        <f t="shared" si="140"/>
        <v>512660.13591837639</v>
      </c>
      <c r="AO59">
        <f t="shared" si="141"/>
        <v>624522.33659289905</v>
      </c>
      <c r="AP59">
        <f t="shared" si="142"/>
        <v>741971.85869247117</v>
      </c>
      <c r="AQ59">
        <f t="shared" si="143"/>
        <v>865287.77915745846</v>
      </c>
      <c r="AR59">
        <f t="shared" si="144"/>
        <v>994763.11433366244</v>
      </c>
      <c r="AS59">
        <f t="shared" si="145"/>
        <v>1130705.51622126</v>
      </c>
      <c r="AT59">
        <f t="shared" si="146"/>
        <v>1273438.0035001622</v>
      </c>
      <c r="AU59">
        <f t="shared" si="147"/>
        <v>1423299.7290688097</v>
      </c>
      <c r="AV59">
        <f t="shared" si="148"/>
        <v>1580646.7859201925</v>
      </c>
      <c r="AW59">
        <f t="shared" si="149"/>
        <v>1745853.0532699653</v>
      </c>
      <c r="AX59">
        <f t="shared" si="150"/>
        <v>1919311.0849471863</v>
      </c>
      <c r="AY59">
        <f t="shared" si="151"/>
        <v>2101433.0421586181</v>
      </c>
      <c r="AZ59">
        <f t="shared" si="152"/>
        <v>2292651.6728429794</v>
      </c>
      <c r="BA59">
        <f t="shared" si="153"/>
        <v>2493421.3399422234</v>
      </c>
      <c r="BB59">
        <f t="shared" si="154"/>
        <v>2704219.1010331777</v>
      </c>
      <c r="BC59">
        <f t="shared" si="155"/>
        <v>2925545.841884891</v>
      </c>
      <c r="BD59">
        <f t="shared" si="156"/>
        <v>3157927.46663519</v>
      </c>
      <c r="BE59">
        <f t="shared" si="157"/>
        <v>3401916.1474144771</v>
      </c>
      <c r="BF59">
        <f t="shared" si="158"/>
        <v>3658091.6363860527</v>
      </c>
      <c r="BG59">
        <f t="shared" si="159"/>
        <v>3927062.6433205553</v>
      </c>
      <c r="BH59">
        <f t="shared" si="160"/>
        <v>4209468.2819778407</v>
      </c>
      <c r="BI59">
        <f t="shared" si="161"/>
        <v>4505979.5887331059</v>
      </c>
      <c r="BJ59">
        <f t="shared" si="162"/>
        <v>4817301.1170557421</v>
      </c>
    </row>
    <row r="60" spans="1:62" x14ac:dyDescent="0.3">
      <c r="A60">
        <f>0.0125/12</f>
        <v>1.0416666666666667E-3</v>
      </c>
      <c r="B60">
        <v>1.25</v>
      </c>
      <c r="D60">
        <f t="shared" si="108"/>
        <v>35275.005562805854</v>
      </c>
      <c r="E60">
        <f t="shared" si="112"/>
        <v>121834.60435280319</v>
      </c>
      <c r="F60">
        <f t="shared" si="113"/>
        <v>211144.50742651435</v>
      </c>
      <c r="G60">
        <f t="shared" si="114"/>
        <v>303292.10166833765</v>
      </c>
      <c r="H60">
        <f t="shared" ref="H60:J67" si="163">(H59+7000)*1.00407-(0.00125*(H59+7000))</f>
        <v>398920.96074561583</v>
      </c>
      <c r="I60">
        <f t="shared" si="163"/>
        <v>498187.55728044931</v>
      </c>
      <c r="J60">
        <f t="shared" si="163"/>
        <v>600865.92921909981</v>
      </c>
      <c r="K60">
        <f t="shared" ref="K60:K67" si="164">(K59+7000)*1.00407-(0.00104*(K59+7000))</f>
        <v>707221.40652985533</v>
      </c>
      <c r="L60">
        <f t="shared" si="116"/>
        <v>819041.76817743166</v>
      </c>
      <c r="M60">
        <f t="shared" si="117"/>
        <v>934996.36356480443</v>
      </c>
      <c r="N60">
        <f t="shared" si="118"/>
        <v>1055238.044000657</v>
      </c>
      <c r="O60">
        <f t="shared" si="119"/>
        <v>1181128.8052626096</v>
      </c>
      <c r="P60">
        <f t="shared" si="120"/>
        <v>1313622.8210751596</v>
      </c>
      <c r="Q60">
        <f t="shared" si="121"/>
        <v>1451356.0577856917</v>
      </c>
      <c r="R60">
        <f t="shared" si="122"/>
        <v>1594535.6903028202</v>
      </c>
      <c r="S60">
        <f t="shared" si="123"/>
        <v>1743377.0858682541</v>
      </c>
      <c r="T60">
        <f t="shared" si="124"/>
        <v>1898104.1280068478</v>
      </c>
      <c r="U60">
        <f t="shared" si="125"/>
        <v>2058949.5532866267</v>
      </c>
      <c r="V60">
        <f t="shared" si="126"/>
        <v>2226155.3013953459</v>
      </c>
      <c r="W60">
        <f t="shared" si="127"/>
        <v>2399972.879060152</v>
      </c>
      <c r="X60">
        <f t="shared" si="128"/>
        <v>2580663.7383577414</v>
      </c>
      <c r="Y60">
        <f t="shared" si="129"/>
        <v>2768499.6699840734</v>
      </c>
      <c r="Z60">
        <f t="shared" si="130"/>
        <v>2963763.2120751753</v>
      </c>
      <c r="AA60">
        <f t="shared" si="131"/>
        <v>3166748.075193977</v>
      </c>
      <c r="AB60">
        <f t="shared" si="132"/>
        <v>3377759.5841224319</v>
      </c>
      <c r="AC60">
        <f t="shared" si="133"/>
        <v>3597115.1371234655</v>
      </c>
      <c r="AD60">
        <f t="shared" si="134"/>
        <v>3825144.6833635406</v>
      </c>
      <c r="AE60">
        <f t="shared" si="135"/>
        <v>4062191.2192139872</v>
      </c>
      <c r="AI60">
        <f t="shared" si="110"/>
        <v>35429.676176542467</v>
      </c>
      <c r="AJ60">
        <f t="shared" si="136"/>
        <v>123455.04943015534</v>
      </c>
      <c r="AK60">
        <f t="shared" si="137"/>
        <v>215877.13623814323</v>
      </c>
      <c r="AL60">
        <f t="shared" si="138"/>
        <v>312915.54475852579</v>
      </c>
      <c r="AM60">
        <f t="shared" si="139"/>
        <v>414800.85219301243</v>
      </c>
      <c r="AN60">
        <f t="shared" si="140"/>
        <v>521775.1526715642</v>
      </c>
      <c r="AO60">
        <f t="shared" si="141"/>
        <v>634092.63250283222</v>
      </c>
      <c r="AP60">
        <f t="shared" si="142"/>
        <v>752020.17415734951</v>
      </c>
      <c r="AQ60">
        <f t="shared" si="143"/>
        <v>875837.99041862937</v>
      </c>
      <c r="AR60">
        <f t="shared" si="144"/>
        <v>1005840.2902090005</v>
      </c>
      <c r="AS60">
        <f t="shared" si="145"/>
        <v>1142335.9776722805</v>
      </c>
      <c r="AT60">
        <f t="shared" si="146"/>
        <v>1285649.3861744078</v>
      </c>
      <c r="AU60">
        <f t="shared" si="147"/>
        <v>1436121.0489661198</v>
      </c>
      <c r="AV60">
        <f t="shared" si="148"/>
        <v>1594108.5083388877</v>
      </c>
      <c r="AW60">
        <f t="shared" si="149"/>
        <v>1759987.1651967741</v>
      </c>
      <c r="AX60">
        <f t="shared" si="150"/>
        <v>1934151.1710629214</v>
      </c>
      <c r="AY60">
        <f t="shared" si="151"/>
        <v>2117014.3646402038</v>
      </c>
      <c r="AZ60">
        <f t="shared" si="152"/>
        <v>2309011.2551514502</v>
      </c>
      <c r="BA60">
        <f t="shared" si="153"/>
        <v>2510598.0547957881</v>
      </c>
      <c r="BB60">
        <f t="shared" si="154"/>
        <v>2722253.7627743827</v>
      </c>
      <c r="BC60">
        <f t="shared" si="155"/>
        <v>2944481.3034613626</v>
      </c>
      <c r="BD60">
        <f t="shared" si="156"/>
        <v>3177808.7214243952</v>
      </c>
      <c r="BE60">
        <f t="shared" si="157"/>
        <v>3422790.4361344539</v>
      </c>
      <c r="BF60">
        <f t="shared" si="158"/>
        <v>3680008.5593461441</v>
      </c>
      <c r="BG60">
        <f t="shared" si="159"/>
        <v>3950074.27827887</v>
      </c>
      <c r="BH60">
        <f t="shared" si="160"/>
        <v>4233629.3078854904</v>
      </c>
      <c r="BI60">
        <f t="shared" si="161"/>
        <v>4531347.4156592498</v>
      </c>
      <c r="BJ60">
        <f t="shared" si="162"/>
        <v>4843936.0226021586</v>
      </c>
    </row>
    <row r="61" spans="1:62" x14ac:dyDescent="0.3">
      <c r="A61">
        <f>0.01/12</f>
        <v>8.3333333333333339E-4</v>
      </c>
      <c r="B61">
        <v>1</v>
      </c>
      <c r="D61">
        <f t="shared" si="108"/>
        <v>42385.343327324772</v>
      </c>
      <c r="E61">
        <f t="shared" si="112"/>
        <v>129170.862670164</v>
      </c>
      <c r="F61">
        <f t="shared" si="113"/>
        <v>218713.86459089757</v>
      </c>
      <c r="G61">
        <f t="shared" si="114"/>
        <v>311101.96405369201</v>
      </c>
      <c r="H61">
        <f t="shared" si="163"/>
        <v>407065.65785491845</v>
      </c>
      <c r="I61">
        <f t="shared" si="163"/>
        <v>506612.1861919802</v>
      </c>
      <c r="J61">
        <f t="shared" si="163"/>
        <v>609580.1111394976</v>
      </c>
      <c r="K61">
        <f t="shared" si="164"/>
        <v>716385.49739164079</v>
      </c>
      <c r="L61">
        <f t="shared" si="116"/>
        <v>828544.67473500932</v>
      </c>
      <c r="M61">
        <f t="shared" si="117"/>
        <v>944850.61254640587</v>
      </c>
      <c r="N61">
        <f t="shared" si="118"/>
        <v>1065456.625273979</v>
      </c>
      <c r="O61">
        <f t="shared" si="119"/>
        <v>1191974.7782052448</v>
      </c>
      <c r="P61">
        <f t="shared" si="120"/>
        <v>1324897.6771469798</v>
      </c>
      <c r="Q61">
        <f t="shared" si="121"/>
        <v>1463076.756344744</v>
      </c>
      <c r="R61">
        <f t="shared" si="122"/>
        <v>1606719.8613323306</v>
      </c>
      <c r="S61">
        <f t="shared" si="123"/>
        <v>1756043.0564952097</v>
      </c>
      <c r="T61">
        <f t="shared" si="124"/>
        <v>1911270.9500692061</v>
      </c>
      <c r="U61">
        <f t="shared" si="125"/>
        <v>2072637.0319906154</v>
      </c>
      <c r="V61">
        <f t="shared" si="126"/>
        <v>2240384.025105963</v>
      </c>
      <c r="W61">
        <f t="shared" si="127"/>
        <v>2414764.2502696696</v>
      </c>
      <c r="X61">
        <f t="shared" si="128"/>
        <v>2596040.0058788056</v>
      </c>
      <c r="Y61">
        <f t="shared" si="129"/>
        <v>2784483.9624158116</v>
      </c>
      <c r="Z61">
        <f t="shared" si="130"/>
        <v>2980379.5725926626</v>
      </c>
      <c r="AA61">
        <f t="shared" si="131"/>
        <v>3184021.49771338</v>
      </c>
      <c r="AB61">
        <f t="shared" si="132"/>
        <v>3395716.0508962362</v>
      </c>
      <c r="AC61">
        <f t="shared" si="133"/>
        <v>3615781.6578223347</v>
      </c>
      <c r="AD61">
        <f t="shared" si="134"/>
        <v>3844549.3357035886</v>
      </c>
      <c r="AE61">
        <f t="shared" si="135"/>
        <v>4082363.1911905827</v>
      </c>
      <c r="AI61">
        <f t="shared" si="110"/>
        <v>42602.364958580998</v>
      </c>
      <c r="AJ61">
        <f t="shared" si="136"/>
        <v>130986.00148133608</v>
      </c>
      <c r="AK61">
        <f t="shared" si="137"/>
        <v>223784.24618263249</v>
      </c>
      <c r="AL61">
        <f t="shared" si="138"/>
        <v>321217.601025693</v>
      </c>
      <c r="AM61">
        <f t="shared" si="139"/>
        <v>423517.58166143799</v>
      </c>
      <c r="AN61">
        <f t="shared" si="140"/>
        <v>530927.26754293742</v>
      </c>
      <c r="AO61">
        <f t="shared" si="141"/>
        <v>643701.8795171188</v>
      </c>
      <c r="AP61">
        <f t="shared" si="142"/>
        <v>762109.38626616995</v>
      </c>
      <c r="AQ61">
        <f t="shared" si="143"/>
        <v>886431.14103963319</v>
      </c>
      <c r="AR61">
        <f t="shared" si="144"/>
        <v>1016962.5501901511</v>
      </c>
      <c r="AS61">
        <f t="shared" si="145"/>
        <v>1154013.7751014067</v>
      </c>
      <c r="AT61">
        <f t="shared" si="146"/>
        <v>1297910.4691761376</v>
      </c>
      <c r="AU61">
        <f t="shared" si="147"/>
        <v>1448994.5516354118</v>
      </c>
      <c r="AV61">
        <f t="shared" si="148"/>
        <v>1607625.019967827</v>
      </c>
      <c r="AW61">
        <f t="shared" si="149"/>
        <v>1774178.802959125</v>
      </c>
      <c r="AX61">
        <f t="shared" si="150"/>
        <v>1949051.6563291475</v>
      </c>
      <c r="AY61">
        <f t="shared" si="151"/>
        <v>2132659.1031042896</v>
      </c>
      <c r="AZ61">
        <f t="shared" si="152"/>
        <v>2325437.4209599164</v>
      </c>
      <c r="BA61">
        <f t="shared" si="153"/>
        <v>2527844.678878807</v>
      </c>
      <c r="BB61">
        <f t="shared" si="154"/>
        <v>2740361.8255888745</v>
      </c>
      <c r="BC61">
        <f t="shared" si="155"/>
        <v>2963493.8323664502</v>
      </c>
      <c r="BD61">
        <f t="shared" si="156"/>
        <v>3197770.8929205923</v>
      </c>
      <c r="BE61">
        <f t="shared" si="157"/>
        <v>3443749.6832095212</v>
      </c>
      <c r="BF61">
        <f t="shared" si="158"/>
        <v>3702014.684182683</v>
      </c>
      <c r="BG61">
        <f t="shared" si="159"/>
        <v>3973179.5705914651</v>
      </c>
      <c r="BH61">
        <f t="shared" si="160"/>
        <v>4257888.669168584</v>
      </c>
      <c r="BI61">
        <f t="shared" si="161"/>
        <v>4556818.4896409828</v>
      </c>
      <c r="BJ61">
        <f t="shared" si="162"/>
        <v>4870679.3322141496</v>
      </c>
    </row>
    <row r="62" spans="1:62" x14ac:dyDescent="0.3">
      <c r="D62">
        <f t="shared" si="108"/>
        <v>49514.239073409088</v>
      </c>
      <c r="E62">
        <f t="shared" si="112"/>
        <v>136526.26862173312</v>
      </c>
      <c r="F62">
        <f t="shared" si="113"/>
        <v>226302.97777747983</v>
      </c>
      <c r="G62">
        <f t="shared" si="114"/>
        <v>318932.21017987217</v>
      </c>
      <c r="H62">
        <f t="shared" si="163"/>
        <v>415233.32301006932</v>
      </c>
      <c r="I62">
        <f t="shared" si="163"/>
        <v>515060.5725570416</v>
      </c>
      <c r="J62">
        <f t="shared" si="163"/>
        <v>618318.86705291108</v>
      </c>
      <c r="K62">
        <f t="shared" si="164"/>
        <v>725577.35544873751</v>
      </c>
      <c r="L62">
        <f t="shared" si="116"/>
        <v>838076.3750994564</v>
      </c>
      <c r="M62">
        <f t="shared" si="117"/>
        <v>954734.71990242146</v>
      </c>
      <c r="N62">
        <f t="shared" si="118"/>
        <v>1075706.1688485593</v>
      </c>
      <c r="O62">
        <f t="shared" si="119"/>
        <v>1202855.8595622953</v>
      </c>
      <c r="P62">
        <f t="shared" si="120"/>
        <v>1336209.0299279045</v>
      </c>
      <c r="Q62">
        <f t="shared" si="121"/>
        <v>1474835.3948050321</v>
      </c>
      <c r="R62">
        <f t="shared" si="122"/>
        <v>1618943.4725234634</v>
      </c>
      <c r="S62">
        <f t="shared" si="123"/>
        <v>1768750.0268690847</v>
      </c>
      <c r="T62">
        <f t="shared" si="124"/>
        <v>1924480.39313458</v>
      </c>
      <c r="U62">
        <f t="shared" si="125"/>
        <v>2086368.8170631689</v>
      </c>
      <c r="V62">
        <f t="shared" si="126"/>
        <v>2254658.8071952309</v>
      </c>
      <c r="W62">
        <f t="shared" si="127"/>
        <v>2429603.5011477927</v>
      </c>
      <c r="X62">
        <f t="shared" si="128"/>
        <v>2611466.0463778353</v>
      </c>
      <c r="Y62">
        <f t="shared" si="129"/>
        <v>2800519.9960021516</v>
      </c>
      <c r="Z62">
        <f t="shared" si="130"/>
        <v>2997049.7202691454</v>
      </c>
      <c r="AA62">
        <f t="shared" si="131"/>
        <v>3201350.8343014782</v>
      </c>
      <c r="AB62">
        <f t="shared" si="132"/>
        <v>3413730.6427529873</v>
      </c>
      <c r="AC62">
        <f t="shared" si="133"/>
        <v>3634508.6020487058</v>
      </c>
      <c r="AD62">
        <f t="shared" si="134"/>
        <v>3864016.8009032612</v>
      </c>
      <c r="AE62">
        <f t="shared" si="135"/>
        <v>4102600.4598404667</v>
      </c>
      <c r="AI62">
        <f t="shared" si="110"/>
        <v>49804.24658396242</v>
      </c>
      <c r="AJ62">
        <f t="shared" si="136"/>
        <v>138547.60450736512</v>
      </c>
      <c r="AK62">
        <f t="shared" si="137"/>
        <v>231723.53806459581</v>
      </c>
      <c r="AL62">
        <f t="shared" si="138"/>
        <v>329553.44666186755</v>
      </c>
      <c r="AM62">
        <f t="shared" si="139"/>
        <v>432269.78821880004</v>
      </c>
      <c r="AN62">
        <f t="shared" si="140"/>
        <v>540116.6315218372</v>
      </c>
      <c r="AO62">
        <f t="shared" si="141"/>
        <v>653350.23616675346</v>
      </c>
      <c r="AP62">
        <f t="shared" si="142"/>
        <v>772239.66146827326</v>
      </c>
      <c r="AQ62">
        <f t="shared" si="143"/>
        <v>897067.40578366455</v>
      </c>
      <c r="AR62">
        <f t="shared" si="144"/>
        <v>1028130.077769425</v>
      </c>
      <c r="AS62">
        <f t="shared" si="145"/>
        <v>1165739.1011660695</v>
      </c>
      <c r="AT62">
        <f t="shared" si="146"/>
        <v>1310221.4547856846</v>
      </c>
      <c r="AU62">
        <f t="shared" si="147"/>
        <v>1461920.4494605679</v>
      </c>
      <c r="AV62">
        <f t="shared" si="148"/>
        <v>1621196.543799096</v>
      </c>
      <c r="AW62">
        <f t="shared" si="149"/>
        <v>1788428.2006871686</v>
      </c>
      <c r="AX62">
        <f t="shared" si="150"/>
        <v>1964012.7865704072</v>
      </c>
      <c r="AY62">
        <f t="shared" si="151"/>
        <v>2148367.5156539241</v>
      </c>
      <c r="AZ62">
        <f t="shared" si="152"/>
        <v>2341930.4412632235</v>
      </c>
      <c r="BA62">
        <f t="shared" si="153"/>
        <v>2545161.4967218437</v>
      </c>
      <c r="BB62">
        <f t="shared" si="154"/>
        <v>2758543.5882190214</v>
      </c>
      <c r="BC62">
        <f t="shared" si="155"/>
        <v>2982583.7422641818</v>
      </c>
      <c r="BD62">
        <f t="shared" si="156"/>
        <v>3217814.3104547793</v>
      </c>
      <c r="BE62">
        <f t="shared" si="157"/>
        <v>3464794.234420184</v>
      </c>
      <c r="BF62">
        <f t="shared" si="158"/>
        <v>3724110.3739473065</v>
      </c>
      <c r="BG62">
        <f t="shared" si="159"/>
        <v>3996378.9014437725</v>
      </c>
      <c r="BH62">
        <f t="shared" si="160"/>
        <v>4282246.7660520999</v>
      </c>
      <c r="BI62">
        <f t="shared" si="161"/>
        <v>4582393.2308938215</v>
      </c>
      <c r="BJ62">
        <f t="shared" si="162"/>
        <v>4897531.4870962612</v>
      </c>
    </row>
    <row r="63" spans="1:62" x14ac:dyDescent="0.3">
      <c r="D63">
        <f t="shared" si="108"/>
        <v>56661.741237390685</v>
      </c>
      <c r="E63">
        <f t="shared" si="112"/>
        <v>143900.87218283585</v>
      </c>
      <c r="F63">
        <f t="shared" si="113"/>
        <v>233911.89854947905</v>
      </c>
      <c r="G63">
        <f t="shared" si="114"/>
        <v>326782.89324844163</v>
      </c>
      <c r="H63">
        <f t="shared" si="163"/>
        <v>423424.02098095772</v>
      </c>
      <c r="I63">
        <f t="shared" si="163"/>
        <v>523532.78337165242</v>
      </c>
      <c r="J63">
        <f t="shared" si="163"/>
        <v>627082.26625800028</v>
      </c>
      <c r="K63">
        <f t="shared" si="164"/>
        <v>734797.06483574724</v>
      </c>
      <c r="L63">
        <f t="shared" si="116"/>
        <v>847636.95651600778</v>
      </c>
      <c r="M63">
        <f t="shared" si="117"/>
        <v>964648.77610372577</v>
      </c>
      <c r="N63">
        <f t="shared" si="118"/>
        <v>1085986.7685401705</v>
      </c>
      <c r="O63">
        <f t="shared" si="119"/>
        <v>1213772.1629796985</v>
      </c>
      <c r="P63">
        <f t="shared" si="120"/>
        <v>1347556.9975577812</v>
      </c>
      <c r="Q63">
        <f t="shared" si="121"/>
        <v>1486632.095978016</v>
      </c>
      <c r="R63">
        <f t="shared" si="122"/>
        <v>1631206.6515440219</v>
      </c>
      <c r="S63">
        <f t="shared" si="123"/>
        <v>1781498.12970606</v>
      </c>
      <c r="T63">
        <f t="shared" si="124"/>
        <v>1937732.5951671568</v>
      </c>
      <c r="U63">
        <f t="shared" si="125"/>
        <v>2100145.0519240024</v>
      </c>
      <c r="V63">
        <f t="shared" si="126"/>
        <v>2268979.7967541218</v>
      </c>
      <c r="W63">
        <f t="shared" si="127"/>
        <v>2444490.7866810081</v>
      </c>
      <c r="X63">
        <f t="shared" si="128"/>
        <v>2626942.0209699604</v>
      </c>
      <c r="Y63">
        <f t="shared" si="129"/>
        <v>2816607.9382292107</v>
      </c>
      <c r="Z63">
        <f t="shared" si="130"/>
        <v>3013773.829213657</v>
      </c>
      <c r="AA63">
        <f t="shared" si="131"/>
        <v>3218736.2659521122</v>
      </c>
      <c r="AB63">
        <f t="shared" si="132"/>
        <v>3431803.5478435787</v>
      </c>
      <c r="AC63">
        <f t="shared" si="133"/>
        <v>3653296.1653935374</v>
      </c>
      <c r="AD63">
        <f t="shared" si="134"/>
        <v>3883547.2822877849</v>
      </c>
      <c r="AE63">
        <f t="shared" si="135"/>
        <v>4122903.2365289703</v>
      </c>
      <c r="AI63">
        <f t="shared" si="110"/>
        <v>57035.439867559151</v>
      </c>
      <c r="AJ63">
        <f t="shared" si="136"/>
        <v>146139.98325771009</v>
      </c>
      <c r="AK63">
        <f t="shared" si="137"/>
        <v>239695.14286451871</v>
      </c>
      <c r="AL63">
        <f t="shared" si="138"/>
        <v>337923.21918978135</v>
      </c>
      <c r="AM63">
        <f t="shared" si="139"/>
        <v>441057.61625685054</v>
      </c>
      <c r="AN63">
        <f t="shared" si="140"/>
        <v>549343.39621213113</v>
      </c>
      <c r="AO63">
        <f t="shared" si="141"/>
        <v>663037.8616279522</v>
      </c>
      <c r="AP63">
        <f t="shared" si="142"/>
        <v>782411.16689044912</v>
      </c>
      <c r="AQ63">
        <f t="shared" si="143"/>
        <v>907746.96012520406</v>
      </c>
      <c r="AR63">
        <f t="shared" si="144"/>
        <v>1039343.0571859466</v>
      </c>
      <c r="AS63">
        <f t="shared" si="145"/>
        <v>1177512.1493078154</v>
      </c>
      <c r="AT63">
        <f t="shared" si="146"/>
        <v>1322582.5461066624</v>
      </c>
      <c r="AU63">
        <f t="shared" si="147"/>
        <v>1474898.9556898724</v>
      </c>
      <c r="AV63">
        <f t="shared" si="148"/>
        <v>1634823.3037323584</v>
      </c>
      <c r="AW63">
        <f t="shared" si="149"/>
        <v>1802735.5934639655</v>
      </c>
      <c r="AX63">
        <f t="shared" si="150"/>
        <v>1979034.8086117487</v>
      </c>
      <c r="AY63">
        <f t="shared" si="151"/>
        <v>2164139.8614426358</v>
      </c>
      <c r="AZ63">
        <f t="shared" si="152"/>
        <v>2358490.5881591649</v>
      </c>
      <c r="BA63">
        <f t="shared" si="153"/>
        <v>2562548.7940135016</v>
      </c>
      <c r="BB63">
        <f t="shared" si="154"/>
        <v>2776799.3506230731</v>
      </c>
      <c r="BC63">
        <f t="shared" si="155"/>
        <v>3001751.3480951972</v>
      </c>
      <c r="BD63">
        <f t="shared" si="156"/>
        <v>3237939.3046983304</v>
      </c>
      <c r="BE63">
        <f t="shared" si="157"/>
        <v>3485924.4369542743</v>
      </c>
      <c r="BF63">
        <f t="shared" si="158"/>
        <v>3746295.9931692723</v>
      </c>
      <c r="BG63">
        <f t="shared" si="159"/>
        <v>4019672.6535726488</v>
      </c>
      <c r="BH63">
        <f t="shared" si="160"/>
        <v>4306704.0003899317</v>
      </c>
      <c r="BI63">
        <f t="shared" si="161"/>
        <v>4608072.0613435591</v>
      </c>
      <c r="BJ63">
        <f t="shared" si="162"/>
        <v>4924492.9302487429</v>
      </c>
    </row>
    <row r="64" spans="1:62" x14ac:dyDescent="0.3">
      <c r="D64">
        <f t="shared" si="108"/>
        <v>63827.898382020277</v>
      </c>
      <c r="E64">
        <f t="shared" si="112"/>
        <v>151294.72345923304</v>
      </c>
      <c r="F64">
        <f t="shared" si="113"/>
        <v>241540.67860469321</v>
      </c>
      <c r="G64">
        <f t="shared" si="114"/>
        <v>334654.0665998201</v>
      </c>
      <c r="H64">
        <f t="shared" si="163"/>
        <v>431637.81672012404</v>
      </c>
      <c r="I64">
        <f t="shared" si="163"/>
        <v>532028.88582076051</v>
      </c>
      <c r="J64">
        <f t="shared" si="163"/>
        <v>635870.3782488479</v>
      </c>
      <c r="K64">
        <f t="shared" si="164"/>
        <v>744044.70994219952</v>
      </c>
      <c r="L64">
        <f t="shared" si="116"/>
        <v>857226.5064942512</v>
      </c>
      <c r="M64">
        <f t="shared" si="117"/>
        <v>974592.87189532013</v>
      </c>
      <c r="N64">
        <f t="shared" si="118"/>
        <v>1096298.5184488473</v>
      </c>
      <c r="O64">
        <f t="shared" si="119"/>
        <v>1224723.8024712638</v>
      </c>
      <c r="P64">
        <f t="shared" si="120"/>
        <v>1358941.6985588758</v>
      </c>
      <c r="Q64">
        <f t="shared" si="121"/>
        <v>1498466.983072697</v>
      </c>
      <c r="R64">
        <f t="shared" si="122"/>
        <v>1643509.5264750698</v>
      </c>
      <c r="S64">
        <f t="shared" si="123"/>
        <v>1794287.4981519186</v>
      </c>
      <c r="T64">
        <f t="shared" si="124"/>
        <v>1951027.6945777128</v>
      </c>
      <c r="U64">
        <f t="shared" si="125"/>
        <v>2113965.8804570804</v>
      </c>
      <c r="V64">
        <f t="shared" si="126"/>
        <v>2283347.1433562147</v>
      </c>
      <c r="W64">
        <f t="shared" si="127"/>
        <v>2459426.2623574943</v>
      </c>
      <c r="X64">
        <f t="shared" si="128"/>
        <v>2642468.0912918402</v>
      </c>
      <c r="Y64">
        <f t="shared" si="129"/>
        <v>2832747.9571252586</v>
      </c>
      <c r="Z64">
        <f t="shared" si="130"/>
        <v>3030552.0740988217</v>
      </c>
      <c r="AA64">
        <f t="shared" si="131"/>
        <v>3236177.9742449992</v>
      </c>
      <c r="AB64">
        <f t="shared" si="132"/>
        <v>3449934.9549279488</v>
      </c>
      <c r="AC64">
        <f t="shared" si="133"/>
        <v>3672144.5440809163</v>
      </c>
      <c r="AD64">
        <f t="shared" si="134"/>
        <v>3903140.9838405503</v>
      </c>
      <c r="AE64">
        <f t="shared" si="135"/>
        <v>4143271.7333056149</v>
      </c>
      <c r="AI64">
        <f t="shared" si="110"/>
        <v>64296.064107820115</v>
      </c>
      <c r="AJ64">
        <f t="shared" si="136"/>
        <v>153763.26298956896</v>
      </c>
      <c r="AK64">
        <f t="shared" si="137"/>
        <v>247699.19209597731</v>
      </c>
      <c r="AL64">
        <f t="shared" si="138"/>
        <v>346327.05669188377</v>
      </c>
      <c r="AM64">
        <f t="shared" si="139"/>
        <v>449881.21075501596</v>
      </c>
      <c r="AN64">
        <f t="shared" si="140"/>
        <v>558607.71383471449</v>
      </c>
      <c r="AO64">
        <f t="shared" si="141"/>
        <v>672764.91572477797</v>
      </c>
      <c r="AP64">
        <f t="shared" si="142"/>
        <v>792624.07033969322</v>
      </c>
      <c r="AQ64">
        <f t="shared" si="143"/>
        <v>918469.98025291367</v>
      </c>
      <c r="AR64">
        <f t="shared" si="144"/>
        <v>1050601.6734286933</v>
      </c>
      <c r="AS64">
        <f t="shared" si="145"/>
        <v>1189333.1137554981</v>
      </c>
      <c r="AT64">
        <f t="shared" si="146"/>
        <v>1334993.9470693164</v>
      </c>
      <c r="AU64">
        <f t="shared" si="147"/>
        <v>1487930.2844395302</v>
      </c>
      <c r="AV64">
        <f t="shared" si="148"/>
        <v>1648505.5245785492</v>
      </c>
      <c r="AW64">
        <f t="shared" si="149"/>
        <v>1817101.2173293638</v>
      </c>
      <c r="AX64">
        <f t="shared" si="150"/>
        <v>1994117.9702827986</v>
      </c>
      <c r="AY64">
        <f t="shared" si="151"/>
        <v>2179976.4006787073</v>
      </c>
      <c r="AZ64">
        <f t="shared" si="152"/>
        <v>2375118.1348529728</v>
      </c>
      <c r="BA64">
        <f t="shared" si="153"/>
        <v>2580006.8576051365</v>
      </c>
      <c r="BB64">
        <f t="shared" si="154"/>
        <v>2795129.4139801092</v>
      </c>
      <c r="BC64">
        <f t="shared" si="155"/>
        <v>3020996.9660819448</v>
      </c>
      <c r="BD64">
        <f t="shared" si="156"/>
        <v>3258146.2076684525</v>
      </c>
      <c r="BE64">
        <f t="shared" si="157"/>
        <v>3507140.6394126783</v>
      </c>
      <c r="BF64">
        <f t="shared" si="158"/>
        <v>3768571.9078614712</v>
      </c>
      <c r="BG64">
        <f t="shared" si="159"/>
        <v>4043061.2112726895</v>
      </c>
      <c r="BH64">
        <f t="shared" si="160"/>
        <v>4331260.7756715184</v>
      </c>
      <c r="BI64">
        <f t="shared" si="161"/>
        <v>4633855.4046332277</v>
      </c>
      <c r="BJ64">
        <f t="shared" si="162"/>
        <v>4951564.106474855</v>
      </c>
    </row>
    <row r="65" spans="1:62" x14ac:dyDescent="0.3">
      <c r="D65">
        <f t="shared" si="108"/>
        <v>71012.759196797342</v>
      </c>
      <c r="E65">
        <f t="shared" si="112"/>
        <v>158707.87268746164</v>
      </c>
      <c r="F65">
        <f t="shared" si="113"/>
        <v>249189.36977585146</v>
      </c>
      <c r="G65">
        <f t="shared" si="114"/>
        <v>342545.78371364565</v>
      </c>
      <c r="H65">
        <f t="shared" si="163"/>
        <v>439874.77536327479</v>
      </c>
      <c r="I65">
        <f t="shared" si="163"/>
        <v>540548.94727877504</v>
      </c>
      <c r="J65">
        <f t="shared" si="163"/>
        <v>644683.27271550964</v>
      </c>
      <c r="K65">
        <f t="shared" si="164"/>
        <v>753320.37541332445</v>
      </c>
      <c r="L65">
        <f t="shared" si="116"/>
        <v>866845.11280892871</v>
      </c>
      <c r="M65">
        <f t="shared" si="117"/>
        <v>984567.09829716303</v>
      </c>
      <c r="N65">
        <f t="shared" si="118"/>
        <v>1106641.5129597473</v>
      </c>
      <c r="O65">
        <f t="shared" si="119"/>
        <v>1235710.8924198633</v>
      </c>
      <c r="P65">
        <f t="shared" si="120"/>
        <v>1370363.2518371108</v>
      </c>
      <c r="Q65">
        <f t="shared" si="121"/>
        <v>1510340.1796969033</v>
      </c>
      <c r="R65">
        <f t="shared" si="122"/>
        <v>1655852.2258122696</v>
      </c>
      <c r="S65">
        <f t="shared" si="123"/>
        <v>1807118.2657834366</v>
      </c>
      <c r="T65">
        <f t="shared" si="124"/>
        <v>1964365.8302250609</v>
      </c>
      <c r="U65">
        <f t="shared" si="125"/>
        <v>2127831.4470121199</v>
      </c>
      <c r="V65">
        <f t="shared" si="126"/>
        <v>2297760.9970592586</v>
      </c>
      <c r="W65">
        <f t="shared" si="127"/>
        <v>2474410.0841687457</v>
      </c>
      <c r="X65">
        <f t="shared" si="128"/>
        <v>2658044.4195033517</v>
      </c>
      <c r="Y65">
        <f t="shared" si="129"/>
        <v>2848940.2212624731</v>
      </c>
      <c r="Z65">
        <f t="shared" si="130"/>
        <v>3047384.6301626796</v>
      </c>
      <c r="AA65">
        <f t="shared" si="131"/>
        <v>3253676.1413476304</v>
      </c>
      <c r="AB65">
        <f t="shared" si="132"/>
        <v>3468125.0533770504</v>
      </c>
      <c r="AC65">
        <f t="shared" si="133"/>
        <v>3691053.9349701065</v>
      </c>
      <c r="AD65">
        <f t="shared" si="134"/>
        <v>3922798.1102052424</v>
      </c>
      <c r="AE65">
        <f t="shared" si="135"/>
        <v>4163706.1629063254</v>
      </c>
      <c r="AI65">
        <f t="shared" si="110"/>
        <v>71586.239088738948</v>
      </c>
      <c r="AJ65">
        <f t="shared" si="136"/>
        <v>161417.56946993651</v>
      </c>
      <c r="AK65">
        <f t="shared" si="137"/>
        <v>255735.81780780794</v>
      </c>
      <c r="AL65">
        <f t="shared" si="138"/>
        <v>354765.09781261976</v>
      </c>
      <c r="AM65">
        <f t="shared" si="139"/>
        <v>458740.71728278889</v>
      </c>
      <c r="AN65">
        <f t="shared" si="140"/>
        <v>567909.73723002174</v>
      </c>
      <c r="AO65">
        <f t="shared" si="141"/>
        <v>682531.55893177784</v>
      </c>
      <c r="AP65">
        <f t="shared" si="142"/>
        <v>802878.54030597582</v>
      </c>
      <c r="AQ65">
        <f t="shared" si="143"/>
        <v>929236.64307254308</v>
      </c>
      <c r="AR65">
        <f t="shared" si="144"/>
        <v>1061906.112239548</v>
      </c>
      <c r="AS65">
        <f t="shared" si="145"/>
        <v>1201202.189528483</v>
      </c>
      <c r="AT65">
        <f t="shared" si="146"/>
        <v>1347455.8624338885</v>
      </c>
      <c r="AU65">
        <f t="shared" si="147"/>
        <v>1501014.6506971992</v>
      </c>
      <c r="AV65">
        <f t="shared" si="148"/>
        <v>1662243.432063584</v>
      </c>
      <c r="AW65">
        <f t="shared" si="149"/>
        <v>1831525.3092838943</v>
      </c>
      <c r="AX65">
        <f t="shared" si="150"/>
        <v>2009262.5204218496</v>
      </c>
      <c r="AY65">
        <f t="shared" si="151"/>
        <v>2195877.3946294696</v>
      </c>
      <c r="AZ65">
        <f t="shared" si="152"/>
        <v>2391813.3556618243</v>
      </c>
      <c r="BA65">
        <f t="shared" si="153"/>
        <v>2597535.9755155896</v>
      </c>
      <c r="BB65">
        <f t="shared" si="154"/>
        <v>2813534.0806950084</v>
      </c>
      <c r="BC65">
        <f t="shared" si="155"/>
        <v>3040320.9137338982</v>
      </c>
      <c r="BD65">
        <f t="shared" si="156"/>
        <v>3278435.3527336633</v>
      </c>
      <c r="BE65">
        <f t="shared" si="157"/>
        <v>3528443.191815088</v>
      </c>
      <c r="BF65">
        <f t="shared" si="158"/>
        <v>3790938.4855264672</v>
      </c>
      <c r="BG65">
        <f t="shared" si="159"/>
        <v>4066544.9604025693</v>
      </c>
      <c r="BH65">
        <f t="shared" si="160"/>
        <v>4355917.4970285017</v>
      </c>
      <c r="BI65">
        <f t="shared" si="161"/>
        <v>4659743.686130085</v>
      </c>
      <c r="BJ65">
        <f t="shared" si="162"/>
        <v>4978745.4623882081</v>
      </c>
    </row>
    <row r="66" spans="1:62" x14ac:dyDescent="0.3">
      <c r="D66">
        <f t="shared" si="108"/>
        <v>78216.372498300989</v>
      </c>
      <c r="E66">
        <f>(E65+7000)*1.00407-(0.00146*(E65+7000))</f>
        <v>166140.37023517591</v>
      </c>
      <c r="F66">
        <f>(F65+7000)*1.00407-(0.00146*(F65+7000))</f>
        <v>256858.02403096645</v>
      </c>
      <c r="G66">
        <f>(G65+7000)*1.00407-(0.00125*(G65+7000))</f>
        <v>350531.50282371813</v>
      </c>
      <c r="H66">
        <f t="shared" si="163"/>
        <v>448134.96222979925</v>
      </c>
      <c r="I66">
        <f t="shared" si="163"/>
        <v>549093.03531010123</v>
      </c>
      <c r="J66">
        <f t="shared" si="163"/>
        <v>653521.01954456745</v>
      </c>
      <c r="K66">
        <f t="shared" si="164"/>
        <v>762624.14615082683</v>
      </c>
      <c r="L66">
        <f t="shared" si="116"/>
        <v>876492.8635007398</v>
      </c>
      <c r="M66">
        <f t="shared" si="117"/>
        <v>994571.54660500342</v>
      </c>
      <c r="N66">
        <f t="shared" si="118"/>
        <v>1117015.8467440153</v>
      </c>
      <c r="O66">
        <f t="shared" si="119"/>
        <v>1246733.5475786263</v>
      </c>
      <c r="P66">
        <f t="shared" si="120"/>
        <v>1381821.7766833075</v>
      </c>
      <c r="Q66">
        <f t="shared" si="121"/>
        <v>1522251.8098585822</v>
      </c>
      <c r="R66">
        <f t="shared" si="122"/>
        <v>1668234.8784672238</v>
      </c>
      <c r="S66">
        <f t="shared" si="123"/>
        <v>1819990.5666097777</v>
      </c>
      <c r="T66">
        <f t="shared" si="124"/>
        <v>1977747.1414174994</v>
      </c>
      <c r="U66">
        <f t="shared" si="125"/>
        <v>2141741.8964060983</v>
      </c>
      <c r="V66">
        <f t="shared" si="126"/>
        <v>2312221.5084067392</v>
      </c>
      <c r="W66">
        <f t="shared" si="127"/>
        <v>2489442.4086111998</v>
      </c>
      <c r="X66">
        <f t="shared" si="128"/>
        <v>2673671.1682892842</v>
      </c>
      <c r="Y66">
        <f t="shared" si="129"/>
        <v>2865184.8997586998</v>
      </c>
      <c r="Z66">
        <f t="shared" si="130"/>
        <v>3064271.6732105161</v>
      </c>
      <c r="AA66">
        <f t="shared" si="131"/>
        <v>3271230.9500171728</v>
      </c>
      <c r="AB66">
        <f t="shared" si="132"/>
        <v>3486374.0331748319</v>
      </c>
      <c r="AC66">
        <f t="shared" si="133"/>
        <v>3710024.5355576049</v>
      </c>
      <c r="AD66">
        <f t="shared" si="134"/>
        <v>3942518.8666879768</v>
      </c>
      <c r="AE66">
        <f t="shared" si="135"/>
        <v>4184206.7387556536</v>
      </c>
      <c r="AI66">
        <f t="shared" si="110"/>
        <v>78906.085081830111</v>
      </c>
      <c r="AJ66">
        <f t="shared" si="136"/>
        <v>169103.02897767915</v>
      </c>
      <c r="AK66">
        <f t="shared" si="137"/>
        <v>263805.15258628572</v>
      </c>
      <c r="AL66">
        <f t="shared" si="138"/>
        <v>363237.48176071711</v>
      </c>
      <c r="AM66">
        <f t="shared" si="139"/>
        <v>467636.28200212982</v>
      </c>
      <c r="AN66">
        <f t="shared" si="140"/>
        <v>577249.61986054794</v>
      </c>
      <c r="AO66">
        <f t="shared" si="141"/>
        <v>692337.95237663016</v>
      </c>
      <c r="AP66">
        <f t="shared" si="142"/>
        <v>813174.7459650212</v>
      </c>
      <c r="AQ66">
        <f t="shared" si="143"/>
        <v>940047.12620984833</v>
      </c>
      <c r="AR66">
        <f t="shared" si="144"/>
        <v>1073256.560116363</v>
      </c>
      <c r="AS66">
        <f t="shared" si="145"/>
        <v>1213119.5724398638</v>
      </c>
      <c r="AT66">
        <f t="shared" si="146"/>
        <v>1359968.4977939944</v>
      </c>
      <c r="AU66">
        <f t="shared" si="147"/>
        <v>1514152.2703255368</v>
      </c>
      <c r="AV66">
        <f t="shared" si="148"/>
        <v>1676037.2528320828</v>
      </c>
      <c r="AW66">
        <f t="shared" si="149"/>
        <v>1846008.1072926798</v>
      </c>
      <c r="AX66">
        <f t="shared" si="150"/>
        <v>2024468.7088799665</v>
      </c>
      <c r="AY66">
        <f t="shared" si="151"/>
        <v>2211843.1056256117</v>
      </c>
      <c r="AZ66">
        <f t="shared" si="152"/>
        <v>2408576.5260193679</v>
      </c>
      <c r="BA66">
        <f t="shared" si="153"/>
        <v>2615136.436935938</v>
      </c>
      <c r="BB66">
        <f t="shared" si="154"/>
        <v>2832013.6544034369</v>
      </c>
      <c r="BC66">
        <f t="shared" si="155"/>
        <v>3059723.5098527954</v>
      </c>
      <c r="BD66">
        <f t="shared" si="156"/>
        <v>3298807.0746192895</v>
      </c>
      <c r="BE66">
        <f t="shared" si="157"/>
        <v>3549832.4456057753</v>
      </c>
      <c r="BF66">
        <f t="shared" si="158"/>
        <v>3813396.0951625598</v>
      </c>
      <c r="BG66">
        <f t="shared" si="159"/>
        <v>4090124.2883914076</v>
      </c>
      <c r="BH66">
        <f t="shared" si="160"/>
        <v>4380674.5712414077</v>
      </c>
      <c r="BI66">
        <f t="shared" si="161"/>
        <v>4685737.3329326343</v>
      </c>
      <c r="BJ66">
        <f t="shared" si="162"/>
        <v>5006037.4464201285</v>
      </c>
    </row>
    <row r="67" spans="1:62" x14ac:dyDescent="0.3">
      <c r="D67">
        <f t="shared" si="108"/>
        <v>85438.787230521557</v>
      </c>
      <c r="E67">
        <f>(E66+7000)*1.00407-(0.00146*(E66+7000))</f>
        <v>173592.26660148974</v>
      </c>
      <c r="F67">
        <f>(F66+7000)*1.00407-(0.00146*(F66+7000))</f>
        <v>264546.69347368728</v>
      </c>
      <c r="G67">
        <f>(G66+7000)*1.00407-(0.00125*(G66+7000))</f>
        <v>358539.74166168104</v>
      </c>
      <c r="H67">
        <f t="shared" si="163"/>
        <v>456418.44282328727</v>
      </c>
      <c r="I67">
        <f t="shared" si="163"/>
        <v>557661.21766967571</v>
      </c>
      <c r="J67">
        <f t="shared" si="163"/>
        <v>662383.68881968316</v>
      </c>
      <c r="K67">
        <f t="shared" si="164"/>
        <v>771956.10731366382</v>
      </c>
      <c r="L67">
        <f t="shared" si="116"/>
        <v>886169.84687714709</v>
      </c>
      <c r="M67">
        <f t="shared" si="117"/>
        <v>1004606.3083912166</v>
      </c>
      <c r="N67">
        <f t="shared" si="118"/>
        <v>1127421.6147596498</v>
      </c>
      <c r="O67">
        <f t="shared" si="119"/>
        <v>1257791.8830721385</v>
      </c>
      <c r="P67">
        <f t="shared" si="120"/>
        <v>1393317.3927744315</v>
      </c>
      <c r="Q67">
        <f t="shared" si="121"/>
        <v>1534201.9979670944</v>
      </c>
      <c r="R67">
        <f t="shared" si="122"/>
        <v>1680657.6137688223</v>
      </c>
      <c r="S67">
        <f t="shared" si="123"/>
        <v>1832904.5350738936</v>
      </c>
      <c r="T67">
        <f t="shared" si="124"/>
        <v>1991171.767914268</v>
      </c>
      <c r="U67">
        <f t="shared" si="125"/>
        <v>2155697.3739247648</v>
      </c>
      <c r="V67">
        <f t="shared" si="126"/>
        <v>2326728.8284294517</v>
      </c>
      <c r="W67" s="3">
        <f t="shared" si="127"/>
        <v>2504523.3926878744</v>
      </c>
      <c r="X67">
        <f t="shared" si="128"/>
        <v>2689348.5008610366</v>
      </c>
      <c r="Y67">
        <f t="shared" si="129"/>
        <v>2881482.1622792189</v>
      </c>
      <c r="Z67">
        <f t="shared" si="130"/>
        <v>3081213.3796166987</v>
      </c>
      <c r="AA67">
        <f t="shared" si="131"/>
        <v>3288842.5836023786</v>
      </c>
      <c r="AB67" s="3">
        <f t="shared" si="132"/>
        <v>3504682.0849202191</v>
      </c>
      <c r="AC67">
        <f t="shared" si="133"/>
        <v>3729056.5439792047</v>
      </c>
      <c r="AD67">
        <f t="shared" si="134"/>
        <v>3962303.4592594458</v>
      </c>
      <c r="AE67">
        <f t="shared" si="135"/>
        <v>4204773.6749690063</v>
      </c>
      <c r="AI67">
        <f t="shared" si="110"/>
        <v>86255.722848113161</v>
      </c>
      <c r="AJ67">
        <f t="shared" si="136"/>
        <v>176819.76830561832</v>
      </c>
      <c r="AK67">
        <f t="shared" si="137"/>
        <v>271907.3295573119</v>
      </c>
      <c r="AL67">
        <f t="shared" si="138"/>
        <v>371744.34831148322</v>
      </c>
      <c r="AM67">
        <f t="shared" si="139"/>
        <v>476568.05166987848</v>
      </c>
      <c r="AN67">
        <f t="shared" si="140"/>
        <v>586627.51581338036</v>
      </c>
      <c r="AO67">
        <f t="shared" si="141"/>
        <v>702184.25784280302</v>
      </c>
      <c r="AP67">
        <f t="shared" si="142"/>
        <v>823512.85718109889</v>
      </c>
      <c r="AQ67">
        <f t="shared" si="143"/>
        <v>950901.60801352246</v>
      </c>
      <c r="AR67">
        <f t="shared" si="144"/>
        <v>1084653.2043160365</v>
      </c>
      <c r="AS67">
        <f t="shared" si="145"/>
        <v>1225085.4590996942</v>
      </c>
      <c r="AT67">
        <f t="shared" si="146"/>
        <v>1372532.0595800159</v>
      </c>
      <c r="AU67">
        <f t="shared" si="147"/>
        <v>1527343.3600657617</v>
      </c>
      <c r="AV67">
        <f t="shared" si="148"/>
        <v>1689887.2144511093</v>
      </c>
      <c r="AW67">
        <f t="shared" si="149"/>
        <v>1860549.8502893611</v>
      </c>
      <c r="AX67">
        <f t="shared" si="150"/>
        <v>2039736.7865251079</v>
      </c>
      <c r="AY67">
        <f t="shared" si="151"/>
        <v>2227873.7970655081</v>
      </c>
      <c r="AZ67">
        <f t="shared" si="152"/>
        <v>2425407.9224802665</v>
      </c>
      <c r="BA67">
        <f t="shared" si="153"/>
        <v>2632808.5322342673</v>
      </c>
      <c r="BB67" s="3">
        <f t="shared" si="154"/>
        <v>2850568.4399768589</v>
      </c>
      <c r="BC67">
        <f t="shared" si="155"/>
        <v>3079205.0745378966</v>
      </c>
      <c r="BD67">
        <f t="shared" si="156"/>
        <v>3319261.7094129901</v>
      </c>
      <c r="BE67">
        <f t="shared" si="157"/>
        <v>3571308.7536593908</v>
      </c>
      <c r="BF67">
        <f t="shared" si="158"/>
        <v>3835945.1072698715</v>
      </c>
      <c r="BG67" s="3">
        <f t="shared" si="159"/>
        <v>4113799.5842451607</v>
      </c>
      <c r="BH67">
        <f t="shared" si="160"/>
        <v>4405532.4067463605</v>
      </c>
      <c r="BI67">
        <f t="shared" si="161"/>
        <v>4711836.7738776701</v>
      </c>
      <c r="BJ67">
        <f t="shared" si="162"/>
        <v>5033440.5088270586</v>
      </c>
    </row>
    <row r="70" spans="1:62" x14ac:dyDescent="0.3">
      <c r="D70" t="s">
        <v>57</v>
      </c>
      <c r="AI70" t="s">
        <v>57</v>
      </c>
      <c r="AJ70" t="s">
        <v>66</v>
      </c>
    </row>
    <row r="71" spans="1:62" x14ac:dyDescent="0.3">
      <c r="D71" t="s">
        <v>58</v>
      </c>
      <c r="AI71" t="s">
        <v>58</v>
      </c>
    </row>
    <row r="72" spans="1:62" x14ac:dyDescent="0.3">
      <c r="D72" t="s">
        <v>78</v>
      </c>
      <c r="AI72" t="s">
        <v>78</v>
      </c>
    </row>
    <row r="73" spans="1:62" x14ac:dyDescent="0.3">
      <c r="D73" t="s">
        <v>15</v>
      </c>
      <c r="E73" t="s">
        <v>16</v>
      </c>
      <c r="F73" t="s">
        <v>17</v>
      </c>
      <c r="G73" t="s">
        <v>18</v>
      </c>
      <c r="H73" t="s">
        <v>19</v>
      </c>
      <c r="I73" t="s">
        <v>20</v>
      </c>
      <c r="J73" t="s">
        <v>21</v>
      </c>
      <c r="K73" t="s">
        <v>22</v>
      </c>
      <c r="L73" t="s">
        <v>23</v>
      </c>
      <c r="M73" t="s">
        <v>24</v>
      </c>
      <c r="N73" t="s">
        <v>25</v>
      </c>
      <c r="O73" t="s">
        <v>26</v>
      </c>
      <c r="P73" t="s">
        <v>27</v>
      </c>
      <c r="Q73" t="s">
        <v>28</v>
      </c>
      <c r="R73" t="s">
        <v>29</v>
      </c>
      <c r="S73" t="s">
        <v>30</v>
      </c>
      <c r="T73" t="s">
        <v>31</v>
      </c>
      <c r="U73" t="s">
        <v>32</v>
      </c>
      <c r="V73" t="s">
        <v>33</v>
      </c>
      <c r="W73" t="s">
        <v>34</v>
      </c>
      <c r="X73" t="s">
        <v>35</v>
      </c>
      <c r="Y73" t="s">
        <v>36</v>
      </c>
      <c r="Z73" t="s">
        <v>37</v>
      </c>
      <c r="AA73" t="s">
        <v>38</v>
      </c>
      <c r="AB73" t="s">
        <v>39</v>
      </c>
      <c r="AC73" t="s">
        <v>67</v>
      </c>
      <c r="AD73" t="s">
        <v>68</v>
      </c>
      <c r="AE73" t="s">
        <v>69</v>
      </c>
      <c r="AI73" t="s">
        <v>15</v>
      </c>
      <c r="AJ73" t="s">
        <v>16</v>
      </c>
      <c r="AK73" t="s">
        <v>17</v>
      </c>
      <c r="AL73" t="s">
        <v>18</v>
      </c>
      <c r="AM73" t="s">
        <v>19</v>
      </c>
      <c r="AN73" t="s">
        <v>20</v>
      </c>
      <c r="AO73" t="s">
        <v>21</v>
      </c>
      <c r="AP73" t="s">
        <v>22</v>
      </c>
      <c r="AQ73" t="s">
        <v>23</v>
      </c>
      <c r="AR73" t="s">
        <v>24</v>
      </c>
      <c r="AS73" t="s">
        <v>25</v>
      </c>
      <c r="AT73" t="s">
        <v>26</v>
      </c>
      <c r="AU73" t="s">
        <v>27</v>
      </c>
      <c r="AV73" t="s">
        <v>28</v>
      </c>
      <c r="AW73" t="s">
        <v>29</v>
      </c>
      <c r="AX73" t="s">
        <v>30</v>
      </c>
      <c r="AY73" t="s">
        <v>31</v>
      </c>
      <c r="AZ73" t="s">
        <v>32</v>
      </c>
      <c r="BA73" t="s">
        <v>33</v>
      </c>
      <c r="BB73" t="s">
        <v>34</v>
      </c>
      <c r="BC73" t="s">
        <v>35</v>
      </c>
      <c r="BD73" t="s">
        <v>36</v>
      </c>
      <c r="BE73" t="s">
        <v>37</v>
      </c>
      <c r="BF73" t="s">
        <v>38</v>
      </c>
      <c r="BG73" t="s">
        <v>39</v>
      </c>
      <c r="BH73" t="s">
        <v>67</v>
      </c>
      <c r="BI73" t="s">
        <v>68</v>
      </c>
      <c r="BJ73" t="s">
        <v>69</v>
      </c>
    </row>
    <row r="74" spans="1:62" x14ac:dyDescent="0.3">
      <c r="D74">
        <v>0</v>
      </c>
      <c r="AI74">
        <v>0</v>
      </c>
    </row>
    <row r="75" spans="1:62" x14ac:dyDescent="0.3">
      <c r="D75">
        <f t="shared" ref="D75:D86" si="165">(D74+7000)*1.00487-(0.00146*(D74+7000))</f>
        <v>7023.869999999999</v>
      </c>
      <c r="E75">
        <f>(D86+7000)*1.00487-(0.00146*(D86+7000))</f>
        <v>93202.078143710736</v>
      </c>
      <c r="F75">
        <f>(E86+7000)*1.00487-(0.00146*(E86+7000))</f>
        <v>182973.59399348401</v>
      </c>
      <c r="G75">
        <f>(F86+7000)*1.00487-(0.00146*(F86+7000))</f>
        <v>276488.24498886144</v>
      </c>
      <c r="H75">
        <f>(G86+7000)*1.00487-(0.00125*(G86+7000))</f>
        <v>374132.49619545566</v>
      </c>
      <c r="I75">
        <f>(H86+7000)*1.00487-(0.00125*(H86+7000))</f>
        <v>476715.32598791161</v>
      </c>
      <c r="J75">
        <f>(I86+7000)*1.00487-(0.00125*(I86+7000))</f>
        <v>583844.15617163398</v>
      </c>
      <c r="K75">
        <f>(J86+7000)*1.00487-(0.00125*(J86+7000))</f>
        <v>695720.44462801667</v>
      </c>
      <c r="L75">
        <f>(K86+7000)*1.00487-(0.00104*(K86+7000))</f>
        <v>814032.61431382759</v>
      </c>
      <c r="M75">
        <f>(L86+7000)*1.00487-(0.00104*(L86+7000))</f>
        <v>938364.63579709886</v>
      </c>
      <c r="N75">
        <f>(M86+7000)*1.00487-(0.00104*(M86+7000))</f>
        <v>1068532.8787811671</v>
      </c>
      <c r="O75">
        <f t="shared" ref="O75:AE75" si="166">(N86+7000)*1.00487-(0.000833*(N86+7000))</f>
        <v>1205059.7434869953</v>
      </c>
      <c r="P75">
        <f t="shared" si="166"/>
        <v>1350988.6146617464</v>
      </c>
      <c r="Q75">
        <f t="shared" si="166"/>
        <v>1504145.9605465811</v>
      </c>
      <c r="R75">
        <f t="shared" si="166"/>
        <v>1664889.8380922154</v>
      </c>
      <c r="S75">
        <f t="shared" si="166"/>
        <v>1833596.0403257993</v>
      </c>
      <c r="T75">
        <f t="shared" si="166"/>
        <v>2010658.9748938587</v>
      </c>
      <c r="U75">
        <f t="shared" si="166"/>
        <v>2196492.5861231913</v>
      </c>
      <c r="V75">
        <f t="shared" si="166"/>
        <v>2391531.3227553372</v>
      </c>
      <c r="W75">
        <f t="shared" si="166"/>
        <v>2596231.1536170407</v>
      </c>
      <c r="X75">
        <f t="shared" si="166"/>
        <v>2811070.6336011603</v>
      </c>
      <c r="Y75">
        <f t="shared" si="166"/>
        <v>3036552.0224501332</v>
      </c>
      <c r="Z75">
        <f t="shared" si="166"/>
        <v>3273202.4589575189</v>
      </c>
      <c r="AA75">
        <f t="shared" si="166"/>
        <v>3521575.1933327164</v>
      </c>
      <c r="AB75">
        <f t="shared" si="166"/>
        <v>3782250.8806099147</v>
      </c>
      <c r="AC75">
        <f t="shared" si="166"/>
        <v>4055838.93812508</v>
      </c>
      <c r="AD75">
        <f t="shared" si="166"/>
        <v>4342978.9702345021</v>
      </c>
      <c r="AE75">
        <f t="shared" si="166"/>
        <v>4644342.2636057111</v>
      </c>
      <c r="AI75">
        <f t="shared" ref="AI75:AI86" si="167">(AI74+7000)*1.00487-0</f>
        <v>7034.0899999999992</v>
      </c>
      <c r="AJ75">
        <f t="shared" ref="AJ75:BJ75" si="168">(AI86+7000)*1.00487-0</f>
        <v>94163.437919489181</v>
      </c>
      <c r="AK75">
        <f t="shared" si="168"/>
        <v>186523.24827300536</v>
      </c>
      <c r="AL75">
        <f t="shared" si="168"/>
        <v>284427.51098388701</v>
      </c>
      <c r="AM75">
        <f t="shared" si="168"/>
        <v>388209.06510653906</v>
      </c>
      <c r="AN75">
        <f t="shared" si="168"/>
        <v>498220.73035873933</v>
      </c>
      <c r="AO75">
        <f t="shared" si="168"/>
        <v>614836.50658096652</v>
      </c>
      <c r="AP75">
        <f t="shared" si="168"/>
        <v>738452.84520048008</v>
      </c>
      <c r="AQ75">
        <f t="shared" si="168"/>
        <v>869489.9970226679</v>
      </c>
      <c r="AR75">
        <f t="shared" si="168"/>
        <v>1008393.440931664</v>
      </c>
      <c r="AS75">
        <f t="shared" si="168"/>
        <v>1155635.3983573031</v>
      </c>
      <c r="AT75">
        <f t="shared" si="168"/>
        <v>1311716.438657051</v>
      </c>
      <c r="AU75">
        <f t="shared" si="168"/>
        <v>1477167.1808706252</v>
      </c>
      <c r="AV75">
        <f t="shared" si="168"/>
        <v>1652550.0976326612</v>
      </c>
      <c r="AW75">
        <f t="shared" si="168"/>
        <v>1838461.4273760677</v>
      </c>
      <c r="AX75">
        <f t="shared" si="168"/>
        <v>2035533.2013268776</v>
      </c>
      <c r="AY75">
        <f t="shared" si="168"/>
        <v>2244435.3921816372</v>
      </c>
      <c r="AZ75">
        <f t="shared" si="168"/>
        <v>2465878.1917720591</v>
      </c>
      <c r="BA75">
        <f t="shared" si="168"/>
        <v>2700614.4254601831</v>
      </c>
      <c r="BB75">
        <f t="shared" si="168"/>
        <v>2949442.111472101</v>
      </c>
      <c r="BC75">
        <f t="shared" si="168"/>
        <v>3213207.1738710636</v>
      </c>
      <c r="BD75">
        <f t="shared" si="168"/>
        <v>3492806.3183930959</v>
      </c>
      <c r="BE75">
        <f t="shared" si="168"/>
        <v>3789190.0809219088</v>
      </c>
      <c r="BF75">
        <f t="shared" si="168"/>
        <v>4103366.0589668411</v>
      </c>
      <c r="BG75">
        <f t="shared" si="168"/>
        <v>4436402.3371296627</v>
      </c>
      <c r="BH75">
        <f t="shared" si="168"/>
        <v>4789431.1182056069</v>
      </c>
      <c r="BI75">
        <f t="shared" si="168"/>
        <v>5163652.5722630406</v>
      </c>
      <c r="BJ75">
        <f t="shared" si="168"/>
        <v>5560338.9167872667</v>
      </c>
    </row>
    <row r="76" spans="1:62" x14ac:dyDescent="0.3">
      <c r="D76">
        <f t="shared" si="165"/>
        <v>14071.691396699998</v>
      </c>
      <c r="E76">
        <f t="shared" ref="E76:E84" si="169">(E75+7000)*1.00487-(0.00146*(E75+7000))</f>
        <v>100543.76723018078</v>
      </c>
      <c r="F76">
        <f t="shared" ref="F76:F84" si="170">(F75+7000)*1.00487-(0.00146*(F75+7000))</f>
        <v>190621.4039490018</v>
      </c>
      <c r="G76">
        <f t="shared" ref="G76:G84" si="171">(G75+7000)*1.00487-(0.00146*(G75+7000))</f>
        <v>284454.93990427343</v>
      </c>
      <c r="H76">
        <f t="shared" ref="H76:K78" si="172">(H75+7000)*1.00487-(0.00125*(H75+7000))</f>
        <v>382512.19583168317</v>
      </c>
      <c r="I76">
        <f t="shared" si="172"/>
        <v>485466.37546798785</v>
      </c>
      <c r="J76">
        <f t="shared" si="172"/>
        <v>592983.0120169752</v>
      </c>
      <c r="K76">
        <f t="shared" si="172"/>
        <v>705264.29263757006</v>
      </c>
      <c r="L76">
        <f t="shared" ref="L76:L86" si="173">(L75+7000)*1.00487-(0.00104*(L75+7000))</f>
        <v>824177.16922664945</v>
      </c>
      <c r="M76">
        <f t="shared" ref="M76:M86" si="174">(M75+7000)*1.00487-(0.00104*(M75+7000))</f>
        <v>948985.38235220173</v>
      </c>
      <c r="N76">
        <f t="shared" ref="N76:N86" si="175">(N75+7000)*1.00487-(0.00104*(N75+7000))</f>
        <v>1079652.169706899</v>
      </c>
      <c r="O76">
        <f t="shared" ref="O76:O86" si="176">(O75+7000)*1.00487-(0.000833*(O75+7000))</f>
        <v>1216952.8286714524</v>
      </c>
      <c r="P76">
        <f t="shared" ref="P76:P86" si="177">(P75+7000)*1.00487-(0.000833*(P75+7000))</f>
        <v>1363470.814699136</v>
      </c>
      <c r="Q76">
        <f t="shared" ref="Q76:Q86" si="178">(Q75+7000)*1.00487-(0.000833*(Q75+7000))</f>
        <v>1517246.4567893075</v>
      </c>
      <c r="R76">
        <f t="shared" ref="R76:R86" si="179">(R75+7000)*1.00487-(0.000833*(R75+7000))</f>
        <v>1678639.2573685935</v>
      </c>
      <c r="S76">
        <f t="shared" ref="S76:S86" si="180">(S75+7000)*1.00487-(0.000833*(S75+7000))</f>
        <v>1848026.5265405942</v>
      </c>
      <c r="T76">
        <f t="shared" ref="T76:T86" si="181">(T75+7000)*1.00487-(0.000833*(T75+7000))</f>
        <v>2025804.2641755051</v>
      </c>
      <c r="U76">
        <f t="shared" ref="U76:U86" si="182">(U75+7000)*1.00487-(0.000833*(U75+7000))</f>
        <v>2212388.0856933706</v>
      </c>
      <c r="V76">
        <f t="shared" ref="V76:V86" si="183">(V75+7000)*1.00487-(0.000833*(V75+7000))</f>
        <v>2408214.1937053003</v>
      </c>
      <c r="W76">
        <f t="shared" ref="W76:W86" si="184">(W75+7000)*1.00487-(0.000833*(W75+7000))</f>
        <v>2613740.3977841926</v>
      </c>
      <c r="X76">
        <f t="shared" ref="X76:X86" si="185">(X75+7000)*1.00487-(0.000833*(X75+7000))</f>
        <v>2829447.1847490077</v>
      </c>
      <c r="Y76">
        <f t="shared" ref="Y76:Y86" si="186">(Y75+7000)*1.00487-(0.000833*(Y75+7000))</f>
        <v>3055838.8419647641</v>
      </c>
      <c r="Z76">
        <f t="shared" ref="Z76:Z86" si="187">(Z75+7000)*1.00487-(0.000833*(Z75+7000))</f>
        <v>3293444.6362843304</v>
      </c>
      <c r="AA76">
        <f t="shared" ref="AA76:AA86" si="188">(AA75+7000)*1.00487-(0.000833*(AA75+7000))</f>
        <v>3542820.0513882004</v>
      </c>
      <c r="AB76">
        <f t="shared" ref="AB76:AB86" si="189">(AB75+7000)*1.00487-(0.000833*(AB75+7000))</f>
        <v>3804548.0864149365</v>
      </c>
      <c r="AC76">
        <f t="shared" ref="AC76:AC86" si="190">(AC75+7000)*1.00487-(0.000833*(AC75+7000))</f>
        <v>4079240.6189182904</v>
      </c>
      <c r="AD76">
        <f t="shared" ref="AD76:AD86" si="191">(AD75+7000)*1.00487-(0.000833*(AD75+7000))</f>
        <v>4367539.835337339</v>
      </c>
      <c r="AE76">
        <f t="shared" ref="AE76:AE86" si="192">(AE75+7000)*1.00487-(0.000833*(AE75+7000))</f>
        <v>4670119.7323238868</v>
      </c>
      <c r="AI76">
        <f t="shared" si="167"/>
        <v>14102.436018299999</v>
      </c>
      <c r="AJ76">
        <f t="shared" ref="AJ76:AJ86" si="193">(AJ75+7000)*1.00487-0</f>
        <v>101656.10386215709</v>
      </c>
      <c r="AK76">
        <f t="shared" ref="AK76:AK86" si="194">(AK75+7000)*1.00487-0</f>
        <v>194465.70649209488</v>
      </c>
      <c r="AL76">
        <f t="shared" ref="AL76:AL86" si="195">(AL75+7000)*1.00487-0</f>
        <v>292846.7629623785</v>
      </c>
      <c r="AM76">
        <f t="shared" ref="AM76:AM86" si="196">(AM75+7000)*1.00487-0</f>
        <v>397133.73325360788</v>
      </c>
      <c r="AN76">
        <f t="shared" ref="AN76:AN86" si="197">(AN75+7000)*1.00487-0</f>
        <v>507681.15531558637</v>
      </c>
      <c r="AO76">
        <f t="shared" ref="AO76:AO86" si="198">(AO75+7000)*1.00487-0</f>
        <v>624864.85036801582</v>
      </c>
      <c r="AP76">
        <f t="shared" ref="AP76:AP86" si="199">(AP75+7000)*1.00487-0</f>
        <v>749083.2005566064</v>
      </c>
      <c r="AQ76">
        <f t="shared" ref="AQ76:AQ86" si="200">(AQ75+7000)*1.00487-0</f>
        <v>880758.50330816826</v>
      </c>
      <c r="AR76">
        <f t="shared" ref="AR76:AR86" si="201">(AR75+7000)*1.00487-0</f>
        <v>1020338.4069890011</v>
      </c>
      <c r="AS76">
        <f t="shared" ref="AS76:AS86" si="202">(AS75+7000)*1.00487-0</f>
        <v>1168297.432747303</v>
      </c>
      <c r="AT76">
        <f t="shared" ref="AT76:AT86" si="203">(AT75+7000)*1.00487-0</f>
        <v>1325138.5877133107</v>
      </c>
      <c r="AU76">
        <f t="shared" ref="AU76:AU86" si="204">(AU75+7000)*1.00487-0</f>
        <v>1491395.075041465</v>
      </c>
      <c r="AV76">
        <f t="shared" ref="AV76:AV86" si="205">(AV75+7000)*1.00487-0</f>
        <v>1667632.1066081321</v>
      </c>
      <c r="AW76">
        <f t="shared" ref="AW76:AW86" si="206">(AW75+7000)*1.00487-0</f>
        <v>1854448.8245273891</v>
      </c>
      <c r="AX76">
        <f t="shared" ref="AX76:AX86" si="207">(AX75+7000)*1.00487-0</f>
        <v>2052480.3380173394</v>
      </c>
      <c r="AY76">
        <f t="shared" ref="AY76:AY86" si="208">(AY75+7000)*1.00487-0</f>
        <v>2262399.8825415615</v>
      </c>
      <c r="AZ76">
        <f t="shared" ref="AZ76:AZ86" si="209">(AZ75+7000)*1.00487-0</f>
        <v>2484921.108565989</v>
      </c>
      <c r="BA76">
        <f t="shared" ref="BA76:BA86" si="210">(BA75+7000)*1.00487-0</f>
        <v>2720800.5077121737</v>
      </c>
      <c r="BB76">
        <f t="shared" ref="BB76:BB86" si="211">(BB75+7000)*1.00487-0</f>
        <v>2970839.9845549697</v>
      </c>
      <c r="BC76">
        <f t="shared" ref="BC76:BC86" si="212">(BC75+7000)*1.00487-0</f>
        <v>3235889.5828078156</v>
      </c>
      <c r="BD76">
        <f t="shared" ref="BD76:BD86" si="213">(BD75+7000)*1.00487-0</f>
        <v>3516850.3751636702</v>
      </c>
      <c r="BE76">
        <f t="shared" ref="BE76:BE86" si="214">(BE75+7000)*1.00487-0</f>
        <v>3814677.5266159982</v>
      </c>
      <c r="BF76">
        <f t="shared" ref="BF76:BF86" si="215">(BF75+7000)*1.00487-0</f>
        <v>4130383.5416740095</v>
      </c>
      <c r="BG76">
        <f t="shared" ref="BG76:BG86" si="216">(BG75+7000)*1.00487-0</f>
        <v>4465041.7065114835</v>
      </c>
      <c r="BH76">
        <f t="shared" ref="BH76:BH86" si="217">(BH75+7000)*1.00487-0</f>
        <v>4819789.7377512679</v>
      </c>
      <c r="BI76">
        <f t="shared" ref="BI76:BI86" si="218">(BI75+7000)*1.00487-0</f>
        <v>5195833.6502899611</v>
      </c>
      <c r="BJ76">
        <f t="shared" ref="BJ76:BJ86" si="219">(BJ75+7000)*1.00487-0</f>
        <v>5594451.8573120199</v>
      </c>
    </row>
    <row r="77" spans="1:62" x14ac:dyDescent="0.3">
      <c r="A77">
        <f>0.0175/12</f>
        <v>1.4583333333333334E-3</v>
      </c>
      <c r="B77">
        <v>1.75</v>
      </c>
      <c r="D77">
        <f t="shared" si="165"/>
        <v>21143.545864362746</v>
      </c>
      <c r="E77">
        <f t="shared" si="169"/>
        <v>107910.49147643569</v>
      </c>
      <c r="F77">
        <f t="shared" si="170"/>
        <v>198295.29293646789</v>
      </c>
      <c r="G77">
        <f t="shared" si="171"/>
        <v>292448.80124934693</v>
      </c>
      <c r="H77">
        <f t="shared" si="172"/>
        <v>390922.22998059384</v>
      </c>
      <c r="I77">
        <f t="shared" si="172"/>
        <v>494249.10374718194</v>
      </c>
      <c r="J77">
        <f t="shared" si="172"/>
        <v>602154.95052047668</v>
      </c>
      <c r="K77">
        <f t="shared" si="172"/>
        <v>714842.68937691802</v>
      </c>
      <c r="L77">
        <f t="shared" si="173"/>
        <v>834360.57778478751</v>
      </c>
      <c r="M77">
        <f t="shared" si="174"/>
        <v>959646.80636661057</v>
      </c>
      <c r="N77">
        <f t="shared" si="175"/>
        <v>1090814.0475168764</v>
      </c>
      <c r="O77">
        <f t="shared" si="176"/>
        <v>1228893.926240799</v>
      </c>
      <c r="P77">
        <f t="shared" si="177"/>
        <v>1376003.4053780762</v>
      </c>
      <c r="Q77">
        <f t="shared" si="178"/>
        <v>1530399.8397353657</v>
      </c>
      <c r="R77">
        <f t="shared" si="179"/>
        <v>1692444.1830505903</v>
      </c>
      <c r="S77">
        <f t="shared" si="180"/>
        <v>1862515.2686282385</v>
      </c>
      <c r="T77">
        <f t="shared" si="181"/>
        <v>2041010.6949899816</v>
      </c>
      <c r="U77">
        <f t="shared" si="182"/>
        <v>2228347.7553953142</v>
      </c>
      <c r="V77">
        <f t="shared" si="183"/>
        <v>2424964.4134052885</v>
      </c>
      <c r="W77">
        <f t="shared" si="184"/>
        <v>2631320.3267700472</v>
      </c>
      <c r="X77">
        <f t="shared" si="185"/>
        <v>2847897.9220338394</v>
      </c>
      <c r="Y77">
        <f t="shared" si="186"/>
        <v>3075203.5223697755</v>
      </c>
      <c r="Z77">
        <f t="shared" si="187"/>
        <v>3313768.5312810102</v>
      </c>
      <c r="AA77">
        <f t="shared" si="188"/>
        <v>3564150.6749356543</v>
      </c>
      <c r="AB77">
        <f t="shared" si="189"/>
        <v>3826935.3060397934</v>
      </c>
      <c r="AC77">
        <f t="shared" si="190"/>
        <v>4102736.7722968631</v>
      </c>
      <c r="AD77">
        <f t="shared" si="191"/>
        <v>4392199.8526525954</v>
      </c>
      <c r="AE77">
        <f t="shared" si="192"/>
        <v>4696001.2646832783</v>
      </c>
      <c r="AI77">
        <f t="shared" si="167"/>
        <v>21205.20488170912</v>
      </c>
      <c r="AJ77">
        <f t="shared" si="193"/>
        <v>109185.25908796579</v>
      </c>
      <c r="AK77">
        <f t="shared" si="194"/>
        <v>202446.84448271137</v>
      </c>
      <c r="AL77">
        <f t="shared" si="195"/>
        <v>301307.01669800526</v>
      </c>
      <c r="AM77">
        <f t="shared" si="196"/>
        <v>406101.86453455291</v>
      </c>
      <c r="AN77">
        <f t="shared" si="197"/>
        <v>517187.65254197322</v>
      </c>
      <c r="AO77">
        <f t="shared" si="198"/>
        <v>634942.03218930797</v>
      </c>
      <c r="AP77">
        <f t="shared" si="199"/>
        <v>759765.32574331702</v>
      </c>
      <c r="AQ77">
        <f t="shared" si="200"/>
        <v>892081.88721927896</v>
      </c>
      <c r="AR77">
        <f t="shared" si="201"/>
        <v>1032341.5450310374</v>
      </c>
      <c r="AS77">
        <f t="shared" si="202"/>
        <v>1181021.1312447824</v>
      </c>
      <c r="AT77">
        <f t="shared" si="203"/>
        <v>1338626.1026354744</v>
      </c>
      <c r="AU77">
        <f t="shared" si="204"/>
        <v>1505692.2590569169</v>
      </c>
      <c r="AV77">
        <f t="shared" si="205"/>
        <v>1682787.5649673135</v>
      </c>
      <c r="AW77">
        <f t="shared" si="206"/>
        <v>1870514.0803028373</v>
      </c>
      <c r="AX77">
        <f t="shared" si="207"/>
        <v>2069510.0072634837</v>
      </c>
      <c r="AY77">
        <f t="shared" si="208"/>
        <v>2280451.8599695386</v>
      </c>
      <c r="AZ77">
        <f t="shared" si="209"/>
        <v>2504056.764364705</v>
      </c>
      <c r="BA77">
        <f t="shared" si="210"/>
        <v>2741084.8961847317</v>
      </c>
      <c r="BB77">
        <f t="shared" si="211"/>
        <v>2992342.065279752</v>
      </c>
      <c r="BC77">
        <f t="shared" si="212"/>
        <v>3258682.4550760896</v>
      </c>
      <c r="BD77">
        <f t="shared" si="213"/>
        <v>3541011.5264907172</v>
      </c>
      <c r="BE77">
        <f t="shared" si="214"/>
        <v>3840289.0961706177</v>
      </c>
      <c r="BF77">
        <f t="shared" si="215"/>
        <v>4157532.5995219615</v>
      </c>
      <c r="BG77">
        <f t="shared" si="216"/>
        <v>4493820.5496221939</v>
      </c>
      <c r="BH77">
        <f t="shared" si="217"/>
        <v>4850296.203774116</v>
      </c>
      <c r="BI77">
        <f t="shared" si="218"/>
        <v>5228171.4501668727</v>
      </c>
      <c r="BJ77">
        <f t="shared" si="219"/>
        <v>5628730.9278571289</v>
      </c>
    </row>
    <row r="78" spans="1:62" x14ac:dyDescent="0.3">
      <c r="A78">
        <f>0.015/12</f>
        <v>1.25E-3</v>
      </c>
      <c r="B78">
        <v>1.5</v>
      </c>
      <c r="D78">
        <f t="shared" si="165"/>
        <v>28239.515355760221</v>
      </c>
      <c r="E78">
        <f t="shared" si="169"/>
        <v>115302.33625237034</v>
      </c>
      <c r="F78">
        <f t="shared" si="170"/>
        <v>205995.34988538123</v>
      </c>
      <c r="G78">
        <f t="shared" si="171"/>
        <v>300469.92166160722</v>
      </c>
      <c r="H78">
        <f t="shared" si="172"/>
        <v>399362.70845312357</v>
      </c>
      <c r="I78">
        <f t="shared" si="172"/>
        <v>503063.62550274673</v>
      </c>
      <c r="J78">
        <f t="shared" si="172"/>
        <v>611360.09144136077</v>
      </c>
      <c r="K78">
        <f t="shared" si="172"/>
        <v>724455.75991246244</v>
      </c>
      <c r="L78">
        <f t="shared" si="173"/>
        <v>844582.98879770318</v>
      </c>
      <c r="M78">
        <f t="shared" si="174"/>
        <v>970349.06363499467</v>
      </c>
      <c r="N78">
        <f t="shared" si="175"/>
        <v>1102018.675318866</v>
      </c>
      <c r="O78">
        <f t="shared" si="176"/>
        <v>1240883.230021033</v>
      </c>
      <c r="P78">
        <f t="shared" si="177"/>
        <v>1388586.5901255875</v>
      </c>
      <c r="Q78">
        <f t="shared" si="178"/>
        <v>1543606.3228883774</v>
      </c>
      <c r="R78">
        <f t="shared" si="179"/>
        <v>1706304.8392175655</v>
      </c>
      <c r="S78">
        <f t="shared" si="180"/>
        <v>1877062.5017676905</v>
      </c>
      <c r="T78">
        <f t="shared" si="181"/>
        <v>2056278.5141656559</v>
      </c>
      <c r="U78">
        <f t="shared" si="182"/>
        <v>2244371.8542838451</v>
      </c>
      <c r="V78">
        <f t="shared" si="183"/>
        <v>2441782.2537422054</v>
      </c>
      <c r="W78">
        <f t="shared" si="184"/>
        <v>2648971.2259292179</v>
      </c>
      <c r="X78">
        <f t="shared" si="185"/>
        <v>2866423.1449450897</v>
      </c>
      <c r="Y78">
        <f t="shared" si="186"/>
        <v>3094646.3779895818</v>
      </c>
      <c r="Z78">
        <f t="shared" si="187"/>
        <v>3334174.4738417915</v>
      </c>
      <c r="AA78">
        <f t="shared" si="188"/>
        <v>3585567.4102103692</v>
      </c>
      <c r="AB78">
        <f t="shared" si="189"/>
        <v>3849412.902870276</v>
      </c>
      <c r="AC78">
        <f t="shared" si="190"/>
        <v>4126327.7796466257</v>
      </c>
      <c r="AD78">
        <f t="shared" si="191"/>
        <v>4416959.4224577537</v>
      </c>
      <c r="AE78">
        <f t="shared" si="192"/>
        <v>4721987.2807888044</v>
      </c>
      <c r="AI78">
        <f t="shared" si="167"/>
        <v>28342.564229483043</v>
      </c>
      <c r="AJ78">
        <f t="shared" si="193"/>
        <v>116751.08129972417</v>
      </c>
      <c r="AK78">
        <f t="shared" si="194"/>
        <v>210466.85061534215</v>
      </c>
      <c r="AL78">
        <f t="shared" si="195"/>
        <v>309808.47186932451</v>
      </c>
      <c r="AM78">
        <f t="shared" si="196"/>
        <v>415113.67061483616</v>
      </c>
      <c r="AN78">
        <f t="shared" si="197"/>
        <v>526740.44640985259</v>
      </c>
      <c r="AO78">
        <f t="shared" si="198"/>
        <v>645068.28988606983</v>
      </c>
      <c r="AP78">
        <f t="shared" si="199"/>
        <v>770499.47287968697</v>
      </c>
      <c r="AQ78">
        <f t="shared" si="200"/>
        <v>903460.41601003683</v>
      </c>
      <c r="AR78">
        <f t="shared" si="201"/>
        <v>1044403.1383553385</v>
      </c>
      <c r="AS78">
        <f t="shared" si="202"/>
        <v>1193806.7941539444</v>
      </c>
      <c r="AT78">
        <f t="shared" si="203"/>
        <v>1352179.3017553091</v>
      </c>
      <c r="AU78">
        <f t="shared" si="204"/>
        <v>1520059.0703585241</v>
      </c>
      <c r="AV78">
        <f t="shared" si="205"/>
        <v>1698016.8304087042</v>
      </c>
      <c r="AW78">
        <f t="shared" si="206"/>
        <v>1886657.573873912</v>
      </c>
      <c r="AX78">
        <f t="shared" si="207"/>
        <v>2086622.6109988568</v>
      </c>
      <c r="AY78">
        <f t="shared" si="208"/>
        <v>2298591.75052759</v>
      </c>
      <c r="AZ78">
        <f t="shared" si="209"/>
        <v>2523285.6108071608</v>
      </c>
      <c r="BA78">
        <f t="shared" si="210"/>
        <v>2761468.0696291514</v>
      </c>
      <c r="BB78">
        <f t="shared" si="211"/>
        <v>3013948.8611376644</v>
      </c>
      <c r="BC78">
        <f t="shared" si="212"/>
        <v>3281586.32863231</v>
      </c>
      <c r="BD78">
        <f t="shared" si="213"/>
        <v>3565290.3426247267</v>
      </c>
      <c r="BE78">
        <f t="shared" si="214"/>
        <v>3866025.3940689685</v>
      </c>
      <c r="BF78">
        <f t="shared" si="215"/>
        <v>4184813.873281633</v>
      </c>
      <c r="BG78">
        <f t="shared" si="216"/>
        <v>4522739.5456988541</v>
      </c>
      <c r="BH78">
        <f t="shared" si="217"/>
        <v>4880951.2362864958</v>
      </c>
      <c r="BI78">
        <f t="shared" si="218"/>
        <v>5260666.735129185</v>
      </c>
      <c r="BJ78">
        <f t="shared" si="219"/>
        <v>5663176.9374757931</v>
      </c>
    </row>
    <row r="79" spans="1:62" x14ac:dyDescent="0.3">
      <c r="A79">
        <f>0.0125/12</f>
        <v>1.0416666666666667E-3</v>
      </c>
      <c r="B79">
        <v>1.25</v>
      </c>
      <c r="D79">
        <f t="shared" si="165"/>
        <v>35359.682103123356</v>
      </c>
      <c r="E79">
        <f t="shared" si="169"/>
        <v>122719.38721899092</v>
      </c>
      <c r="F79">
        <f t="shared" si="170"/>
        <v>213721.66402849037</v>
      </c>
      <c r="G79">
        <f t="shared" si="171"/>
        <v>308518.39409447327</v>
      </c>
      <c r="H79">
        <f t="shared" ref="H79:J86" si="220">(H78+7000)*1.00487-(0.00125*(H78+7000))</f>
        <v>407833.74145772384</v>
      </c>
      <c r="I79">
        <f t="shared" si="220"/>
        <v>511910.05582706665</v>
      </c>
      <c r="J79">
        <f t="shared" si="220"/>
        <v>620598.55497237842</v>
      </c>
      <c r="K79">
        <f t="shared" ref="K79:K86" si="221">(K78+7000)*1.00487-(0.00104*(K78+7000))</f>
        <v>734257.2354729271</v>
      </c>
      <c r="L79">
        <f t="shared" si="173"/>
        <v>854844.55164479837</v>
      </c>
      <c r="M79">
        <f t="shared" si="174"/>
        <v>981092.31054871669</v>
      </c>
      <c r="N79">
        <f t="shared" si="175"/>
        <v>1113266.2168453371</v>
      </c>
      <c r="O79">
        <f t="shared" si="176"/>
        <v>1252920.9346206279</v>
      </c>
      <c r="P79">
        <f t="shared" si="177"/>
        <v>1401220.5731899245</v>
      </c>
      <c r="Q79">
        <f t="shared" si="178"/>
        <v>1556866.1206138777</v>
      </c>
      <c r="R79">
        <f t="shared" si="179"/>
        <v>1720221.4508534868</v>
      </c>
      <c r="S79">
        <f t="shared" si="180"/>
        <v>1891668.4620873267</v>
      </c>
      <c r="T79">
        <f t="shared" si="181"/>
        <v>2071607.9695273426</v>
      </c>
      <c r="U79">
        <f t="shared" si="182"/>
        <v>2260460.6424595886</v>
      </c>
      <c r="V79">
        <f t="shared" si="183"/>
        <v>2458667.9877005625</v>
      </c>
      <c r="W79">
        <f t="shared" si="184"/>
        <v>2666693.3817682941</v>
      </c>
      <c r="X79">
        <f t="shared" si="185"/>
        <v>2885023.1541812327</v>
      </c>
      <c r="Y79">
        <f t="shared" si="186"/>
        <v>3114167.7244175253</v>
      </c>
      <c r="Z79">
        <f t="shared" si="187"/>
        <v>3354662.7951926906</v>
      </c>
      <c r="AA79">
        <f t="shared" si="188"/>
        <v>3607070.6048453879</v>
      </c>
      <c r="AB79">
        <f t="shared" si="189"/>
        <v>3871981.2417591633</v>
      </c>
      <c r="AC79">
        <f t="shared" si="190"/>
        <v>4150014.0238930588</v>
      </c>
      <c r="AD79">
        <f t="shared" si="191"/>
        <v>4441818.9466462154</v>
      </c>
      <c r="AE79">
        <f t="shared" si="192"/>
        <v>4748078.2024413478</v>
      </c>
      <c r="AI79">
        <f t="shared" si="167"/>
        <v>35514.682517280628</v>
      </c>
      <c r="AJ79">
        <f t="shared" si="193"/>
        <v>124353.74906565383</v>
      </c>
      <c r="AK79">
        <f t="shared" si="194"/>
        <v>218525.91417783886</v>
      </c>
      <c r="AL79">
        <f t="shared" si="195"/>
        <v>318351.32912732812</v>
      </c>
      <c r="AM79">
        <f t="shared" si="196"/>
        <v>424169.36419073038</v>
      </c>
      <c r="AN79">
        <f t="shared" si="197"/>
        <v>536339.76238386857</v>
      </c>
      <c r="AO79">
        <f t="shared" si="198"/>
        <v>655243.86245781498</v>
      </c>
      <c r="AP79">
        <f t="shared" si="199"/>
        <v>781285.89531261101</v>
      </c>
      <c r="AQ79">
        <f t="shared" si="200"/>
        <v>914894.35823600565</v>
      </c>
      <c r="AR79">
        <f t="shared" si="201"/>
        <v>1056523.4716391289</v>
      </c>
      <c r="AS79">
        <f t="shared" si="202"/>
        <v>1206654.723241474</v>
      </c>
      <c r="AT79">
        <f t="shared" si="203"/>
        <v>1365798.5049548573</v>
      </c>
      <c r="AU79">
        <f t="shared" si="204"/>
        <v>1534495.84803117</v>
      </c>
      <c r="AV79">
        <f t="shared" si="205"/>
        <v>1713320.2623727946</v>
      </c>
      <c r="AW79">
        <f t="shared" si="206"/>
        <v>1902879.6862586779</v>
      </c>
      <c r="AX79">
        <f t="shared" si="207"/>
        <v>2103818.5531144212</v>
      </c>
      <c r="AY79">
        <f t="shared" si="208"/>
        <v>2316819.9823526591</v>
      </c>
      <c r="AZ79">
        <f t="shared" si="209"/>
        <v>2542608.1017317916</v>
      </c>
      <c r="BA79">
        <f t="shared" si="210"/>
        <v>2781950.5091282451</v>
      </c>
      <c r="BB79">
        <f t="shared" si="211"/>
        <v>3035660.8820914044</v>
      </c>
      <c r="BC79">
        <f t="shared" si="212"/>
        <v>3304601.7440527491</v>
      </c>
      <c r="BD79">
        <f t="shared" si="213"/>
        <v>3589687.396593309</v>
      </c>
      <c r="BE79">
        <f t="shared" si="214"/>
        <v>3891887.0277380841</v>
      </c>
      <c r="BF79">
        <f t="shared" si="215"/>
        <v>4212228.006844514</v>
      </c>
      <c r="BG79">
        <f t="shared" si="216"/>
        <v>4551799.3772864072</v>
      </c>
      <c r="BH79">
        <f t="shared" si="217"/>
        <v>4911755.558807211</v>
      </c>
      <c r="BI79">
        <f t="shared" si="218"/>
        <v>5293320.2721292637</v>
      </c>
      <c r="BJ79">
        <f t="shared" si="219"/>
        <v>5697790.6991612995</v>
      </c>
    </row>
    <row r="80" spans="1:62" x14ac:dyDescent="0.3">
      <c r="A80">
        <f>0.01/12</f>
        <v>8.3333333333333339E-4</v>
      </c>
      <c r="B80">
        <v>1</v>
      </c>
      <c r="D80">
        <f t="shared" si="165"/>
        <v>42504.128619095005</v>
      </c>
      <c r="E80">
        <f t="shared" si="169"/>
        <v>130161.73032940767</v>
      </c>
      <c r="F80">
        <f t="shared" si="170"/>
        <v>221474.3249028275</v>
      </c>
      <c r="G80">
        <f t="shared" si="171"/>
        <v>316594.31181833538</v>
      </c>
      <c r="H80">
        <f t="shared" si="220"/>
        <v>416335.43960180075</v>
      </c>
      <c r="I80">
        <f t="shared" si="220"/>
        <v>520788.5102291606</v>
      </c>
      <c r="J80">
        <f t="shared" si="220"/>
        <v>629870.46174137841</v>
      </c>
      <c r="K80">
        <f t="shared" si="221"/>
        <v>744096.25068478833</v>
      </c>
      <c r="L80">
        <f t="shared" si="173"/>
        <v>865145.41627759789</v>
      </c>
      <c r="M80">
        <f t="shared" si="174"/>
        <v>991876.70409811824</v>
      </c>
      <c r="N80">
        <f t="shared" si="175"/>
        <v>1124556.8364558546</v>
      </c>
      <c r="O80">
        <f t="shared" si="176"/>
        <v>1265007.2354336912</v>
      </c>
      <c r="P80">
        <f t="shared" si="177"/>
        <v>1413905.5596438921</v>
      </c>
      <c r="Q80">
        <f t="shared" si="178"/>
        <v>1570179.4481427958</v>
      </c>
      <c r="R80">
        <f t="shared" si="179"/>
        <v>1734194.2438505823</v>
      </c>
      <c r="S80">
        <f t="shared" si="180"/>
        <v>1906333.3866687729</v>
      </c>
      <c r="T80">
        <f t="shared" si="181"/>
        <v>2086999.3099003243</v>
      </c>
      <c r="U80">
        <f t="shared" si="182"/>
        <v>2276614.3810731978</v>
      </c>
      <c r="V80">
        <f t="shared" si="183"/>
        <v>2475621.8893669094</v>
      </c>
      <c r="W80">
        <f t="shared" si="184"/>
        <v>2684487.0819504927</v>
      </c>
      <c r="X80">
        <f t="shared" si="185"/>
        <v>2903698.2516546622</v>
      </c>
      <c r="Y80">
        <f t="shared" si="186"/>
        <v>3133767.8785209986</v>
      </c>
      <c r="Z80">
        <f t="shared" si="187"/>
        <v>3375233.8278968832</v>
      </c>
      <c r="AA80">
        <f t="shared" si="188"/>
        <v>3628660.6078771483</v>
      </c>
      <c r="AB80">
        <f t="shared" si="189"/>
        <v>3894640.6890321448</v>
      </c>
      <c r="AC80">
        <f t="shared" si="190"/>
        <v>4173795.8895075144</v>
      </c>
      <c r="AD80">
        <f t="shared" si="191"/>
        <v>4466778.8287338261</v>
      </c>
      <c r="AE80">
        <f t="shared" si="192"/>
        <v>4774274.4531446034</v>
      </c>
      <c r="AI80">
        <f t="shared" si="167"/>
        <v>42721.729021139778</v>
      </c>
      <c r="AJ80">
        <f t="shared" si="193"/>
        <v>131993.44182360356</v>
      </c>
      <c r="AK80">
        <f t="shared" si="194"/>
        <v>226624.22537988491</v>
      </c>
      <c r="AL80">
        <f t="shared" si="195"/>
        <v>326935.79010017816</v>
      </c>
      <c r="AM80">
        <f t="shared" si="196"/>
        <v>433269.15899433923</v>
      </c>
      <c r="AN80">
        <f t="shared" si="197"/>
        <v>545985.82702667802</v>
      </c>
      <c r="AO80">
        <f t="shared" si="198"/>
        <v>665468.99006798444</v>
      </c>
      <c r="AP80">
        <f t="shared" si="199"/>
        <v>792124.84762278339</v>
      </c>
      <c r="AQ80">
        <f t="shared" si="200"/>
        <v>926383.98376061488</v>
      </c>
      <c r="AR80">
        <f t="shared" si="201"/>
        <v>1068702.8309460112</v>
      </c>
      <c r="AS80">
        <f t="shared" si="202"/>
        <v>1219565.2217436598</v>
      </c>
      <c r="AT80">
        <f t="shared" si="203"/>
        <v>1379484.0336739873</v>
      </c>
      <c r="AU80">
        <f t="shared" si="204"/>
        <v>1549002.9328110816</v>
      </c>
      <c r="AV80">
        <f t="shared" si="205"/>
        <v>1728698.2220505499</v>
      </c>
      <c r="AW80">
        <f t="shared" si="206"/>
        <v>1919180.8003307574</v>
      </c>
      <c r="AX80">
        <f t="shared" si="207"/>
        <v>2121098.2394680884</v>
      </c>
      <c r="AY80">
        <f t="shared" si="208"/>
        <v>2335136.9856667165</v>
      </c>
      <c r="AZ80">
        <f t="shared" si="209"/>
        <v>2562024.6931872251</v>
      </c>
      <c r="BA80">
        <f t="shared" si="210"/>
        <v>2802532.6981076994</v>
      </c>
      <c r="BB80">
        <f t="shared" si="211"/>
        <v>3057478.6405871892</v>
      </c>
      <c r="BC80">
        <f t="shared" si="212"/>
        <v>3327729.2445462858</v>
      </c>
      <c r="BD80">
        <f t="shared" si="213"/>
        <v>3614203.2642147182</v>
      </c>
      <c r="BE80">
        <f t="shared" si="214"/>
        <v>3917874.6075631683</v>
      </c>
      <c r="BF80">
        <f t="shared" si="215"/>
        <v>4239775.6472378466</v>
      </c>
      <c r="BG80">
        <f t="shared" si="216"/>
        <v>4581000.7302537914</v>
      </c>
      <c r="BH80">
        <f t="shared" si="217"/>
        <v>4942709.8983786022</v>
      </c>
      <c r="BI80">
        <f t="shared" si="218"/>
        <v>5326132.8318545325</v>
      </c>
      <c r="BJ80">
        <f t="shared" si="219"/>
        <v>5732573.0298662148</v>
      </c>
    </row>
    <row r="81" spans="1:62" x14ac:dyDescent="0.3">
      <c r="D81">
        <f t="shared" si="165"/>
        <v>49672.937697686117</v>
      </c>
      <c r="E81">
        <f t="shared" si="169"/>
        <v>137629.45182983094</v>
      </c>
      <c r="F81">
        <f t="shared" si="170"/>
        <v>229253.42235074614</v>
      </c>
      <c r="G81">
        <f t="shared" si="171"/>
        <v>324697.7684216359</v>
      </c>
      <c r="H81">
        <f t="shared" si="220"/>
        <v>424867.91389315925</v>
      </c>
      <c r="I81">
        <f t="shared" si="220"/>
        <v>529699.10463619011</v>
      </c>
      <c r="J81">
        <f t="shared" si="220"/>
        <v>639175.93281288212</v>
      </c>
      <c r="K81">
        <f t="shared" si="221"/>
        <v>753972.94932491099</v>
      </c>
      <c r="L81">
        <f t="shared" si="173"/>
        <v>875485.73322194105</v>
      </c>
      <c r="M81">
        <f t="shared" si="174"/>
        <v>1002702.4018748139</v>
      </c>
      <c r="N81">
        <f t="shared" si="175"/>
        <v>1135890.6991394805</v>
      </c>
      <c r="O81">
        <f t="shared" si="176"/>
        <v>1277142.3286431369</v>
      </c>
      <c r="P81">
        <f t="shared" si="177"/>
        <v>1426641.7553881744</v>
      </c>
      <c r="Q81">
        <f t="shared" si="178"/>
        <v>1583546.5215749482</v>
      </c>
      <c r="R81">
        <f t="shared" si="179"/>
        <v>1748223.4450130069</v>
      </c>
      <c r="S81">
        <f t="shared" si="180"/>
        <v>1921057.5135507546</v>
      </c>
      <c r="T81">
        <f t="shared" si="181"/>
        <v>2102452.7851143917</v>
      </c>
      <c r="U81">
        <f t="shared" si="182"/>
        <v>2292833.3323295899</v>
      </c>
      <c r="V81">
        <f t="shared" si="183"/>
        <v>2492644.2339342833</v>
      </c>
      <c r="W81">
        <f t="shared" si="184"/>
        <v>2702352.6153003266</v>
      </c>
      <c r="X81">
        <f t="shared" si="185"/>
        <v>2922448.7404965921</v>
      </c>
      <c r="Y81">
        <f t="shared" si="186"/>
        <v>3153447.1584465881</v>
      </c>
      <c r="Z81">
        <f t="shared" si="187"/>
        <v>3395887.9058601027</v>
      </c>
      <c r="AA81">
        <f t="shared" si="188"/>
        <v>3650337.7697511483</v>
      </c>
      <c r="AB81">
        <f t="shared" si="189"/>
        <v>3917391.6124937669</v>
      </c>
      <c r="AC81">
        <f t="shared" si="190"/>
        <v>4197673.7625134559</v>
      </c>
      <c r="AD81">
        <f t="shared" si="191"/>
        <v>4491839.4738654243</v>
      </c>
      <c r="AE81">
        <f t="shared" si="192"/>
        <v>4800576.4581119483</v>
      </c>
      <c r="AI81">
        <f t="shared" si="167"/>
        <v>49963.873841472727</v>
      </c>
      <c r="AJ81">
        <f t="shared" si="193"/>
        <v>139670.33988528448</v>
      </c>
      <c r="AK81">
        <f t="shared" si="194"/>
        <v>234761.97535748495</v>
      </c>
      <c r="AL81">
        <f t="shared" si="195"/>
        <v>335562.05739796598</v>
      </c>
      <c r="AM81">
        <f t="shared" si="196"/>
        <v>442413.26979864162</v>
      </c>
      <c r="AN81">
        <f t="shared" si="197"/>
        <v>555678.86800429795</v>
      </c>
      <c r="AO81">
        <f t="shared" si="198"/>
        <v>675743.9140496155</v>
      </c>
      <c r="AP81">
        <f t="shared" si="199"/>
        <v>803016.58563070628</v>
      </c>
      <c r="AQ81">
        <f t="shared" si="200"/>
        <v>937929.56376152905</v>
      </c>
      <c r="AR81">
        <f t="shared" si="201"/>
        <v>1080941.5037327183</v>
      </c>
      <c r="AS81">
        <f t="shared" si="202"/>
        <v>1232538.5943735514</v>
      </c>
      <c r="AT81">
        <f t="shared" si="203"/>
        <v>1393236.2109179795</v>
      </c>
      <c r="AU81">
        <f t="shared" si="204"/>
        <v>1563580.6670938714</v>
      </c>
      <c r="AV81">
        <f t="shared" si="205"/>
        <v>1744151.0723919361</v>
      </c>
      <c r="AW81">
        <f t="shared" si="206"/>
        <v>1935561.3008283679</v>
      </c>
      <c r="AX81">
        <f t="shared" si="207"/>
        <v>2138462.0778942979</v>
      </c>
      <c r="AY81">
        <f t="shared" si="208"/>
        <v>2353543.1927869134</v>
      </c>
      <c r="AZ81">
        <f t="shared" si="209"/>
        <v>2581535.8434430468</v>
      </c>
      <c r="BA81">
        <f t="shared" si="210"/>
        <v>2823215.1223474839</v>
      </c>
      <c r="BB81">
        <f t="shared" si="211"/>
        <v>3079402.6515668486</v>
      </c>
      <c r="BC81">
        <f t="shared" si="212"/>
        <v>3350969.375967226</v>
      </c>
      <c r="BD81">
        <f t="shared" si="213"/>
        <v>3638838.5241114437</v>
      </c>
      <c r="BE81">
        <f t="shared" si="214"/>
        <v>3943988.7469020006</v>
      </c>
      <c r="BF81">
        <f t="shared" si="215"/>
        <v>4267457.4446398942</v>
      </c>
      <c r="BG81">
        <f t="shared" si="216"/>
        <v>4610344.2938101273</v>
      </c>
      <c r="BH81">
        <f t="shared" si="217"/>
        <v>4973814.9855837058</v>
      </c>
      <c r="BI81">
        <f t="shared" si="218"/>
        <v>5359105.1887456635</v>
      </c>
      <c r="BJ81">
        <f t="shared" si="219"/>
        <v>5767524.7505216626</v>
      </c>
    </row>
    <row r="82" spans="1:62" x14ac:dyDescent="0.3">
      <c r="D82">
        <f t="shared" si="165"/>
        <v>56866.192415235222</v>
      </c>
      <c r="E82">
        <f t="shared" si="169"/>
        <v>145122.63826057065</v>
      </c>
      <c r="F82">
        <f t="shared" si="170"/>
        <v>237059.04652096218</v>
      </c>
      <c r="G82">
        <f t="shared" si="171"/>
        <v>332828.8578119537</v>
      </c>
      <c r="H82">
        <f t="shared" si="220"/>
        <v>433431.27574145247</v>
      </c>
      <c r="I82">
        <f t="shared" si="220"/>
        <v>538641.95539497316</v>
      </c>
      <c r="J82">
        <f t="shared" si="220"/>
        <v>648515.08968966466</v>
      </c>
      <c r="K82">
        <f t="shared" si="221"/>
        <v>763887.47572082526</v>
      </c>
      <c r="L82">
        <f t="shared" si="173"/>
        <v>885865.65358018095</v>
      </c>
      <c r="M82">
        <f t="shared" si="174"/>
        <v>1013569.5620739943</v>
      </c>
      <c r="N82">
        <f t="shared" si="175"/>
        <v>1147267.9705171846</v>
      </c>
      <c r="O82">
        <f t="shared" si="176"/>
        <v>1289326.4112238691</v>
      </c>
      <c r="P82">
        <f t="shared" si="177"/>
        <v>1439429.3671546762</v>
      </c>
      <c r="Q82">
        <f t="shared" si="178"/>
        <v>1596967.5578825462</v>
      </c>
      <c r="R82">
        <f t="shared" si="179"/>
        <v>1762309.2820605244</v>
      </c>
      <c r="S82">
        <f t="shared" si="180"/>
        <v>1935841.0817329588</v>
      </c>
      <c r="T82">
        <f t="shared" si="181"/>
        <v>2117968.6460078983</v>
      </c>
      <c r="U82">
        <f t="shared" si="182"/>
        <v>2309117.7594922041</v>
      </c>
      <c r="V82">
        <f t="shared" si="183"/>
        <v>2509735.2977066762</v>
      </c>
      <c r="W82">
        <f t="shared" si="184"/>
        <v>2720290.2718082936</v>
      </c>
      <c r="X82">
        <f t="shared" si="185"/>
        <v>2941274.925061977</v>
      </c>
      <c r="Y82">
        <f t="shared" si="186"/>
        <v>3173205.8836252368</v>
      </c>
      <c r="Z82">
        <f t="shared" si="187"/>
        <v>3416625.3643360599</v>
      </c>
      <c r="AA82">
        <f t="shared" si="188"/>
        <v>3672102.442327633</v>
      </c>
      <c r="AB82">
        <f t="shared" si="189"/>
        <v>3940234.3814334041</v>
      </c>
      <c r="AC82">
        <f t="shared" si="190"/>
        <v>4221648.0304927221</v>
      </c>
      <c r="AD82">
        <f t="shared" si="191"/>
        <v>4517001.2888214188</v>
      </c>
      <c r="AE82">
        <f t="shared" si="192"/>
        <v>4826984.6442733463</v>
      </c>
      <c r="AI82">
        <f t="shared" si="167"/>
        <v>57241.287907080696</v>
      </c>
      <c r="AJ82">
        <f t="shared" si="193"/>
        <v>147384.6244405258</v>
      </c>
      <c r="AK82">
        <f t="shared" si="194"/>
        <v>242939.35617747589</v>
      </c>
      <c r="AL82">
        <f t="shared" si="195"/>
        <v>344230.33461749402</v>
      </c>
      <c r="AM82">
        <f t="shared" si="196"/>
        <v>451601.91242256097</v>
      </c>
      <c r="AN82">
        <f t="shared" si="197"/>
        <v>565419.11409147887</v>
      </c>
      <c r="AO82">
        <f t="shared" si="198"/>
        <v>686068.87691103714</v>
      </c>
      <c r="AP82">
        <f t="shared" si="199"/>
        <v>813961.36640272778</v>
      </c>
      <c r="AQ82">
        <f t="shared" si="200"/>
        <v>949531.37073704763</v>
      </c>
      <c r="AR82">
        <f t="shared" si="201"/>
        <v>1093239.7788558966</v>
      </c>
      <c r="AS82">
        <f t="shared" si="202"/>
        <v>1245575.1473281505</v>
      </c>
      <c r="AT82">
        <f t="shared" si="203"/>
        <v>1407055.3612651499</v>
      </c>
      <c r="AU82">
        <f t="shared" si="204"/>
        <v>1578229.3949426184</v>
      </c>
      <c r="AV82">
        <f t="shared" si="205"/>
        <v>1759679.1781144848</v>
      </c>
      <c r="AW82">
        <f t="shared" si="206"/>
        <v>1952021.5743634019</v>
      </c>
      <c r="AX82">
        <f t="shared" si="207"/>
        <v>2155910.4782136432</v>
      </c>
      <c r="AY82">
        <f t="shared" si="208"/>
        <v>2372039.0381357856</v>
      </c>
      <c r="AZ82">
        <f t="shared" si="209"/>
        <v>2601142.0130006145</v>
      </c>
      <c r="BA82">
        <f t="shared" si="210"/>
        <v>2843998.2699933159</v>
      </c>
      <c r="BB82">
        <f t="shared" si="211"/>
        <v>3101433.432479979</v>
      </c>
      <c r="BC82">
        <f t="shared" si="212"/>
        <v>3374322.6868281863</v>
      </c>
      <c r="BD82">
        <f t="shared" si="213"/>
        <v>3663593.757723866</v>
      </c>
      <c r="BE82">
        <f t="shared" si="214"/>
        <v>3970230.062099413</v>
      </c>
      <c r="BF82">
        <f t="shared" si="215"/>
        <v>4295274.0523952898</v>
      </c>
      <c r="BG82">
        <f t="shared" si="216"/>
        <v>4639830.7605209826</v>
      </c>
      <c r="BH82">
        <f t="shared" si="217"/>
        <v>5005071.5545634981</v>
      </c>
      <c r="BI82">
        <f t="shared" si="218"/>
        <v>5392238.1210148549</v>
      </c>
      <c r="BJ82">
        <f t="shared" si="219"/>
        <v>5802646.6860567024</v>
      </c>
    </row>
    <row r="83" spans="1:62" x14ac:dyDescent="0.3">
      <c r="D83">
        <f t="shared" si="165"/>
        <v>64083.976131371172</v>
      </c>
      <c r="E83">
        <f t="shared" si="169"/>
        <v>152641.37645703918</v>
      </c>
      <c r="F83">
        <f t="shared" si="170"/>
        <v>244891.28786959863</v>
      </c>
      <c r="G83">
        <f t="shared" si="171"/>
        <v>340987.67421709246</v>
      </c>
      <c r="H83">
        <f t="shared" si="220"/>
        <v>442025.63695963653</v>
      </c>
      <c r="I83">
        <f t="shared" si="220"/>
        <v>547617.1792735029</v>
      </c>
      <c r="J83">
        <f t="shared" si="220"/>
        <v>657888.05431434116</v>
      </c>
      <c r="K83">
        <f t="shared" si="221"/>
        <v>773839.97475283605</v>
      </c>
      <c r="L83">
        <f t="shared" si="173"/>
        <v>896285.32903339295</v>
      </c>
      <c r="M83">
        <f t="shared" si="174"/>
        <v>1024478.3434967377</v>
      </c>
      <c r="N83">
        <f t="shared" si="175"/>
        <v>1158688.8168442654</v>
      </c>
      <c r="O83">
        <f t="shared" si="176"/>
        <v>1301559.6809459797</v>
      </c>
      <c r="P83">
        <f t="shared" si="177"/>
        <v>1452268.6025098797</v>
      </c>
      <c r="Q83">
        <f t="shared" si="178"/>
        <v>1610442.774913718</v>
      </c>
      <c r="R83">
        <f t="shared" si="179"/>
        <v>1776451.9836322027</v>
      </c>
      <c r="S83">
        <f t="shared" si="180"/>
        <v>1950684.3311799145</v>
      </c>
      <c r="T83">
        <f t="shared" si="181"/>
        <v>2133547.1444318318</v>
      </c>
      <c r="U83">
        <f t="shared" si="182"/>
        <v>2325467.9268872738</v>
      </c>
      <c r="V83">
        <f t="shared" si="183"/>
        <v>2526895.3581035179</v>
      </c>
      <c r="W83">
        <f t="shared" si="184"/>
        <v>2738300.3426355836</v>
      </c>
      <c r="X83">
        <f t="shared" si="185"/>
        <v>2960177.1109344517</v>
      </c>
      <c r="Y83">
        <f t="shared" si="186"/>
        <v>3193044.3747774316</v>
      </c>
      <c r="Z83">
        <f t="shared" si="187"/>
        <v>3437446.539931884</v>
      </c>
      <c r="AA83">
        <f t="shared" si="188"/>
        <v>3693954.9788873098</v>
      </c>
      <c r="AB83">
        <f t="shared" si="189"/>
        <v>3963169.3666312504</v>
      </c>
      <c r="AC83">
        <f t="shared" si="190"/>
        <v>4245719.0825918205</v>
      </c>
      <c r="AD83">
        <f t="shared" si="191"/>
        <v>4542264.6820243904</v>
      </c>
      <c r="AE83">
        <f t="shared" si="192"/>
        <v>4853499.4402822778</v>
      </c>
      <c r="AI83">
        <f t="shared" si="167"/>
        <v>64554.142979188175</v>
      </c>
      <c r="AJ83">
        <f t="shared" si="193"/>
        <v>155136.47756155115</v>
      </c>
      <c r="AK83">
        <f t="shared" si="194"/>
        <v>251156.56084206016</v>
      </c>
      <c r="AL83">
        <f t="shared" si="195"/>
        <v>352940.82634708122</v>
      </c>
      <c r="AM83">
        <f t="shared" si="196"/>
        <v>460835.30373605882</v>
      </c>
      <c r="AN83">
        <f t="shared" si="197"/>
        <v>575206.7951771043</v>
      </c>
      <c r="AO83">
        <f t="shared" si="198"/>
        <v>696444.12234159384</v>
      </c>
      <c r="AP83">
        <f t="shared" si="199"/>
        <v>824959.44825710903</v>
      </c>
      <c r="AQ83">
        <f t="shared" si="200"/>
        <v>961189.67851253704</v>
      </c>
      <c r="AR83">
        <f t="shared" si="201"/>
        <v>1105597.9465789248</v>
      </c>
      <c r="AS83">
        <f t="shared" si="202"/>
        <v>1258675.1882956384</v>
      </c>
      <c r="AT83">
        <f t="shared" si="203"/>
        <v>1420941.810874511</v>
      </c>
      <c r="AU83">
        <f t="shared" si="204"/>
        <v>1592949.4620959889</v>
      </c>
      <c r="AV83">
        <f t="shared" si="205"/>
        <v>1775282.9057119021</v>
      </c>
      <c r="AW83">
        <f t="shared" si="206"/>
        <v>1968562.0094305514</v>
      </c>
      <c r="AX83">
        <f t="shared" si="207"/>
        <v>2173443.8522425434</v>
      </c>
      <c r="AY83">
        <f t="shared" si="208"/>
        <v>2390624.9582515066</v>
      </c>
      <c r="AZ83">
        <f t="shared" si="209"/>
        <v>2620843.6646039272</v>
      </c>
      <c r="BA83">
        <f t="shared" si="210"/>
        <v>2864882.6315681832</v>
      </c>
      <c r="BB83">
        <f t="shared" si="211"/>
        <v>3123571.5032961564</v>
      </c>
      <c r="BC83">
        <f t="shared" si="212"/>
        <v>3397789.7283130395</v>
      </c>
      <c r="BD83">
        <f t="shared" si="213"/>
        <v>3688469.5493239812</v>
      </c>
      <c r="BE83">
        <f t="shared" si="214"/>
        <v>3996599.1725018369</v>
      </c>
      <c r="BF83">
        <f t="shared" si="215"/>
        <v>4323226.1270304546</v>
      </c>
      <c r="BG83">
        <f t="shared" si="216"/>
        <v>4669460.826324719</v>
      </c>
      <c r="BH83">
        <f t="shared" si="217"/>
        <v>5036480.3430342218</v>
      </c>
      <c r="BI83">
        <f t="shared" si="218"/>
        <v>5425532.4106641971</v>
      </c>
      <c r="BJ83">
        <f t="shared" si="219"/>
        <v>5837939.6654177979</v>
      </c>
    </row>
    <row r="84" spans="1:62" x14ac:dyDescent="0.3">
      <c r="D84">
        <f t="shared" si="165"/>
        <v>71326.372489979127</v>
      </c>
      <c r="E84">
        <f t="shared" si="169"/>
        <v>160185.75355075768</v>
      </c>
      <c r="F84">
        <f t="shared" si="170"/>
        <v>252750.23716123393</v>
      </c>
      <c r="G84">
        <f t="shared" si="171"/>
        <v>349174.31218617276</v>
      </c>
      <c r="H84">
        <f t="shared" si="220"/>
        <v>450651.10976543039</v>
      </c>
      <c r="I84">
        <f t="shared" si="220"/>
        <v>556624.89346247294</v>
      </c>
      <c r="J84">
        <f t="shared" si="220"/>
        <v>667294.949070959</v>
      </c>
      <c r="K84">
        <f t="shared" si="221"/>
        <v>783830.59185613936</v>
      </c>
      <c r="L84">
        <f t="shared" si="173"/>
        <v>906744.91184359079</v>
      </c>
      <c r="M84">
        <f t="shared" si="174"/>
        <v>1035428.9055523301</v>
      </c>
      <c r="N84">
        <f t="shared" si="175"/>
        <v>1170153.4050127789</v>
      </c>
      <c r="O84">
        <f t="shared" si="176"/>
        <v>1313842.3363779585</v>
      </c>
      <c r="P84">
        <f t="shared" si="177"/>
        <v>1465159.6698582121</v>
      </c>
      <c r="Q84">
        <f t="shared" si="178"/>
        <v>1623972.3913960445</v>
      </c>
      <c r="R84">
        <f t="shared" si="179"/>
        <v>1790651.7792901257</v>
      </c>
      <c r="S84">
        <f t="shared" si="180"/>
        <v>1965587.5028248876</v>
      </c>
      <c r="T84">
        <f t="shared" si="181"/>
        <v>2149188.533253903</v>
      </c>
      <c r="U84">
        <f t="shared" si="182"/>
        <v>2341884.0999081172</v>
      </c>
      <c r="V84">
        <f t="shared" si="183"/>
        <v>2544124.693664182</v>
      </c>
      <c r="W84">
        <f t="shared" si="184"/>
        <v>2756383.1201188033</v>
      </c>
      <c r="X84">
        <f t="shared" si="185"/>
        <v>2979155.604931294</v>
      </c>
      <c r="Y84">
        <f t="shared" si="186"/>
        <v>3212962.9539184077</v>
      </c>
      <c r="Z84">
        <f t="shared" si="187"/>
        <v>3458351.7706135889</v>
      </c>
      <c r="AA84">
        <f t="shared" si="188"/>
        <v>3715895.7341370774</v>
      </c>
      <c r="AB84">
        <f t="shared" si="189"/>
        <v>3986196.9403643403</v>
      </c>
      <c r="AC84">
        <f t="shared" si="190"/>
        <v>4269887.3095282428</v>
      </c>
      <c r="AD84">
        <f t="shared" si="191"/>
        <v>4567630.0635457225</v>
      </c>
      <c r="AE84">
        <f t="shared" si="192"/>
        <v>4880121.2765226969</v>
      </c>
      <c r="AI84">
        <f t="shared" si="167"/>
        <v>71902.611655496818</v>
      </c>
      <c r="AJ84">
        <f t="shared" si="193"/>
        <v>162926.08220727587</v>
      </c>
      <c r="AK84">
        <f t="shared" si="194"/>
        <v>259413.78329336099</v>
      </c>
      <c r="AL84">
        <f t="shared" si="195"/>
        <v>361693.73817139148</v>
      </c>
      <c r="AM84">
        <f t="shared" si="196"/>
        <v>470113.6616652534</v>
      </c>
      <c r="AN84">
        <f t="shared" si="197"/>
        <v>585042.14226961671</v>
      </c>
      <c r="AO84">
        <f t="shared" si="198"/>
        <v>706869.89521739737</v>
      </c>
      <c r="AP84">
        <f t="shared" si="199"/>
        <v>836011.09077012108</v>
      </c>
      <c r="AQ84">
        <f t="shared" si="200"/>
        <v>972904.76224689302</v>
      </c>
      <c r="AR84">
        <f t="shared" si="201"/>
        <v>1118016.2985787641</v>
      </c>
      <c r="AS84">
        <f t="shared" si="202"/>
        <v>1271839.0264626381</v>
      </c>
      <c r="AT84">
        <f t="shared" si="203"/>
        <v>1434895.8874934698</v>
      </c>
      <c r="AU84">
        <f t="shared" si="204"/>
        <v>1607741.2159763963</v>
      </c>
      <c r="AV84">
        <f t="shared" si="205"/>
        <v>1790962.6234627189</v>
      </c>
      <c r="AW84">
        <f t="shared" si="206"/>
        <v>1985182.9964164782</v>
      </c>
      <c r="AX84">
        <f t="shared" si="207"/>
        <v>2191062.6138029643</v>
      </c>
      <c r="AY84">
        <f t="shared" si="208"/>
        <v>2409301.3917981912</v>
      </c>
      <c r="AZ84">
        <f t="shared" si="209"/>
        <v>2640641.2632505479</v>
      </c>
      <c r="BA84">
        <f t="shared" si="210"/>
        <v>2885868.69998392</v>
      </c>
      <c r="BB84">
        <f t="shared" si="211"/>
        <v>3145817.3865172085</v>
      </c>
      <c r="BC84">
        <f t="shared" si="212"/>
        <v>3421371.054289924</v>
      </c>
      <c r="BD84">
        <f t="shared" si="213"/>
        <v>3713466.4860291886</v>
      </c>
      <c r="BE84">
        <f t="shared" si="214"/>
        <v>4023096.7004719204</v>
      </c>
      <c r="BF84">
        <f t="shared" si="215"/>
        <v>4351314.3282690924</v>
      </c>
      <c r="BG84">
        <f t="shared" si="216"/>
        <v>4699235.1905489201</v>
      </c>
      <c r="BH84">
        <f t="shared" si="217"/>
        <v>5068042.0923047978</v>
      </c>
      <c r="BI84">
        <f t="shared" si="218"/>
        <v>5458988.8435041318</v>
      </c>
      <c r="BJ84">
        <f t="shared" si="219"/>
        <v>5873404.5215883823</v>
      </c>
    </row>
    <row r="85" spans="1:62" x14ac:dyDescent="0.3">
      <c r="D85">
        <f t="shared" si="165"/>
        <v>78593.465420169945</v>
      </c>
      <c r="E85">
        <f>(E84+7000)*1.00487-(0.00146*(E84+7000))</f>
        <v>167755.85697036574</v>
      </c>
      <c r="F85">
        <f>(F84+7000)*1.00487-(0.00146*(F84+7000))</f>
        <v>260635.98546995374</v>
      </c>
      <c r="G85">
        <f>(G84+7000)*1.00487-(0.00125*(G84+7000))</f>
        <v>357463.66319628665</v>
      </c>
      <c r="H85">
        <f t="shared" si="220"/>
        <v>459307.8067827812</v>
      </c>
      <c r="I85">
        <f t="shared" si="220"/>
        <v>565665.21557680704</v>
      </c>
      <c r="J85">
        <f t="shared" si="220"/>
        <v>676735.89678659593</v>
      </c>
      <c r="K85">
        <f t="shared" si="221"/>
        <v>793859.47302294825</v>
      </c>
      <c r="L85">
        <f t="shared" si="173"/>
        <v>917244.55485595169</v>
      </c>
      <c r="M85">
        <f t="shared" si="174"/>
        <v>1046421.4082605954</v>
      </c>
      <c r="N85">
        <f t="shared" si="175"/>
        <v>1181661.9025539779</v>
      </c>
      <c r="O85">
        <f t="shared" si="176"/>
        <v>1326174.5768899161</v>
      </c>
      <c r="P85">
        <f t="shared" si="177"/>
        <v>1478102.7784454296</v>
      </c>
      <c r="Q85">
        <f t="shared" si="178"/>
        <v>1637556.6269401102</v>
      </c>
      <c r="R85">
        <f t="shared" si="179"/>
        <v>1804908.8995231199</v>
      </c>
      <c r="S85">
        <f t="shared" si="180"/>
        <v>1980550.8385737916</v>
      </c>
      <c r="T85">
        <f t="shared" si="181"/>
        <v>2164893.0663626487</v>
      </c>
      <c r="U85">
        <f t="shared" si="182"/>
        <v>2358366.5450194459</v>
      </c>
      <c r="V85">
        <f t="shared" si="183"/>
        <v>2561423.584052504</v>
      </c>
      <c r="W85">
        <f t="shared" si="184"/>
        <v>2774538.8977747224</v>
      </c>
      <c r="X85">
        <f t="shared" si="185"/>
        <v>2998210.7151084016</v>
      </c>
      <c r="Y85">
        <f t="shared" si="186"/>
        <v>3232961.9443633761</v>
      </c>
      <c r="Z85">
        <f t="shared" si="187"/>
        <v>3479341.3957115556</v>
      </c>
      <c r="AA85">
        <f t="shared" si="188"/>
        <v>3737925.0642157882</v>
      </c>
      <c r="AB85">
        <f t="shared" si="189"/>
        <v>4009317.4764125911</v>
      </c>
      <c r="AC85">
        <f t="shared" si="190"/>
        <v>4294153.1035968075</v>
      </c>
      <c r="AD85">
        <f t="shared" si="191"/>
        <v>4593097.8451122558</v>
      </c>
      <c r="AE85">
        <f t="shared" si="192"/>
        <v>4906850.5851160185</v>
      </c>
      <c r="AI85">
        <f t="shared" si="167"/>
        <v>79286.867374259076</v>
      </c>
      <c r="AJ85">
        <f t="shared" si="193"/>
        <v>170753.62222762531</v>
      </c>
      <c r="AK85">
        <f t="shared" si="194"/>
        <v>267711.21841799963</v>
      </c>
      <c r="AL85">
        <f t="shared" si="195"/>
        <v>370489.27667628613</v>
      </c>
      <c r="AM85">
        <f t="shared" si="196"/>
        <v>479437.20519756316</v>
      </c>
      <c r="AN85">
        <f t="shared" si="197"/>
        <v>594925.3875024697</v>
      </c>
      <c r="AO85">
        <f t="shared" si="198"/>
        <v>717346.44160710601</v>
      </c>
      <c r="AP85">
        <f t="shared" si="199"/>
        <v>847116.5547821715</v>
      </c>
      <c r="AQ85">
        <f t="shared" si="200"/>
        <v>984676.89843903529</v>
      </c>
      <c r="AR85">
        <f t="shared" si="201"/>
        <v>1130495.1279528425</v>
      </c>
      <c r="AS85">
        <f t="shared" si="202"/>
        <v>1285066.9725215109</v>
      </c>
      <c r="AT85">
        <f t="shared" si="203"/>
        <v>1448917.920465563</v>
      </c>
      <c r="AU85">
        <f t="shared" si="204"/>
        <v>1622605.0056982012</v>
      </c>
      <c r="AV85">
        <f t="shared" si="205"/>
        <v>1806718.7014389823</v>
      </c>
      <c r="AW85">
        <f t="shared" si="206"/>
        <v>2001884.9276090262</v>
      </c>
      <c r="AX85">
        <f t="shared" si="207"/>
        <v>2208767.1787321847</v>
      </c>
      <c r="AY85">
        <f t="shared" si="208"/>
        <v>2428068.7795762485</v>
      </c>
      <c r="AZ85">
        <f t="shared" si="209"/>
        <v>2660535.2762025781</v>
      </c>
      <c r="BA85">
        <f t="shared" si="210"/>
        <v>2906956.9705528417</v>
      </c>
      <c r="BB85">
        <f t="shared" si="211"/>
        <v>3168171.6071895473</v>
      </c>
      <c r="BC85">
        <f t="shared" si="212"/>
        <v>3445067.2213243158</v>
      </c>
      <c r="BD85">
        <f t="shared" si="213"/>
        <v>3738585.1578161507</v>
      </c>
      <c r="BE85">
        <f t="shared" si="214"/>
        <v>4049723.2714032186</v>
      </c>
      <c r="BF85">
        <f t="shared" si="215"/>
        <v>4379539.3190477621</v>
      </c>
      <c r="BG85">
        <f t="shared" si="216"/>
        <v>4729154.5559268929</v>
      </c>
      <c r="BH85">
        <f t="shared" si="217"/>
        <v>5099757.5472943215</v>
      </c>
      <c r="BI85">
        <f t="shared" si="218"/>
        <v>5492608.2091719965</v>
      </c>
      <c r="BJ85">
        <f t="shared" si="219"/>
        <v>5909042.0916085169</v>
      </c>
    </row>
    <row r="86" spans="1:62" x14ac:dyDescent="0.3">
      <c r="D86">
        <f t="shared" si="165"/>
        <v>85885.339137252711</v>
      </c>
      <c r="E86">
        <f>(E85+7000)*1.00487-(0.00146*(E85+7000))</f>
        <v>175351.77444263466</v>
      </c>
      <c r="F86">
        <f>(F85+7000)*1.00487-(0.00146*(F85+7000))</f>
        <v>268548.62418040627</v>
      </c>
      <c r="G86">
        <f>(G85+7000)*1.00487-(0.00125*(G85+7000))</f>
        <v>365783.02165705716</v>
      </c>
      <c r="H86">
        <f t="shared" si="220"/>
        <v>467995.8410433348</v>
      </c>
      <c r="I86">
        <f t="shared" si="220"/>
        <v>574738.26365719503</v>
      </c>
      <c r="J86">
        <f t="shared" si="220"/>
        <v>686211.02073296334</v>
      </c>
      <c r="K86">
        <f t="shared" si="221"/>
        <v>803926.764804626</v>
      </c>
      <c r="L86">
        <f t="shared" si="173"/>
        <v>927784.41150104988</v>
      </c>
      <c r="M86">
        <f t="shared" si="174"/>
        <v>1057456.0122542335</v>
      </c>
      <c r="N86">
        <f t="shared" si="175"/>
        <v>1193214.4776407597</v>
      </c>
      <c r="O86">
        <f t="shared" si="176"/>
        <v>1338556.6026568208</v>
      </c>
      <c r="P86">
        <f t="shared" si="177"/>
        <v>1491098.1383620137</v>
      </c>
      <c r="Q86">
        <f t="shared" si="178"/>
        <v>1651195.7020430674</v>
      </c>
      <c r="R86">
        <f t="shared" si="179"/>
        <v>1819223.5757504946</v>
      </c>
      <c r="S86">
        <f t="shared" si="180"/>
        <v>1995574.5813091139</v>
      </c>
      <c r="T86">
        <f t="shared" si="181"/>
        <v>2180660.9986715545</v>
      </c>
      <c r="U86">
        <f t="shared" si="182"/>
        <v>2374915.5297616892</v>
      </c>
      <c r="V86">
        <f t="shared" si="183"/>
        <v>2578792.3100613235</v>
      </c>
      <c r="W86" s="3">
        <f t="shared" si="184"/>
        <v>2792767.9703050386</v>
      </c>
      <c r="X86">
        <f t="shared" si="185"/>
        <v>3017342.7507652938</v>
      </c>
      <c r="Y86">
        <f t="shared" si="186"/>
        <v>3253041.670732771</v>
      </c>
      <c r="Z86">
        <f t="shared" si="187"/>
        <v>3500415.7559260428</v>
      </c>
      <c r="AA86">
        <f t="shared" si="188"/>
        <v>3760043.3267000271</v>
      </c>
      <c r="AB86" s="3">
        <f t="shared" si="189"/>
        <v>4032531.3500648681</v>
      </c>
      <c r="AC86">
        <f t="shared" si="190"/>
        <v>4318516.8586760275</v>
      </c>
      <c r="AD86">
        <f t="shared" si="191"/>
        <v>4618668.4401129745</v>
      </c>
      <c r="AE86">
        <f t="shared" si="192"/>
        <v>4933687.7999281315</v>
      </c>
      <c r="AI86">
        <f t="shared" si="167"/>
        <v>86707.084418371713</v>
      </c>
      <c r="AJ86">
        <f t="shared" si="193"/>
        <v>178619.28236787382</v>
      </c>
      <c r="AK86">
        <f t="shared" si="194"/>
        <v>276049.06205169525</v>
      </c>
      <c r="AL86">
        <f t="shared" si="195"/>
        <v>379327.64945369959</v>
      </c>
      <c r="AM86">
        <f t="shared" si="196"/>
        <v>488806.15438687528</v>
      </c>
      <c r="AN86">
        <f t="shared" si="197"/>
        <v>604856.76413960673</v>
      </c>
      <c r="AO86">
        <f t="shared" si="198"/>
        <v>727874.00877773261</v>
      </c>
      <c r="AP86">
        <f t="shared" si="199"/>
        <v>858276.10240396066</v>
      </c>
      <c r="AQ86">
        <f t="shared" si="200"/>
        <v>996506.36493443337</v>
      </c>
      <c r="AR86">
        <f t="shared" si="201"/>
        <v>1143034.7292259727</v>
      </c>
      <c r="AS86">
        <f t="shared" si="202"/>
        <v>1298359.3386776906</v>
      </c>
      <c r="AT86">
        <f t="shared" si="203"/>
        <v>1463008.2407382301</v>
      </c>
      <c r="AU86">
        <f t="shared" si="204"/>
        <v>1637541.1820759515</v>
      </c>
      <c r="AV86">
        <f t="shared" si="205"/>
        <v>1822551.5115149899</v>
      </c>
      <c r="AW86">
        <f t="shared" si="206"/>
        <v>2018668.1972064821</v>
      </c>
      <c r="AX86">
        <f t="shared" si="207"/>
        <v>2226557.9648926104</v>
      </c>
      <c r="AY86">
        <f t="shared" si="208"/>
        <v>2446927.5645327847</v>
      </c>
      <c r="AZ86">
        <f t="shared" si="209"/>
        <v>2680526.1729976847</v>
      </c>
      <c r="BA86">
        <f t="shared" si="210"/>
        <v>2928147.9409994339</v>
      </c>
      <c r="BB86" s="3">
        <f t="shared" si="211"/>
        <v>3190634.69291656</v>
      </c>
      <c r="BC86">
        <f t="shared" si="212"/>
        <v>3468878.7886921652</v>
      </c>
      <c r="BD86">
        <f t="shared" si="213"/>
        <v>3763826.1575347153</v>
      </c>
      <c r="BE86">
        <f t="shared" si="214"/>
        <v>4076479.5137349521</v>
      </c>
      <c r="BF86">
        <f t="shared" si="215"/>
        <v>4407901.7655315241</v>
      </c>
      <c r="BG86" s="3">
        <f t="shared" si="216"/>
        <v>4759219.6286142562</v>
      </c>
      <c r="BH86">
        <f t="shared" si="217"/>
        <v>5131627.4565496445</v>
      </c>
      <c r="BI86">
        <f t="shared" si="218"/>
        <v>5526391.3011506638</v>
      </c>
      <c r="BJ86">
        <f t="shared" si="219"/>
        <v>5944853.2165946495</v>
      </c>
    </row>
    <row r="89" spans="1:62" x14ac:dyDescent="0.3">
      <c r="D89" t="s">
        <v>59</v>
      </c>
      <c r="AI89" t="s">
        <v>59</v>
      </c>
      <c r="AJ89" t="s">
        <v>66</v>
      </c>
    </row>
    <row r="90" spans="1:62" x14ac:dyDescent="0.3">
      <c r="D90" t="s">
        <v>8</v>
      </c>
      <c r="AI90" t="s">
        <v>8</v>
      </c>
    </row>
    <row r="91" spans="1:62" x14ac:dyDescent="0.3">
      <c r="D91" t="s">
        <v>78</v>
      </c>
      <c r="AI91" t="s">
        <v>78</v>
      </c>
    </row>
    <row r="92" spans="1:62" x14ac:dyDescent="0.3">
      <c r="D92" t="s">
        <v>15</v>
      </c>
      <c r="E92" t="s">
        <v>16</v>
      </c>
      <c r="F92" t="s">
        <v>17</v>
      </c>
      <c r="G92" t="s">
        <v>18</v>
      </c>
      <c r="H92" t="s">
        <v>19</v>
      </c>
      <c r="I92" t="s">
        <v>20</v>
      </c>
      <c r="J92" t="s">
        <v>21</v>
      </c>
      <c r="K92" t="s">
        <v>22</v>
      </c>
      <c r="L92" t="s">
        <v>23</v>
      </c>
      <c r="M92" t="s">
        <v>24</v>
      </c>
      <c r="N92" t="s">
        <v>25</v>
      </c>
      <c r="O92" t="s">
        <v>26</v>
      </c>
      <c r="P92" t="s">
        <v>27</v>
      </c>
      <c r="Q92" t="s">
        <v>28</v>
      </c>
      <c r="R92" t="s">
        <v>29</v>
      </c>
      <c r="S92" t="s">
        <v>30</v>
      </c>
      <c r="T92" t="s">
        <v>31</v>
      </c>
      <c r="U92" t="s">
        <v>32</v>
      </c>
      <c r="V92" t="s">
        <v>33</v>
      </c>
      <c r="W92" t="s">
        <v>34</v>
      </c>
      <c r="X92" t="s">
        <v>35</v>
      </c>
      <c r="Y92" t="s">
        <v>36</v>
      </c>
      <c r="Z92" t="s">
        <v>37</v>
      </c>
      <c r="AA92" t="s">
        <v>38</v>
      </c>
      <c r="AB92" t="s">
        <v>39</v>
      </c>
      <c r="AC92" t="s">
        <v>67</v>
      </c>
      <c r="AD92" t="s">
        <v>68</v>
      </c>
      <c r="AE92" t="s">
        <v>69</v>
      </c>
      <c r="AI92" t="s">
        <v>15</v>
      </c>
      <c r="AJ92" t="s">
        <v>16</v>
      </c>
      <c r="AK92" t="s">
        <v>17</v>
      </c>
      <c r="AL92" t="s">
        <v>18</v>
      </c>
      <c r="AM92" t="s">
        <v>19</v>
      </c>
      <c r="AN92" t="s">
        <v>20</v>
      </c>
      <c r="AO92" t="s">
        <v>21</v>
      </c>
      <c r="AP92" t="s">
        <v>22</v>
      </c>
      <c r="AQ92" t="s">
        <v>23</v>
      </c>
      <c r="AR92" t="s">
        <v>24</v>
      </c>
      <c r="AS92" t="s">
        <v>25</v>
      </c>
      <c r="AT92" t="s">
        <v>26</v>
      </c>
      <c r="AU92" t="s">
        <v>27</v>
      </c>
      <c r="AV92" t="s">
        <v>28</v>
      </c>
      <c r="AW92" t="s">
        <v>29</v>
      </c>
      <c r="AX92" t="s">
        <v>30</v>
      </c>
      <c r="AY92" t="s">
        <v>31</v>
      </c>
      <c r="AZ92" t="s">
        <v>32</v>
      </c>
      <c r="BA92" t="s">
        <v>33</v>
      </c>
      <c r="BB92" t="s">
        <v>34</v>
      </c>
      <c r="BC92" t="s">
        <v>35</v>
      </c>
      <c r="BD92" t="s">
        <v>36</v>
      </c>
      <c r="BE92" t="s">
        <v>37</v>
      </c>
      <c r="BF92" t="s">
        <v>38</v>
      </c>
      <c r="BG92" t="s">
        <v>39</v>
      </c>
      <c r="BH92" t="s">
        <v>67</v>
      </c>
      <c r="BI92" t="s">
        <v>68</v>
      </c>
      <c r="BJ92" t="s">
        <v>69</v>
      </c>
    </row>
    <row r="93" spans="1:62" x14ac:dyDescent="0.3">
      <c r="D93">
        <v>0</v>
      </c>
      <c r="AI93">
        <v>0</v>
      </c>
    </row>
    <row r="94" spans="1:62" x14ac:dyDescent="0.3">
      <c r="D94">
        <f t="shared" ref="D94:D105" si="222">(D93+7000)*1.00566-(0.00146*(D93+7000))</f>
        <v>7029.4</v>
      </c>
      <c r="E94">
        <f>(D105+7000)*1.00566-(0.00146*(D105+7000))</f>
        <v>93720.870242951714</v>
      </c>
      <c r="F94">
        <f>(E105+7000)*1.00566-(0.00146*(E105+7000))</f>
        <v>184883.94672211603</v>
      </c>
      <c r="G94">
        <f>(F105+7000)*1.00566-(0.00146*(F105+7000))</f>
        <v>280749.27799237025</v>
      </c>
      <c r="H94">
        <f>(G105+7000)*1.00566-(0.00125*(G105+7000))</f>
        <v>381869.83010509307</v>
      </c>
      <c r="I94">
        <f>(H105+7000)*1.00566-(0.00125*(H105+7000))</f>
        <v>489023.0450425446</v>
      </c>
      <c r="J94">
        <f>(I105+7000)*1.00566-(0.00125*(I105+7000))</f>
        <v>601986.38928876794</v>
      </c>
      <c r="K94">
        <f>(J105+7000)*1.00566-(0.00104*(J105+7000))</f>
        <v>721522.86251478828</v>
      </c>
      <c r="L94">
        <f>(K105+7000)*1.00566-(0.00104*(K105+7000))</f>
        <v>849122.08733355172</v>
      </c>
      <c r="M94">
        <f>(L105+7000)*1.00566-(0.00104*(L105+7000))</f>
        <v>983977.96326729725</v>
      </c>
      <c r="N94">
        <f t="shared" ref="N94:AE94" si="223">(M105+7000)*1.00566-(0.000833*(M105+7000))</f>
        <v>1128978.1378918481</v>
      </c>
      <c r="O94">
        <f t="shared" si="223"/>
        <v>1282820.2013220871</v>
      </c>
      <c r="P94">
        <f t="shared" si="223"/>
        <v>1445813.8382352577</v>
      </c>
      <c r="Q94">
        <f t="shared" si="223"/>
        <v>1618503.4465375375</v>
      </c>
      <c r="R94">
        <f t="shared" si="223"/>
        <v>1801465.8086295088</v>
      </c>
      <c r="S94">
        <f t="shared" si="223"/>
        <v>1995312.0178564</v>
      </c>
      <c r="T94">
        <f t="shared" si="223"/>
        <v>2200689.5195567054</v>
      </c>
      <c r="U94">
        <f t="shared" si="223"/>
        <v>2418284.2735262746</v>
      </c>
      <c r="V94">
        <f t="shared" si="223"/>
        <v>2648823.0451204884</v>
      </c>
      <c r="W94">
        <f t="shared" si="223"/>
        <v>2893075.8326468007</v>
      </c>
      <c r="X94">
        <f t="shared" si="223"/>
        <v>3151858.4391551074</v>
      </c>
      <c r="Y94">
        <f t="shared" si="223"/>
        <v>3426035.1972157252</v>
      </c>
      <c r="Z94">
        <f t="shared" si="223"/>
        <v>3716521.8557857149</v>
      </c>
      <c r="AA94">
        <f t="shared" si="223"/>
        <v>4024288.6388056735</v>
      </c>
      <c r="AB94">
        <f t="shared" si="223"/>
        <v>4350363.4857426863</v>
      </c>
      <c r="AC94">
        <f t="shared" si="223"/>
        <v>4695835.4849028494</v>
      </c>
      <c r="AD94">
        <f t="shared" si="223"/>
        <v>5061858.5109805828</v>
      </c>
      <c r="AE94">
        <f t="shared" si="223"/>
        <v>5449655.0789941605</v>
      </c>
      <c r="AI94">
        <f t="shared" ref="AI94:AI105" si="224">(AI93+7000)*1.00566-0</f>
        <v>7039.62</v>
      </c>
      <c r="AJ94">
        <f t="shared" ref="AJ94:BJ94" si="225">(AI105+7000)*1.00566-0</f>
        <v>94688.331733705098</v>
      </c>
      <c r="AK94">
        <f t="shared" si="225"/>
        <v>188479.00529016615</v>
      </c>
      <c r="AL94">
        <f t="shared" si="225"/>
        <v>288842.03712685552</v>
      </c>
      <c r="AM94">
        <f t="shared" si="225"/>
        <v>396237.98362668121</v>
      </c>
      <c r="AN94">
        <f t="shared" si="225"/>
        <v>511159.67454731179</v>
      </c>
      <c r="AO94">
        <f t="shared" si="225"/>
        <v>634134.47456994001</v>
      </c>
      <c r="AP94">
        <f t="shared" si="225"/>
        <v>765726.70332551794</v>
      </c>
      <c r="AQ94">
        <f t="shared" si="225"/>
        <v>906540.22500373132</v>
      </c>
      <c r="AR94">
        <f t="shared" si="225"/>
        <v>1057221.2194281849</v>
      </c>
      <c r="AS94">
        <f t="shared" si="225"/>
        <v>1218461.1473139965</v>
      </c>
      <c r="AT94">
        <f t="shared" si="225"/>
        <v>1390999.923315082</v>
      </c>
      <c r="AU94">
        <f t="shared" si="225"/>
        <v>1575629.3114219492</v>
      </c>
      <c r="AV94">
        <f t="shared" si="225"/>
        <v>1773196.5582911496</v>
      </c>
      <c r="AW94">
        <f t="shared" si="225"/>
        <v>1984608.2811793971</v>
      </c>
      <c r="AX94">
        <f t="shared" si="225"/>
        <v>2210834.6283237059</v>
      </c>
      <c r="AY94">
        <f t="shared" si="225"/>
        <v>2452913.7308591423</v>
      </c>
      <c r="AZ94">
        <f t="shared" si="225"/>
        <v>2711956.4667036114</v>
      </c>
      <c r="BA94">
        <f t="shared" si="225"/>
        <v>2989151.5582706928</v>
      </c>
      <c r="BB94">
        <f t="shared" si="225"/>
        <v>3285771.0274034487</v>
      </c>
      <c r="BC94">
        <f t="shared" si="225"/>
        <v>3603176.0325613613</v>
      </c>
      <c r="BD94">
        <f t="shared" si="225"/>
        <v>3942823.1150467144</v>
      </c>
      <c r="BE94">
        <f t="shared" si="225"/>
        <v>4306270.8829337377</v>
      </c>
      <c r="BF94">
        <f t="shared" si="225"/>
        <v>4695187.1633724356</v>
      </c>
      <c r="BG94">
        <f t="shared" si="225"/>
        <v>5111356.6560883438</v>
      </c>
      <c r="BH94">
        <f t="shared" si="225"/>
        <v>5556689.1231993875</v>
      </c>
      <c r="BI94">
        <f t="shared" si="225"/>
        <v>6033228.1529321382</v>
      </c>
      <c r="BJ94">
        <f t="shared" si="225"/>
        <v>6543160.5374533115</v>
      </c>
    </row>
    <row r="95" spans="1:62" x14ac:dyDescent="0.3">
      <c r="D95">
        <f t="shared" si="222"/>
        <v>14088.323479999999</v>
      </c>
      <c r="E95">
        <f t="shared" ref="E95:G102" si="226">(E94+7000)*1.00566-(0.00146*(E94+7000))</f>
        <v>101143.8978979721</v>
      </c>
      <c r="F95">
        <f t="shared" si="226"/>
        <v>192689.85929834892</v>
      </c>
      <c r="G95">
        <f t="shared" si="226"/>
        <v>288957.82495993818</v>
      </c>
      <c r="H95">
        <f t="shared" ref="H95:H103" si="227">(H94+7000)*1.00566-(0.00125*(H94+7000))</f>
        <v>390584.74605585652</v>
      </c>
      <c r="I95">
        <f t="shared" ref="I95:I103" si="228">(I94+7000)*1.00566-(0.00125*(I94+7000))</f>
        <v>498210.50667118223</v>
      </c>
      <c r="J95">
        <f t="shared" ref="J95:J103" si="229">(J94+7000)*1.00566-(0.00125*(J94+7000))</f>
        <v>611672.01926553145</v>
      </c>
      <c r="K95">
        <f>(K94+7000)*1.00566-(0.00104*(K94+7000))</f>
        <v>731888.63813960657</v>
      </c>
      <c r="L95">
        <f>(L94+7000)*1.00566-(0.00104*(L94+7000))</f>
        <v>860077.37137703272</v>
      </c>
      <c r="M95">
        <f>(M94+7000)*1.00566-(0.00104*(M94+7000))</f>
        <v>995556.28145759215</v>
      </c>
      <c r="N95">
        <f t="shared" ref="N95:N105" si="230">(N94+7000)*1.00566-(0.000833*(N94+7000))</f>
        <v>1141461.5043634521</v>
      </c>
      <c r="O95">
        <f t="shared" ref="O95:O105" si="231">(O94+7000)*1.00566-(0.000833*(O94+7000))</f>
        <v>1296046.1634338689</v>
      </c>
      <c r="P95">
        <f t="shared" ref="P95:P105" si="232">(P94+7000)*1.00566-(0.000833*(P94+7000))</f>
        <v>1459826.5706324193</v>
      </c>
      <c r="Q95">
        <f t="shared" ref="Q95:Q105" si="233">(Q94+7000)*1.00566-(0.000833*(Q94+7000))</f>
        <v>1633349.7516739741</v>
      </c>
      <c r="R95">
        <f t="shared" ref="R95:R105" si="234">(R94+7000)*1.00566-(0.000833*(R94+7000))</f>
        <v>1817195.2730877635</v>
      </c>
      <c r="S95">
        <f t="shared" ref="S95:S105" si="235">(S94+7000)*1.00566-(0.000833*(S94+7000))</f>
        <v>2011977.1779665928</v>
      </c>
      <c r="T95">
        <f t="shared" ref="T95:T105" si="236">(T94+7000)*1.00566-(0.000833*(T94+7000))</f>
        <v>2218346.0368676055</v>
      </c>
      <c r="U95">
        <f t="shared" ref="U95:U105" si="237">(U94+7000)*1.00566-(0.000833*(U94+7000))</f>
        <v>2436991.1207145862</v>
      </c>
      <c r="V95">
        <f t="shared" ref="V95:V105" si="238">(V94+7000)*1.00566-(0.000833*(V94+7000))</f>
        <v>2668642.7029592847</v>
      </c>
      <c r="W95">
        <f t="shared" ref="W95:W105" si="239">(W94+7000)*1.00566-(0.000833*(W94+7000))</f>
        <v>2914074.4986909865</v>
      </c>
      <c r="X95">
        <f t="shared" ref="X95:X105" si="240">(X94+7000)*1.00566-(0.000833*(X94+7000))</f>
        <v>3174106.248840909</v>
      </c>
      <c r="Y95">
        <f t="shared" ref="Y95:Y105" si="241">(Y94+7000)*1.00566-(0.000833*(Y94+7000))</f>
        <v>3449606.4581126855</v>
      </c>
      <c r="Z95">
        <f t="shared" ref="Z95:Z105" si="242">(Z94+7000)*1.00566-(0.000833*(Z94+7000))</f>
        <v>3741495.2957835929</v>
      </c>
      <c r="AA95">
        <f t="shared" ref="AA95:AA105" si="243">(AA94+7000)*1.00566-(0.000833*(AA94+7000))</f>
        <v>4050747.6690651886</v>
      </c>
      <c r="AB95">
        <f t="shared" ref="AB95:AB105" si="244">(AB94+7000)*1.00566-(0.000833*(AB94+7000))</f>
        <v>4378396.4792883666</v>
      </c>
      <c r="AC95">
        <f t="shared" ref="AC95:AC105" si="245">(AC94+7000)*1.00566-(0.000833*(AC94+7000))</f>
        <v>4725536.0717884749</v>
      </c>
      <c r="AD95">
        <f t="shared" ref="AD95:AD105" si="246">(AD94+7000)*1.00566-(0.000833*(AD94+7000))</f>
        <v>5093325.8910130868</v>
      </c>
      <c r="AE95">
        <f t="shared" ref="AE95:AE105" si="247">(AE94+7000)*1.00566-(0.000833*(AE94+7000))</f>
        <v>5482994.3530604653</v>
      </c>
      <c r="AI95">
        <f t="shared" si="224"/>
        <v>14119.084249199999</v>
      </c>
      <c r="AJ95">
        <f t="shared" ref="AJ95:AJ105" si="248">(AJ94+7000)*1.00566-0</f>
        <v>102263.88769131787</v>
      </c>
      <c r="AK95">
        <f t="shared" ref="AK95:AK105" si="249">(AK94+7000)*1.00566-0</f>
        <v>196585.41646010851</v>
      </c>
      <c r="AL95">
        <f t="shared" ref="AL95:AL105" si="250">(AL94+7000)*1.00566-0</f>
        <v>297516.50305699353</v>
      </c>
      <c r="AM95">
        <f t="shared" ref="AM95:AM105" si="251">(AM94+7000)*1.00566-0</f>
        <v>405520.31061400822</v>
      </c>
      <c r="AN95">
        <f t="shared" ref="AN95:AN105" si="252">(AN94+7000)*1.00566-0</f>
        <v>521092.45830524957</v>
      </c>
      <c r="AO95">
        <f t="shared" ref="AO95:AO105" si="253">(AO94+7000)*1.00566-0</f>
        <v>644763.29569600592</v>
      </c>
      <c r="AP95">
        <f t="shared" ref="AP95:AP105" si="254">(AP94+7000)*1.00566-0</f>
        <v>777100.33646634035</v>
      </c>
      <c r="AQ95">
        <f t="shared" ref="AQ95:AQ105" si="255">(AQ94+7000)*1.00566-0</f>
        <v>918710.86267725239</v>
      </c>
      <c r="AR95">
        <f t="shared" ref="AR95:AR105" si="256">(AR94+7000)*1.00566-0</f>
        <v>1070244.7115301485</v>
      </c>
      <c r="AS95">
        <f t="shared" ref="AS95:AS105" si="257">(AS94+7000)*1.00566-0</f>
        <v>1232397.2574077938</v>
      </c>
      <c r="AT95">
        <f t="shared" ref="AT95:AT105" si="258">(AT94+7000)*1.00566-0</f>
        <v>1405912.6028810453</v>
      </c>
      <c r="AU95">
        <f t="shared" ref="AU95:AU105" si="259">(AU94+7000)*1.00566-0</f>
        <v>1591586.9933245974</v>
      </c>
      <c r="AV95">
        <f t="shared" ref="AV95:AV105" si="260">(AV94+7000)*1.00566-0</f>
        <v>1790272.4708110774</v>
      </c>
      <c r="AW95">
        <f t="shared" ref="AW95:AW105" si="261">(AW94+7000)*1.00566-0</f>
        <v>2002880.7840508725</v>
      </c>
      <c r="AX95">
        <f t="shared" ref="AX95:AX105" si="262">(AX94+7000)*1.00566-0</f>
        <v>2230387.572320018</v>
      </c>
      <c r="AY95">
        <f t="shared" ref="AY95:AY105" si="263">(AY94+7000)*1.00566-0</f>
        <v>2473836.8425758048</v>
      </c>
      <c r="AZ95">
        <f t="shared" ref="AZ95:AZ105" si="264">(AZ94+7000)*1.00566-0</f>
        <v>2734345.7603051537</v>
      </c>
      <c r="BA95">
        <f t="shared" ref="BA95:BA105" si="265">(BA94+7000)*1.00566-0</f>
        <v>3013109.7760905051</v>
      </c>
      <c r="BB95">
        <f t="shared" ref="BB95:BB105" si="266">(BB94+7000)*1.00566-0</f>
        <v>3311408.1114185522</v>
      </c>
      <c r="BC95">
        <f t="shared" ref="BC95:BC105" si="267">(BC94+7000)*1.00566-0</f>
        <v>3630609.6289056586</v>
      </c>
      <c r="BD95">
        <f t="shared" ref="BD95:BD105" si="268">(BD94+7000)*1.00566-0</f>
        <v>3972179.113877879</v>
      </c>
      <c r="BE95">
        <f t="shared" ref="BE95:BE105" si="269">(BE94+7000)*1.00566-0</f>
        <v>4337683.9961311426</v>
      </c>
      <c r="BF95">
        <f t="shared" ref="BF95:BF105" si="270">(BF94+7000)*1.00566-0</f>
        <v>4728801.5427171234</v>
      </c>
      <c r="BG95">
        <f t="shared" ref="BG95:BG105" si="271">(BG94+7000)*1.00566-0</f>
        <v>5147326.5547618037</v>
      </c>
      <c r="BH95">
        <f t="shared" ref="BH95:BH105" si="272">(BH94+7000)*1.00566-0</f>
        <v>5595179.603636696</v>
      </c>
      <c r="BI95">
        <f t="shared" ref="BI95:BI105" si="273">(BI94+7000)*1.00566-0</f>
        <v>6074415.8442777339</v>
      </c>
      <c r="BJ95">
        <f t="shared" ref="BJ95:BJ105" si="274">(BJ94+7000)*1.00566-0</f>
        <v>6587234.4460952971</v>
      </c>
    </row>
    <row r="96" spans="1:62" x14ac:dyDescent="0.3">
      <c r="A96">
        <f>0.0175/12</f>
        <v>1.4583333333333334E-3</v>
      </c>
      <c r="B96">
        <v>1.75</v>
      </c>
      <c r="D96">
        <f t="shared" si="222"/>
        <v>21176.894438616</v>
      </c>
      <c r="E96">
        <f t="shared" si="226"/>
        <v>108598.10226914359</v>
      </c>
      <c r="F96">
        <f t="shared" si="226"/>
        <v>200528.55670740196</v>
      </c>
      <c r="G96">
        <f t="shared" si="226"/>
        <v>297200.84782476991</v>
      </c>
      <c r="H96">
        <f t="shared" si="227"/>
        <v>399338.09478596284</v>
      </c>
      <c r="I96">
        <f t="shared" si="228"/>
        <v>507438.48500560212</v>
      </c>
      <c r="J96">
        <f t="shared" si="229"/>
        <v>621400.36287049251</v>
      </c>
      <c r="K96">
        <f t="shared" ref="K96:K105" si="275">(K95+7000)*1.00566-(0.00104*(K95+7000))</f>
        <v>742302.30364781152</v>
      </c>
      <c r="L96">
        <f t="shared" ref="L96:L105" si="276">(L95+7000)*1.00566-(0.00104*(L95+7000))</f>
        <v>871083.26883279462</v>
      </c>
      <c r="M96">
        <f t="shared" ref="M96:M105" si="277">(M95+7000)*1.00566-(0.000833*(M95+7000))</f>
        <v>1007395.6206281879</v>
      </c>
      <c r="N96">
        <f t="shared" si="230"/>
        <v>1154005.1280450146</v>
      </c>
      <c r="O96">
        <f t="shared" si="231"/>
        <v>1309335.967264764</v>
      </c>
      <c r="P96">
        <f t="shared" si="232"/>
        <v>1473906.9424888622</v>
      </c>
      <c r="Q96">
        <f t="shared" si="233"/>
        <v>1648267.7199253044</v>
      </c>
      <c r="R96">
        <f t="shared" si="234"/>
        <v>1833000.663670958</v>
      </c>
      <c r="S96">
        <f t="shared" si="235"/>
        <v>2028722.7808046376</v>
      </c>
      <c r="T96">
        <f t="shared" si="236"/>
        <v>2236087.7821875657</v>
      </c>
      <c r="U96">
        <f t="shared" si="237"/>
        <v>2455788.2658542753</v>
      </c>
      <c r="V96">
        <f t="shared" si="238"/>
        <v>2688558.030286469</v>
      </c>
      <c r="W96">
        <f t="shared" si="239"/>
        <v>2935174.5252961679</v>
      </c>
      <c r="X96">
        <f t="shared" si="240"/>
        <v>3196461.4487040639</v>
      </c>
      <c r="Y96">
        <f t="shared" si="241"/>
        <v>3473291.4974859953</v>
      </c>
      <c r="Z96">
        <f t="shared" si="242"/>
        <v>3766589.2825763403</v>
      </c>
      <c r="AA96">
        <f t="shared" si="243"/>
        <v>4077334.4170637662</v>
      </c>
      <c r="AB96">
        <f t="shared" si="244"/>
        <v>4406564.7880938919</v>
      </c>
      <c r="AC96">
        <f t="shared" si="245"/>
        <v>4755380.0234069983</v>
      </c>
      <c r="AD96">
        <f t="shared" si="246"/>
        <v>5124945.1640890064</v>
      </c>
      <c r="AE96">
        <f t="shared" si="247"/>
        <v>5516494.555802688</v>
      </c>
      <c r="AI96">
        <f t="shared" si="224"/>
        <v>21238.618266050475</v>
      </c>
      <c r="AJ96">
        <f t="shared" si="248"/>
        <v>109882.32129565073</v>
      </c>
      <c r="AK96">
        <f t="shared" si="249"/>
        <v>204737.70991727273</v>
      </c>
      <c r="AL96">
        <f t="shared" si="250"/>
        <v>306240.06646429613</v>
      </c>
      <c r="AM96">
        <f t="shared" si="251"/>
        <v>414855.17557208351</v>
      </c>
      <c r="AN96">
        <f t="shared" si="252"/>
        <v>531081.46161925723</v>
      </c>
      <c r="AO96">
        <f t="shared" si="253"/>
        <v>655452.27594964532</v>
      </c>
      <c r="AP96">
        <f t="shared" si="254"/>
        <v>788538.34437073988</v>
      </c>
      <c r="AQ96">
        <f t="shared" si="255"/>
        <v>930950.38616000558</v>
      </c>
      <c r="AR96">
        <f t="shared" si="256"/>
        <v>1083341.9165974092</v>
      </c>
      <c r="AS96">
        <f t="shared" si="257"/>
        <v>1246412.2458847219</v>
      </c>
      <c r="AT96">
        <f t="shared" si="258"/>
        <v>1420909.6882133521</v>
      </c>
      <c r="AU96">
        <f t="shared" si="259"/>
        <v>1607634.9957068146</v>
      </c>
      <c r="AV96">
        <f t="shared" si="260"/>
        <v>1807445.032995868</v>
      </c>
      <c r="AW96">
        <f t="shared" si="261"/>
        <v>2021256.7092886006</v>
      </c>
      <c r="AX96">
        <f t="shared" si="262"/>
        <v>2250051.1859793491</v>
      </c>
      <c r="AY96">
        <f t="shared" si="263"/>
        <v>2494878.3791047838</v>
      </c>
      <c r="AZ96">
        <f t="shared" si="264"/>
        <v>2756861.7773084808</v>
      </c>
      <c r="BA96">
        <f t="shared" si="265"/>
        <v>3037203.5974231772</v>
      </c>
      <c r="BB96">
        <f t="shared" si="266"/>
        <v>3337190.3013291811</v>
      </c>
      <c r="BC96">
        <f t="shared" si="267"/>
        <v>3658198.4994052649</v>
      </c>
      <c r="BD96">
        <f t="shared" si="268"/>
        <v>4001701.2676624279</v>
      </c>
      <c r="BE96">
        <f t="shared" si="269"/>
        <v>4369274.9075492453</v>
      </c>
      <c r="BF96">
        <f t="shared" si="270"/>
        <v>4762606.1794489026</v>
      </c>
      <c r="BG96">
        <f t="shared" si="271"/>
        <v>5183500.0430617556</v>
      </c>
      <c r="BH96">
        <f t="shared" si="272"/>
        <v>5633887.9401932796</v>
      </c>
      <c r="BI96">
        <f t="shared" si="273"/>
        <v>6115836.6579563459</v>
      </c>
      <c r="BJ96">
        <f t="shared" si="274"/>
        <v>6631557.8130601961</v>
      </c>
    </row>
    <row r="97" spans="1:62" x14ac:dyDescent="0.3">
      <c r="A97">
        <f>0.015/12</f>
        <v>1.25E-3</v>
      </c>
      <c r="B97">
        <v>1.5</v>
      </c>
      <c r="D97">
        <f t="shared" si="222"/>
        <v>28295.237395258187</v>
      </c>
      <c r="E97">
        <f t="shared" si="226"/>
        <v>116083.614298674</v>
      </c>
      <c r="F97">
        <f t="shared" si="226"/>
        <v>208400.17664557305</v>
      </c>
      <c r="G97">
        <f t="shared" si="226"/>
        <v>305478.491385634</v>
      </c>
      <c r="H97">
        <f t="shared" si="227"/>
        <v>408130.04578396893</v>
      </c>
      <c r="I97">
        <f t="shared" si="228"/>
        <v>516707.15872447682</v>
      </c>
      <c r="J97">
        <f t="shared" si="229"/>
        <v>631171.60847075144</v>
      </c>
      <c r="K97">
        <f t="shared" si="275"/>
        <v>752764.08029066445</v>
      </c>
      <c r="L97">
        <f t="shared" si="276"/>
        <v>882140.01353480213</v>
      </c>
      <c r="M97">
        <f t="shared" si="277"/>
        <v>1019292.1082889602</v>
      </c>
      <c r="N97">
        <f t="shared" si="230"/>
        <v>1166609.2997980879</v>
      </c>
      <c r="O97">
        <f t="shared" si="231"/>
        <v>1322689.920978751</v>
      </c>
      <c r="P97">
        <f t="shared" si="232"/>
        <v>1488055.2803002559</v>
      </c>
      <c r="Q97">
        <f t="shared" si="233"/>
        <v>1663257.6972093838</v>
      </c>
      <c r="R97">
        <f t="shared" si="234"/>
        <v>1848882.3468744976</v>
      </c>
      <c r="S97">
        <f t="shared" si="235"/>
        <v>2045549.2146675815</v>
      </c>
      <c r="T97">
        <f t="shared" si="236"/>
        <v>2253915.166912185</v>
      </c>
      <c r="U97">
        <f t="shared" si="237"/>
        <v>2474676.1448135539</v>
      </c>
      <c r="V97">
        <f t="shared" si="238"/>
        <v>2708569.4888986619</v>
      </c>
      <c r="W97">
        <f t="shared" si="239"/>
        <v>2956376.4017297723</v>
      </c>
      <c r="X97">
        <f t="shared" si="240"/>
        <v>3218924.5571169583</v>
      </c>
      <c r="Y97">
        <f t="shared" si="241"/>
        <v>3497090.86454436</v>
      </c>
      <c r="Z97">
        <f t="shared" si="242"/>
        <v>3791804.3980433363</v>
      </c>
      <c r="AA97">
        <f t="shared" si="243"/>
        <v>4104049.4992949329</v>
      </c>
      <c r="AB97">
        <f t="shared" si="244"/>
        <v>4434869.0653260211</v>
      </c>
      <c r="AC97">
        <f t="shared" si="245"/>
        <v>4785368.0317799831</v>
      </c>
      <c r="AD97">
        <f t="shared" si="246"/>
        <v>5156717.0633960636</v>
      </c>
      <c r="AE97">
        <f t="shared" si="247"/>
        <v>5550156.4640235472</v>
      </c>
      <c r="AI97">
        <f t="shared" si="224"/>
        <v>28398.44884543632</v>
      </c>
      <c r="AJ97">
        <f t="shared" si="248"/>
        <v>117543.87523418412</v>
      </c>
      <c r="AK97">
        <f t="shared" si="249"/>
        <v>212936.1453554045</v>
      </c>
      <c r="AL97">
        <f t="shared" si="250"/>
        <v>315013.00524048402</v>
      </c>
      <c r="AM97">
        <f t="shared" si="251"/>
        <v>424242.87586582149</v>
      </c>
      <c r="AN97">
        <f t="shared" si="252"/>
        <v>541127.00269202224</v>
      </c>
      <c r="AO97">
        <f t="shared" si="253"/>
        <v>666201.75583152031</v>
      </c>
      <c r="AP97">
        <f t="shared" si="254"/>
        <v>800041.09139987826</v>
      </c>
      <c r="AQ97">
        <f t="shared" si="255"/>
        <v>943259.18534567126</v>
      </c>
      <c r="AR97">
        <f t="shared" si="256"/>
        <v>1096513.2518453505</v>
      </c>
      <c r="AS97">
        <f t="shared" si="257"/>
        <v>1260506.5591964293</v>
      </c>
      <c r="AT97">
        <f t="shared" si="258"/>
        <v>1435991.6570486396</v>
      </c>
      <c r="AU97">
        <f t="shared" si="259"/>
        <v>1623773.8297825151</v>
      </c>
      <c r="AV97">
        <f t="shared" si="260"/>
        <v>1824714.7918826246</v>
      </c>
      <c r="AW97">
        <f t="shared" si="261"/>
        <v>2039736.6422631741</v>
      </c>
      <c r="AX97">
        <f t="shared" si="262"/>
        <v>2269826.095691992</v>
      </c>
      <c r="AY97">
        <f t="shared" si="263"/>
        <v>2516039.0107305166</v>
      </c>
      <c r="AZ97">
        <f t="shared" si="264"/>
        <v>2779505.2349680467</v>
      </c>
      <c r="BA97">
        <f t="shared" si="265"/>
        <v>3061433.7897845926</v>
      </c>
      <c r="BB97">
        <f t="shared" si="266"/>
        <v>3363118.4184347042</v>
      </c>
      <c r="BC97">
        <f t="shared" si="267"/>
        <v>3685943.5229118988</v>
      </c>
      <c r="BD97">
        <f t="shared" si="268"/>
        <v>4031390.5168373971</v>
      </c>
      <c r="BE97">
        <f t="shared" si="269"/>
        <v>4401044.6235259743</v>
      </c>
      <c r="BF97">
        <f t="shared" si="270"/>
        <v>4796602.1504245838</v>
      </c>
      <c r="BG97">
        <f t="shared" si="271"/>
        <v>5219878.273305485</v>
      </c>
      <c r="BH97">
        <f t="shared" si="272"/>
        <v>5672815.3659347733</v>
      </c>
      <c r="BI97">
        <f t="shared" si="273"/>
        <v>6157491.9134403784</v>
      </c>
      <c r="BJ97">
        <f t="shared" si="274"/>
        <v>6676132.050282117</v>
      </c>
    </row>
    <row r="98" spans="1:62" x14ac:dyDescent="0.3">
      <c r="A98">
        <f>0.0125/12</f>
        <v>1.0416666666666667E-3</v>
      </c>
      <c r="B98">
        <v>1.25</v>
      </c>
      <c r="D98">
        <f t="shared" si="222"/>
        <v>35443.477392318266</v>
      </c>
      <c r="E98">
        <f t="shared" si="226"/>
        <v>123600.56547872843</v>
      </c>
      <c r="F98">
        <f t="shared" si="226"/>
        <v>216304.85738748446</v>
      </c>
      <c r="G98">
        <f t="shared" si="226"/>
        <v>313790.90104945365</v>
      </c>
      <c r="H98">
        <f t="shared" si="227"/>
        <v>416960.76928587619</v>
      </c>
      <c r="I98">
        <f t="shared" si="228"/>
        <v>526016.70729445177</v>
      </c>
      <c r="J98">
        <f t="shared" si="229"/>
        <v>640985.94526410743</v>
      </c>
      <c r="K98">
        <f t="shared" si="275"/>
        <v>763274.19034160732</v>
      </c>
      <c r="L98">
        <f t="shared" si="276"/>
        <v>893247.84039733291</v>
      </c>
      <c r="M98">
        <f t="shared" si="277"/>
        <v>1031246.0202956711</v>
      </c>
      <c r="N98">
        <f t="shared" si="230"/>
        <v>1179274.3118882133</v>
      </c>
      <c r="O98">
        <f t="shared" si="231"/>
        <v>1336108.3342273154</v>
      </c>
      <c r="P98">
        <f t="shared" si="232"/>
        <v>1502271.9121382653</v>
      </c>
      <c r="Q98">
        <f t="shared" si="233"/>
        <v>1678320.0311138134</v>
      </c>
      <c r="R98">
        <f t="shared" si="234"/>
        <v>1864840.6909628608</v>
      </c>
      <c r="S98">
        <f t="shared" si="235"/>
        <v>2062456.869726782</v>
      </c>
      <c r="T98">
        <f t="shared" si="236"/>
        <v>2271828.6044228706</v>
      </c>
      <c r="U98">
        <f t="shared" si="237"/>
        <v>2493655.195564569</v>
      </c>
      <c r="V98">
        <f t="shared" si="238"/>
        <v>2728677.5428215759</v>
      </c>
      <c r="W98">
        <f t="shared" si="239"/>
        <v>2977680.619620922</v>
      </c>
      <c r="X98">
        <f t="shared" si="240"/>
        <v>3241496.0949541619</v>
      </c>
      <c r="Y98">
        <f t="shared" si="241"/>
        <v>3521005.1111475155</v>
      </c>
      <c r="Z98">
        <f t="shared" si="242"/>
        <v>3817141.2268726914</v>
      </c>
      <c r="AA98">
        <f t="shared" si="243"/>
        <v>4130893.5352280294</v>
      </c>
      <c r="AB98">
        <f t="shared" si="244"/>
        <v>4463309.9673043489</v>
      </c>
      <c r="AC98">
        <f t="shared" si="245"/>
        <v>4815500.7922693854</v>
      </c>
      <c r="AD98">
        <f t="shared" si="246"/>
        <v>5188642.3256610762</v>
      </c>
      <c r="AE98">
        <f t="shared" si="247"/>
        <v>5583980.8582753893</v>
      </c>
      <c r="AI98">
        <f t="shared" si="224"/>
        <v>35598.804065901488</v>
      </c>
      <c r="AJ98">
        <f t="shared" si="248"/>
        <v>125248.7935680096</v>
      </c>
      <c r="AK98">
        <f t="shared" si="249"/>
        <v>221180.98393811609</v>
      </c>
      <c r="AL98">
        <f t="shared" si="250"/>
        <v>323835.59885014518</v>
      </c>
      <c r="AM98">
        <f t="shared" si="251"/>
        <v>433683.71054322203</v>
      </c>
      <c r="AN98">
        <f t="shared" si="252"/>
        <v>551229.40152725903</v>
      </c>
      <c r="AO98">
        <f t="shared" si="253"/>
        <v>677012.07776952675</v>
      </c>
      <c r="AP98">
        <f t="shared" si="254"/>
        <v>811608.94397720159</v>
      </c>
      <c r="AQ98">
        <f t="shared" si="255"/>
        <v>955637.6523347277</v>
      </c>
      <c r="AR98">
        <f t="shared" si="256"/>
        <v>1109759.1368507952</v>
      </c>
      <c r="AS98">
        <f t="shared" si="257"/>
        <v>1274680.6463214811</v>
      </c>
      <c r="AT98">
        <f t="shared" si="258"/>
        <v>1451158.9898275349</v>
      </c>
      <c r="AU98">
        <f t="shared" si="259"/>
        <v>1640004.009659084</v>
      </c>
      <c r="AV98">
        <f t="shared" si="260"/>
        <v>1842082.2976046803</v>
      </c>
      <c r="AW98">
        <f t="shared" si="261"/>
        <v>2058321.1716583837</v>
      </c>
      <c r="AX98">
        <f t="shared" si="262"/>
        <v>2289712.9313936085</v>
      </c>
      <c r="AY98">
        <f t="shared" si="263"/>
        <v>2537319.4115312514</v>
      </c>
      <c r="AZ98">
        <f t="shared" si="264"/>
        <v>2802276.8545979657</v>
      </c>
      <c r="BA98">
        <f t="shared" si="265"/>
        <v>3085801.1250347733</v>
      </c>
      <c r="BB98">
        <f t="shared" si="266"/>
        <v>3389193.2886830447</v>
      </c>
      <c r="BC98">
        <f t="shared" si="267"/>
        <v>3713845.5832515801</v>
      </c>
      <c r="BD98">
        <f t="shared" si="268"/>
        <v>4061247.807162697</v>
      </c>
      <c r="BE98">
        <f t="shared" si="269"/>
        <v>4432994.1560951313</v>
      </c>
      <c r="BF98">
        <f t="shared" si="270"/>
        <v>4830790.5385959866</v>
      </c>
      <c r="BG98">
        <f t="shared" si="271"/>
        <v>5256462.4043323938</v>
      </c>
      <c r="BH98">
        <f t="shared" si="272"/>
        <v>5711963.1209059637</v>
      </c>
      <c r="BI98">
        <f t="shared" si="273"/>
        <v>6199382.9376704507</v>
      </c>
      <c r="BJ98">
        <f t="shared" si="274"/>
        <v>6720958.577686714</v>
      </c>
    </row>
    <row r="99" spans="1:62" x14ac:dyDescent="0.3">
      <c r="A99">
        <f>0.01/12</f>
        <v>8.3333333333333339E-4</v>
      </c>
      <c r="B99">
        <v>1</v>
      </c>
      <c r="D99">
        <f t="shared" si="222"/>
        <v>42621.739997365999</v>
      </c>
      <c r="E99">
        <f t="shared" si="226"/>
        <v>131149.0878537391</v>
      </c>
      <c r="F99">
        <f t="shared" si="226"/>
        <v>224242.73778851188</v>
      </c>
      <c r="G99">
        <f t="shared" si="226"/>
        <v>322138.22283386136</v>
      </c>
      <c r="H99">
        <f t="shared" si="227"/>
        <v>425830.4362784269</v>
      </c>
      <c r="I99">
        <f t="shared" si="228"/>
        <v>535367.31097362028</v>
      </c>
      <c r="J99">
        <f t="shared" si="229"/>
        <v>650843.56328272214</v>
      </c>
      <c r="K99">
        <f t="shared" si="275"/>
        <v>773832.85710098548</v>
      </c>
      <c r="L99">
        <f t="shared" si="276"/>
        <v>904406.98541996861</v>
      </c>
      <c r="M99">
        <f t="shared" si="277"/>
        <v>1043257.6338356383</v>
      </c>
      <c r="N99">
        <f t="shared" si="230"/>
        <v>1192000.4579916976</v>
      </c>
      <c r="O99">
        <f t="shared" si="231"/>
        <v>1349591.5181566307</v>
      </c>
      <c r="P99">
        <f t="shared" si="232"/>
        <v>1516557.1676581567</v>
      </c>
      <c r="Q99">
        <f t="shared" si="233"/>
        <v>1693455.0709039997</v>
      </c>
      <c r="R99">
        <f t="shared" si="234"/>
        <v>1880876.0659781387</v>
      </c>
      <c r="S99">
        <f t="shared" si="235"/>
        <v>2079446.1380369531</v>
      </c>
      <c r="T99">
        <f t="shared" si="236"/>
        <v>2289828.5100964196</v>
      </c>
      <c r="U99">
        <f t="shared" si="237"/>
        <v>2512725.8581935591</v>
      </c>
      <c r="V99">
        <f t="shared" si="238"/>
        <v>2748882.6583207753</v>
      </c>
      <c r="W99">
        <f t="shared" si="239"/>
        <v>2999087.6729718326</v>
      </c>
      <c r="X99">
        <f t="shared" si="240"/>
        <v>3264176.5856045056</v>
      </c>
      <c r="Y99">
        <f t="shared" si="241"/>
        <v>3545034.7918190244</v>
      </c>
      <c r="Z99">
        <f t="shared" si="242"/>
        <v>3842600.3565748059</v>
      </c>
      <c r="AA99">
        <f t="shared" si="243"/>
        <v>4157867.1473225751</v>
      </c>
      <c r="AB99">
        <f t="shared" si="244"/>
        <v>4491888.1535165263</v>
      </c>
      <c r="AC99">
        <f t="shared" si="245"/>
        <v>4845779.0035936693</v>
      </c>
      <c r="AD99">
        <f t="shared" si="246"/>
        <v>5220721.6911670417</v>
      </c>
      <c r="AE99">
        <f t="shared" si="247"/>
        <v>5617968.5228782846</v>
      </c>
      <c r="AI99">
        <f t="shared" si="224"/>
        <v>42839.913296914492</v>
      </c>
      <c r="AJ99">
        <f t="shared" si="248"/>
        <v>132997.32173960452</v>
      </c>
      <c r="AK99">
        <f t="shared" si="249"/>
        <v>229472.48830720581</v>
      </c>
      <c r="AL99">
        <f t="shared" si="250"/>
        <v>332708.12833963701</v>
      </c>
      <c r="AM99">
        <f t="shared" si="251"/>
        <v>443177.98034489667</v>
      </c>
      <c r="AN99">
        <f t="shared" si="252"/>
        <v>561388.97993990337</v>
      </c>
      <c r="AO99">
        <f t="shared" si="253"/>
        <v>687883.58612970228</v>
      </c>
      <c r="AP99">
        <f t="shared" si="254"/>
        <v>823242.2706001125</v>
      </c>
      <c r="AQ99">
        <f t="shared" si="255"/>
        <v>968086.18144694227</v>
      </c>
      <c r="AR99">
        <f t="shared" si="256"/>
        <v>1123079.9935653708</v>
      </c>
      <c r="AS99">
        <f t="shared" si="257"/>
        <v>1288934.9587796608</v>
      </c>
      <c r="AT99">
        <f t="shared" si="258"/>
        <v>1466412.1697099588</v>
      </c>
      <c r="AU99">
        <f t="shared" si="259"/>
        <v>1656326.0523537544</v>
      </c>
      <c r="AV99">
        <f t="shared" si="260"/>
        <v>1859548.1034091227</v>
      </c>
      <c r="AW99">
        <f t="shared" si="261"/>
        <v>2077010.8894899702</v>
      </c>
      <c r="AX99">
        <f t="shared" si="262"/>
        <v>2309712.3265852961</v>
      </c>
      <c r="AY99">
        <f t="shared" si="263"/>
        <v>2558720.2594005181</v>
      </c>
      <c r="AZ99">
        <f t="shared" si="264"/>
        <v>2825177.3615949904</v>
      </c>
      <c r="BA99">
        <f t="shared" si="265"/>
        <v>3110306.3794024698</v>
      </c>
      <c r="BB99">
        <f t="shared" si="266"/>
        <v>3415415.7426969907</v>
      </c>
      <c r="BC99">
        <f t="shared" si="267"/>
        <v>3741905.5692527839</v>
      </c>
      <c r="BD99">
        <f t="shared" si="268"/>
        <v>4091274.089751238</v>
      </c>
      <c r="BE99">
        <f t="shared" si="269"/>
        <v>4465124.5230186293</v>
      </c>
      <c r="BF99">
        <f t="shared" si="270"/>
        <v>4865172.4330444401</v>
      </c>
      <c r="BG99">
        <f t="shared" si="271"/>
        <v>5293253.6015409147</v>
      </c>
      <c r="BH99">
        <f t="shared" si="272"/>
        <v>5751332.452170291</v>
      </c>
      <c r="BI99">
        <f t="shared" si="273"/>
        <v>6241511.0650976654</v>
      </c>
      <c r="BJ99">
        <f t="shared" si="274"/>
        <v>6766038.8232364208</v>
      </c>
    </row>
    <row r="100" spans="1:62" x14ac:dyDescent="0.3">
      <c r="D100">
        <f t="shared" si="222"/>
        <v>49830.151305354935</v>
      </c>
      <c r="E100">
        <f t="shared" si="226"/>
        <v>138729.31402272481</v>
      </c>
      <c r="F100">
        <f t="shared" si="226"/>
        <v>232213.95728722363</v>
      </c>
      <c r="G100">
        <f t="shared" si="226"/>
        <v>330520.60336976359</v>
      </c>
      <c r="H100">
        <f t="shared" si="227"/>
        <v>434739.21850241476</v>
      </c>
      <c r="I100">
        <f t="shared" si="228"/>
        <v>544759.15081501391</v>
      </c>
      <c r="J100">
        <f t="shared" si="229"/>
        <v>660744.653396799</v>
      </c>
      <c r="K100">
        <f t="shared" si="275"/>
        <v>784440.30490079208</v>
      </c>
      <c r="L100">
        <f t="shared" si="276"/>
        <v>915617.68569260894</v>
      </c>
      <c r="M100">
        <f t="shared" si="277"/>
        <v>1055327.227434163</v>
      </c>
      <c r="N100">
        <f t="shared" si="230"/>
        <v>1204788.0332024237</v>
      </c>
      <c r="O100">
        <f t="shared" si="231"/>
        <v>1363139.7854147728</v>
      </c>
      <c r="P100">
        <f t="shared" si="232"/>
        <v>1530911.3781064425</v>
      </c>
      <c r="Q100">
        <f t="shared" si="233"/>
        <v>1708663.1675312533</v>
      </c>
      <c r="R100">
        <f t="shared" si="234"/>
        <v>1896988.8437486151</v>
      </c>
      <c r="S100">
        <f t="shared" si="235"/>
        <v>2096517.4135452572</v>
      </c>
      <c r="T100">
        <f t="shared" si="236"/>
        <v>2307915.3013146548</v>
      </c>
      <c r="U100">
        <f t="shared" si="237"/>
        <v>2531888.5749110593</v>
      </c>
      <c r="V100">
        <f t="shared" si="238"/>
        <v>2769185.3039124897</v>
      </c>
      <c r="W100">
        <f t="shared" si="239"/>
        <v>3020598.0581692676</v>
      </c>
      <c r="X100">
        <f t="shared" si="240"/>
        <v>3286966.5549832187</v>
      </c>
      <c r="Y100">
        <f t="shared" si="241"/>
        <v>3569180.463759135</v>
      </c>
      <c r="Z100">
        <f t="shared" si="242"/>
        <v>3868182.3774959925</v>
      </c>
      <c r="AA100">
        <f t="shared" si="243"/>
        <v>4184970.9610427013</v>
      </c>
      <c r="AB100">
        <f t="shared" si="244"/>
        <v>4520604.2866335502</v>
      </c>
      <c r="AC100">
        <f t="shared" si="245"/>
        <v>4876203.3678440163</v>
      </c>
      <c r="AD100">
        <f t="shared" si="246"/>
        <v>5252955.9037703043</v>
      </c>
      <c r="AE100">
        <f t="shared" si="247"/>
        <v>5652120.2459382182</v>
      </c>
      <c r="AI100">
        <f t="shared" si="224"/>
        <v>50122.007206175025</v>
      </c>
      <c r="AJ100">
        <f t="shared" si="248"/>
        <v>140789.70658065067</v>
      </c>
      <c r="AK100">
        <f t="shared" si="249"/>
        <v>237810.9225910246</v>
      </c>
      <c r="AL100">
        <f t="shared" si="250"/>
        <v>341630.87634603935</v>
      </c>
      <c r="AM100">
        <f t="shared" si="251"/>
        <v>452725.98771364876</v>
      </c>
      <c r="AN100">
        <f t="shared" si="252"/>
        <v>571606.06156636321</v>
      </c>
      <c r="AO100">
        <f t="shared" si="253"/>
        <v>698816.62722719635</v>
      </c>
      <c r="AP100">
        <f t="shared" si="254"/>
        <v>834941.44185170915</v>
      </c>
      <c r="AQ100">
        <f t="shared" si="255"/>
        <v>980605.16923393193</v>
      </c>
      <c r="AR100">
        <f t="shared" si="256"/>
        <v>1136476.2463289509</v>
      </c>
      <c r="AS100">
        <f t="shared" si="257"/>
        <v>1303269.9506463537</v>
      </c>
      <c r="AT100">
        <f t="shared" si="258"/>
        <v>1481751.6825905172</v>
      </c>
      <c r="AU100">
        <f t="shared" si="259"/>
        <v>1672740.4778100767</v>
      </c>
      <c r="AV100">
        <f t="shared" si="260"/>
        <v>1877112.7656744183</v>
      </c>
      <c r="AW100">
        <f t="shared" si="261"/>
        <v>2095806.3911244834</v>
      </c>
      <c r="AX100">
        <f t="shared" si="262"/>
        <v>2329824.918353769</v>
      </c>
      <c r="AY100">
        <f t="shared" si="263"/>
        <v>2580242.2360687251</v>
      </c>
      <c r="AZ100">
        <f t="shared" si="264"/>
        <v>2848207.4854616178</v>
      </c>
      <c r="BA100">
        <f t="shared" si="265"/>
        <v>3134950.333509888</v>
      </c>
      <c r="BB100">
        <f t="shared" si="266"/>
        <v>3441786.6158006559</v>
      </c>
      <c r="BC100">
        <f t="shared" si="267"/>
        <v>3770124.3747747545</v>
      </c>
      <c r="BD100">
        <f t="shared" si="268"/>
        <v>4121470.3210992301</v>
      </c>
      <c r="BE100">
        <f t="shared" si="269"/>
        <v>4497436.7478189152</v>
      </c>
      <c r="BF100">
        <f t="shared" si="270"/>
        <v>4899748.9290154716</v>
      </c>
      <c r="BG100">
        <f t="shared" si="271"/>
        <v>5330253.0369256362</v>
      </c>
      <c r="BH100">
        <f t="shared" si="272"/>
        <v>5790924.6138495747</v>
      </c>
      <c r="BI100">
        <f t="shared" si="273"/>
        <v>6283877.6377261179</v>
      </c>
      <c r="BJ100">
        <f t="shared" si="274"/>
        <v>6811374.2229759386</v>
      </c>
    </row>
    <row r="101" spans="1:62" x14ac:dyDescent="0.3">
      <c r="D101">
        <f t="shared" si="222"/>
        <v>57068.837940837424</v>
      </c>
      <c r="E101">
        <f t="shared" si="226"/>
        <v>146341.37714162024</v>
      </c>
      <c r="F101">
        <f t="shared" si="226"/>
        <v>240218.65590782996</v>
      </c>
      <c r="G101">
        <f t="shared" si="226"/>
        <v>338938.18990391662</v>
      </c>
      <c r="H101">
        <f t="shared" si="227"/>
        <v>443687.28845601046</v>
      </c>
      <c r="I101">
        <f t="shared" si="228"/>
        <v>554192.40867010818</v>
      </c>
      <c r="J101">
        <f t="shared" si="229"/>
        <v>670689.40731827891</v>
      </c>
      <c r="K101">
        <f t="shared" si="275"/>
        <v>795096.75910943374</v>
      </c>
      <c r="L101">
        <f t="shared" si="276"/>
        <v>926880.17940050876</v>
      </c>
      <c r="M101">
        <f t="shared" si="277"/>
        <v>1067455.0809609876</v>
      </c>
      <c r="N101">
        <f t="shared" si="230"/>
        <v>1217637.3340386918</v>
      </c>
      <c r="O101">
        <f t="shared" si="231"/>
        <v>1376753.45015897</v>
      </c>
      <c r="P101">
        <f t="shared" si="232"/>
        <v>1545334.8763285622</v>
      </c>
      <c r="Q101">
        <f t="shared" si="233"/>
        <v>1723944.6736409268</v>
      </c>
      <c r="R101">
        <f t="shared" si="234"/>
        <v>1913179.3978973897</v>
      </c>
      <c r="S101">
        <f t="shared" si="235"/>
        <v>2113671.0921004405</v>
      </c>
      <c r="T101">
        <f t="shared" si="236"/>
        <v>2326089.3974741008</v>
      </c>
      <c r="U101">
        <f t="shared" si="237"/>
        <v>2551143.7900621551</v>
      </c>
      <c r="V101">
        <f t="shared" si="238"/>
        <v>2789585.9503744752</v>
      </c>
      <c r="W101">
        <f t="shared" si="239"/>
        <v>3042212.2739960505</v>
      </c>
      <c r="X101">
        <f t="shared" si="240"/>
        <v>3309866.5315441224</v>
      </c>
      <c r="Y101">
        <f t="shared" si="241"/>
        <v>3593442.6868577003</v>
      </c>
      <c r="Z101">
        <f t="shared" si="242"/>
        <v>3893887.8828321658</v>
      </c>
      <c r="AA101">
        <f t="shared" si="243"/>
        <v>4212205.604871654</v>
      </c>
      <c r="AB101">
        <f t="shared" si="244"/>
        <v>4549459.0325251305</v>
      </c>
      <c r="AC101">
        <f t="shared" si="245"/>
        <v>4906774.5905005997</v>
      </c>
      <c r="AD101">
        <f t="shared" si="246"/>
        <v>5285345.7109178035</v>
      </c>
      <c r="AE101">
        <f t="shared" si="247"/>
        <v>5686436.8193653617</v>
      </c>
      <c r="AI101">
        <f t="shared" si="224"/>
        <v>57445.317766961976</v>
      </c>
      <c r="AJ101">
        <f t="shared" si="248"/>
        <v>148626.19631989716</v>
      </c>
      <c r="AK101">
        <f t="shared" si="249"/>
        <v>246196.55241288981</v>
      </c>
      <c r="AL101">
        <f t="shared" si="250"/>
        <v>350604.12710615795</v>
      </c>
      <c r="AM101">
        <f t="shared" si="251"/>
        <v>462328.03680410801</v>
      </c>
      <c r="AN101">
        <f t="shared" si="252"/>
        <v>581880.9718748288</v>
      </c>
      <c r="AO101">
        <f t="shared" si="253"/>
        <v>709811.54933730233</v>
      </c>
      <c r="AP101">
        <f t="shared" si="254"/>
        <v>846706.83041258983</v>
      </c>
      <c r="AQ101">
        <f t="shared" si="255"/>
        <v>993195.01449179603</v>
      </c>
      <c r="AR101">
        <f t="shared" si="256"/>
        <v>1149948.3218831727</v>
      </c>
      <c r="AS101">
        <f t="shared" si="257"/>
        <v>1317686.078567012</v>
      </c>
      <c r="AT101">
        <f t="shared" si="258"/>
        <v>1497178.0171139794</v>
      </c>
      <c r="AU101">
        <f t="shared" si="259"/>
        <v>1689247.8089144817</v>
      </c>
      <c r="AV101">
        <f t="shared" si="260"/>
        <v>1894776.8439281355</v>
      </c>
      <c r="AW101">
        <f t="shared" si="261"/>
        <v>2114708.2752982476</v>
      </c>
      <c r="AX101">
        <f t="shared" si="262"/>
        <v>2350051.3473916515</v>
      </c>
      <c r="AY101">
        <f t="shared" si="263"/>
        <v>2601886.0271248743</v>
      </c>
      <c r="AZ101">
        <f t="shared" si="264"/>
        <v>2871367.9598293304</v>
      </c>
      <c r="BA101">
        <f t="shared" si="265"/>
        <v>3159733.772397554</v>
      </c>
      <c r="BB101">
        <f t="shared" si="266"/>
        <v>3468306.7480460876</v>
      </c>
      <c r="BC101">
        <f t="shared" si="267"/>
        <v>3798502.8987359796</v>
      </c>
      <c r="BD101">
        <f t="shared" si="268"/>
        <v>4151837.4631166519</v>
      </c>
      <c r="BE101">
        <f t="shared" si="269"/>
        <v>4529931.8598115705</v>
      </c>
      <c r="BF101">
        <f t="shared" si="270"/>
        <v>4934521.1279536989</v>
      </c>
      <c r="BG101">
        <f t="shared" si="271"/>
        <v>5367461.8891146351</v>
      </c>
      <c r="BH101">
        <f t="shared" si="272"/>
        <v>5830740.8671639636</v>
      </c>
      <c r="BI101">
        <f t="shared" si="273"/>
        <v>6326484.0051556481</v>
      </c>
      <c r="BJ101">
        <f t="shared" si="274"/>
        <v>6856966.2210779823</v>
      </c>
    </row>
    <row r="102" spans="1:62" x14ac:dyDescent="0.3">
      <c r="D102">
        <f t="shared" si="222"/>
        <v>64337.927060188937</v>
      </c>
      <c r="E102">
        <f t="shared" si="226"/>
        <v>153985.41092561506</v>
      </c>
      <c r="F102">
        <f t="shared" si="226"/>
        <v>248256.97426264285</v>
      </c>
      <c r="G102">
        <f t="shared" si="226"/>
        <v>347391.13030151307</v>
      </c>
      <c r="H102">
        <f t="shared" si="227"/>
        <v>452674.81939810148</v>
      </c>
      <c r="I102">
        <f t="shared" si="228"/>
        <v>563667.26719234337</v>
      </c>
      <c r="J102">
        <f t="shared" si="229"/>
        <v>680678.01760455256</v>
      </c>
      <c r="K102">
        <f t="shared" si="275"/>
        <v>805802.44613651943</v>
      </c>
      <c r="L102">
        <f t="shared" si="276"/>
        <v>938194.7058293391</v>
      </c>
      <c r="M102">
        <f t="shared" si="277"/>
        <v>1079641.4756367863</v>
      </c>
      <c r="N102">
        <f t="shared" si="230"/>
        <v>1230548.6584500966</v>
      </c>
      <c r="O102">
        <f t="shared" si="231"/>
        <v>1390432.8280628873</v>
      </c>
      <c r="P102">
        <f t="shared" si="232"/>
        <v>1559827.9967766001</v>
      </c>
      <c r="Q102">
        <f t="shared" si="233"/>
        <v>1739299.9435805916</v>
      </c>
      <c r="R102">
        <f t="shared" si="234"/>
        <v>1929448.1038510404</v>
      </c>
      <c r="S102">
        <f t="shared" si="235"/>
        <v>2130907.5714620096</v>
      </c>
      <c r="T102">
        <f t="shared" si="236"/>
        <v>2344351.2199957087</v>
      </c>
      <c r="U102">
        <f t="shared" si="237"/>
        <v>2570491.9501367849</v>
      </c>
      <c r="V102">
        <f t="shared" si="238"/>
        <v>2810085.0707569327</v>
      </c>
      <c r="W102">
        <f t="shared" si="239"/>
        <v>3063930.8216426293</v>
      </c>
      <c r="X102">
        <f t="shared" si="240"/>
        <v>3332877.0462918854</v>
      </c>
      <c r="Y102">
        <f t="shared" si="241"/>
        <v>3617822.0237071626</v>
      </c>
      <c r="Z102">
        <f t="shared" si="242"/>
        <v>3919717.4686425966</v>
      </c>
      <c r="AA102">
        <f t="shared" si="243"/>
        <v>4239571.7103263689</v>
      </c>
      <c r="AB102">
        <f t="shared" si="244"/>
        <v>4578453.06027513</v>
      </c>
      <c r="AC102">
        <f t="shared" si="245"/>
        <v>4937493.3804489458</v>
      </c>
      <c r="AD102">
        <f t="shared" si="246"/>
        <v>5317891.8636644036</v>
      </c>
      <c r="AE102">
        <f t="shared" si="247"/>
        <v>5720919.0388924377</v>
      </c>
      <c r="AI102">
        <f t="shared" si="224"/>
        <v>64810.078265522978</v>
      </c>
      <c r="AJ102">
        <f t="shared" si="248"/>
        <v>156507.04059106778</v>
      </c>
      <c r="AK102">
        <f t="shared" si="249"/>
        <v>254629.64489954678</v>
      </c>
      <c r="AL102">
        <f t="shared" si="250"/>
        <v>359628.16646557878</v>
      </c>
      <c r="AM102">
        <f t="shared" si="251"/>
        <v>471984.43349241925</v>
      </c>
      <c r="AN102">
        <f t="shared" si="252"/>
        <v>592214.03817564028</v>
      </c>
      <c r="AO102">
        <f t="shared" si="253"/>
        <v>720868.70270655141</v>
      </c>
      <c r="AP102">
        <f t="shared" si="254"/>
        <v>858538.8110727251</v>
      </c>
      <c r="AQ102">
        <f t="shared" si="255"/>
        <v>1005856.1182738196</v>
      </c>
      <c r="AR102">
        <f t="shared" si="256"/>
        <v>1163496.6493850315</v>
      </c>
      <c r="AS102">
        <f t="shared" si="257"/>
        <v>1332183.8017717013</v>
      </c>
      <c r="AT102">
        <f t="shared" si="258"/>
        <v>1512691.6646908445</v>
      </c>
      <c r="AU102">
        <f t="shared" si="259"/>
        <v>1705848.5715129375</v>
      </c>
      <c r="AV102">
        <f t="shared" si="260"/>
        <v>1912540.9008647688</v>
      </c>
      <c r="AW102">
        <f t="shared" si="261"/>
        <v>2133717.1441364358</v>
      </c>
      <c r="AX102">
        <f t="shared" si="262"/>
        <v>2370392.2580178883</v>
      </c>
      <c r="AY102">
        <f t="shared" si="263"/>
        <v>2623652.3220384009</v>
      </c>
      <c r="AZ102">
        <f t="shared" si="264"/>
        <v>2894659.5224819644</v>
      </c>
      <c r="BA102">
        <f t="shared" si="265"/>
        <v>3184657.4855493242</v>
      </c>
      <c r="BB102">
        <f t="shared" si="266"/>
        <v>3494976.9842400285</v>
      </c>
      <c r="BC102">
        <f t="shared" si="267"/>
        <v>3827042.0451428252</v>
      </c>
      <c r="BD102">
        <f t="shared" si="268"/>
        <v>4182376.4831578922</v>
      </c>
      <c r="BE102">
        <f t="shared" si="269"/>
        <v>4562610.8941381043</v>
      </c>
      <c r="BF102">
        <f t="shared" si="270"/>
        <v>4969490.1375379171</v>
      </c>
      <c r="BG102">
        <f t="shared" si="271"/>
        <v>5404881.3434070237</v>
      </c>
      <c r="BH102">
        <f t="shared" si="272"/>
        <v>5870782.4804721121</v>
      </c>
      <c r="BI102">
        <f t="shared" si="273"/>
        <v>6369331.5246248292</v>
      </c>
      <c r="BJ102">
        <f t="shared" si="274"/>
        <v>6902816.2698892839</v>
      </c>
    </row>
    <row r="103" spans="1:62" x14ac:dyDescent="0.3">
      <c r="D103">
        <f t="shared" si="222"/>
        <v>71637.546353841724</v>
      </c>
      <c r="E103">
        <f t="shared" ref="E103:F105" si="278">(E102+7000)*1.00566-(0.00146*(E102+7000))</f>
        <v>161661.54965150263</v>
      </c>
      <c r="F103">
        <f t="shared" si="278"/>
        <v>256329.05355454594</v>
      </c>
      <c r="G103">
        <f>(G102+7000)*1.00566-(0.00125*(G102+7000))</f>
        <v>355953.99518614274</v>
      </c>
      <c r="H103">
        <f t="shared" si="227"/>
        <v>461701.98535164708</v>
      </c>
      <c r="I103">
        <f t="shared" si="228"/>
        <v>573183.90984066157</v>
      </c>
      <c r="J103">
        <f t="shared" si="229"/>
        <v>690710.67766218865</v>
      </c>
      <c r="K103">
        <f t="shared" si="275"/>
        <v>816557.59343767015</v>
      </c>
      <c r="L103">
        <f t="shared" si="276"/>
        <v>949561.50537027058</v>
      </c>
      <c r="M103">
        <f t="shared" si="277"/>
        <v>1091886.694039685</v>
      </c>
      <c r="N103">
        <f t="shared" si="230"/>
        <v>1243522.3058244351</v>
      </c>
      <c r="O103">
        <f t="shared" si="231"/>
        <v>1404178.2363239469</v>
      </c>
      <c r="P103">
        <f t="shared" si="232"/>
        <v>1574391.0755170409</v>
      </c>
      <c r="Q103">
        <f t="shared" si="233"/>
        <v>1754729.3334082551</v>
      </c>
      <c r="R103">
        <f t="shared" si="234"/>
        <v>1945795.3388483291</v>
      </c>
      <c r="S103">
        <f t="shared" si="235"/>
        <v>2148227.2513094568</v>
      </c>
      <c r="T103">
        <f t="shared" si="236"/>
        <v>2362701.1923346277</v>
      </c>
      <c r="U103">
        <f t="shared" si="237"/>
        <v>2589933.5037800949</v>
      </c>
      <c r="V103">
        <f t="shared" si="238"/>
        <v>2830683.1403934765</v>
      </c>
      <c r="W103">
        <f t="shared" si="239"/>
        <v>3085754.2047186983</v>
      </c>
      <c r="X103">
        <f t="shared" si="240"/>
        <v>3355998.6327943364</v>
      </c>
      <c r="Y103">
        <f t="shared" si="241"/>
        <v>3642319.0396155971</v>
      </c>
      <c r="Z103">
        <f t="shared" si="242"/>
        <v>3945671.7338637346</v>
      </c>
      <c r="AA103">
        <f t="shared" si="243"/>
        <v>4267069.9119721139</v>
      </c>
      <c r="AB103">
        <f t="shared" si="244"/>
        <v>4607587.0421970775</v>
      </c>
      <c r="AC103">
        <f t="shared" si="245"/>
        <v>4968360.4499963727</v>
      </c>
      <c r="AD103">
        <f t="shared" si="246"/>
        <v>5350595.1166903116</v>
      </c>
      <c r="AE103">
        <f t="shared" si="247"/>
        <v>5755567.7040931713</v>
      </c>
      <c r="AI103">
        <f t="shared" si="224"/>
        <v>72216.523308505843</v>
      </c>
      <c r="AJ103">
        <f t="shared" si="248"/>
        <v>164432.49044081321</v>
      </c>
      <c r="AK103">
        <f t="shared" si="249"/>
        <v>263110.46868967824</v>
      </c>
      <c r="AL103">
        <f t="shared" si="250"/>
        <v>368703.28188777395</v>
      </c>
      <c r="AM103">
        <f t="shared" si="251"/>
        <v>481695.48538598634</v>
      </c>
      <c r="AN103">
        <f t="shared" si="252"/>
        <v>602605.58963171439</v>
      </c>
      <c r="AO103">
        <f t="shared" si="253"/>
        <v>731988.43956387055</v>
      </c>
      <c r="AP103">
        <f t="shared" si="254"/>
        <v>870437.76074339671</v>
      </c>
      <c r="AQ103">
        <f t="shared" si="255"/>
        <v>1018588.8839032494</v>
      </c>
      <c r="AR103">
        <f t="shared" si="256"/>
        <v>1177121.6604205507</v>
      </c>
      <c r="AS103">
        <f t="shared" si="257"/>
        <v>1346763.5820897291</v>
      </c>
      <c r="AT103">
        <f t="shared" si="258"/>
        <v>1528293.1195129948</v>
      </c>
      <c r="AU103">
        <f t="shared" si="259"/>
        <v>1722543.2944277008</v>
      </c>
      <c r="AV103">
        <f t="shared" si="260"/>
        <v>1930405.5023636634</v>
      </c>
      <c r="AW103">
        <f t="shared" si="261"/>
        <v>2152833.6031722482</v>
      </c>
      <c r="AX103">
        <f t="shared" si="262"/>
        <v>2390848.2981982697</v>
      </c>
      <c r="AY103">
        <f t="shared" si="263"/>
        <v>2645541.8141811383</v>
      </c>
      <c r="AZ103">
        <f t="shared" si="264"/>
        <v>2918082.9153792122</v>
      </c>
      <c r="BA103">
        <f t="shared" si="265"/>
        <v>3209722.2669175332</v>
      </c>
      <c r="BB103">
        <f t="shared" si="266"/>
        <v>3521798.1739708269</v>
      </c>
      <c r="BC103">
        <f t="shared" si="267"/>
        <v>3855742.7231183336</v>
      </c>
      <c r="BD103">
        <f t="shared" si="268"/>
        <v>4213088.354052566</v>
      </c>
      <c r="BE103">
        <f t="shared" si="269"/>
        <v>4595474.8917989256</v>
      </c>
      <c r="BF103">
        <f t="shared" si="270"/>
        <v>5004657.0717163822</v>
      </c>
      <c r="BG103">
        <f t="shared" si="271"/>
        <v>5442512.591810707</v>
      </c>
      <c r="BH103">
        <f t="shared" si="272"/>
        <v>5911050.7293115845</v>
      </c>
      <c r="BI103">
        <f t="shared" si="273"/>
        <v>6412421.5610542055</v>
      </c>
      <c r="BJ103">
        <f t="shared" si="274"/>
        <v>6948925.8299768576</v>
      </c>
    </row>
    <row r="104" spans="1:62" x14ac:dyDescent="0.3">
      <c r="D104">
        <f t="shared" si="222"/>
        <v>78967.824048527851</v>
      </c>
      <c r="E104">
        <f t="shared" si="278"/>
        <v>169369.92816003895</v>
      </c>
      <c r="F104">
        <f t="shared" si="278"/>
        <v>264435.03557947505</v>
      </c>
      <c r="G104">
        <f>(G103+7000)*1.00566-(0.00125*(G103+7000))</f>
        <v>364554.62230491365</v>
      </c>
      <c r="H104">
        <f>(H103+7000)*1.00566-(0.00125*(H103+7000))</f>
        <v>470768.96110704786</v>
      </c>
      <c r="I104">
        <f>(I103+7000)*1.00566-(0.00125*(I103+7000))</f>
        <v>582742.5208830589</v>
      </c>
      <c r="J104">
        <f>(J103+7000)*1.00566-(0.00104*(J103+7000))</f>
        <v>700934.10099298786</v>
      </c>
      <c r="K104">
        <f t="shared" si="275"/>
        <v>827362.42951935227</v>
      </c>
      <c r="L104">
        <f t="shared" si="276"/>
        <v>960980.8195250812</v>
      </c>
      <c r="M104">
        <f t="shared" si="277"/>
        <v>1104191.0201118146</v>
      </c>
      <c r="N104">
        <f t="shared" si="230"/>
        <v>1256558.5769946496</v>
      </c>
      <c r="O104">
        <f t="shared" si="231"/>
        <v>1417989.9936706827</v>
      </c>
      <c r="P104">
        <f t="shared" si="232"/>
        <v>1589024.4502385617</v>
      </c>
      <c r="Q104">
        <f t="shared" si="233"/>
        <v>1770233.2009006168</v>
      </c>
      <c r="R104">
        <f t="shared" si="234"/>
        <v>1962221.4819489501</v>
      </c>
      <c r="S104">
        <f t="shared" si="235"/>
        <v>2165630.5332515277</v>
      </c>
      <c r="T104">
        <f t="shared" si="236"/>
        <v>2381139.7399900267</v>
      </c>
      <c r="U104">
        <f t="shared" si="237"/>
        <v>2609468.9018028416</v>
      </c>
      <c r="V104">
        <f t="shared" si="238"/>
        <v>2851380.6369121559</v>
      </c>
      <c r="W104">
        <f t="shared" si="239"/>
        <v>3107682.9292648751</v>
      </c>
      <c r="X104">
        <f t="shared" si="240"/>
        <v>3379231.8271948351</v>
      </c>
      <c r="Y104">
        <f t="shared" si="241"/>
        <v>3666934.3026198214</v>
      </c>
      <c r="Z104">
        <f t="shared" si="242"/>
        <v>3971751.2803230947</v>
      </c>
      <c r="AA104">
        <f t="shared" si="243"/>
        <v>4294700.8474372029</v>
      </c>
      <c r="AB104">
        <f t="shared" si="244"/>
        <v>4636861.6538497629</v>
      </c>
      <c r="AC104">
        <f t="shared" si="245"/>
        <v>4999376.5148885055</v>
      </c>
      <c r="AD104">
        <f t="shared" si="246"/>
        <v>5383456.2283185758</v>
      </c>
      <c r="AE104">
        <f t="shared" si="247"/>
        <v>5790383.6184008289</v>
      </c>
      <c r="AI104">
        <f t="shared" si="224"/>
        <v>79664.888830431984</v>
      </c>
      <c r="AJ104">
        <f t="shared" si="248"/>
        <v>172402.79833670822</v>
      </c>
      <c r="AK104">
        <f t="shared" si="249"/>
        <v>271639.29394246184</v>
      </c>
      <c r="AL104">
        <f t="shared" si="250"/>
        <v>377829.76246325875</v>
      </c>
      <c r="AM104">
        <f t="shared" si="251"/>
        <v>491461.501833271</v>
      </c>
      <c r="AN104">
        <f t="shared" si="252"/>
        <v>613055.95726902992</v>
      </c>
      <c r="AO104">
        <f t="shared" si="253"/>
        <v>743171.11413180199</v>
      </c>
      <c r="AP104">
        <f t="shared" si="254"/>
        <v>882404.05846920435</v>
      </c>
      <c r="AQ104">
        <f t="shared" si="255"/>
        <v>1031393.7169861417</v>
      </c>
      <c r="AR104">
        <f t="shared" si="256"/>
        <v>1190823.7890185311</v>
      </c>
      <c r="AS104">
        <f t="shared" si="257"/>
        <v>1361425.883964357</v>
      </c>
      <c r="AT104">
        <f t="shared" si="258"/>
        <v>1543982.8785694384</v>
      </c>
      <c r="AU104">
        <f t="shared" si="259"/>
        <v>1739332.5094741615</v>
      </c>
      <c r="AV104">
        <f t="shared" si="260"/>
        <v>1948371.2175070418</v>
      </c>
      <c r="AW104">
        <f t="shared" si="261"/>
        <v>2172058.261366203</v>
      </c>
      <c r="AX104">
        <f t="shared" si="262"/>
        <v>2411420.1195660718</v>
      </c>
      <c r="AY104">
        <f t="shared" si="263"/>
        <v>2667555.2008494036</v>
      </c>
      <c r="AZ104">
        <f t="shared" si="264"/>
        <v>2941638.8846802586</v>
      </c>
      <c r="BA104">
        <f t="shared" si="265"/>
        <v>3234928.9149482865</v>
      </c>
      <c r="BB104">
        <f t="shared" si="266"/>
        <v>3548771.1716355016</v>
      </c>
      <c r="BC104">
        <f t="shared" si="267"/>
        <v>3884605.8469311832</v>
      </c>
      <c r="BD104">
        <f t="shared" si="268"/>
        <v>4243974.0541365035</v>
      </c>
      <c r="BE104">
        <f t="shared" si="269"/>
        <v>4628524.8996865079</v>
      </c>
      <c r="BF104">
        <f t="shared" si="270"/>
        <v>5040023.0507422965</v>
      </c>
      <c r="BG104">
        <f t="shared" si="271"/>
        <v>5480356.833080356</v>
      </c>
      <c r="BH104">
        <f t="shared" si="272"/>
        <v>5951546.896439488</v>
      </c>
      <c r="BI104">
        <f t="shared" si="273"/>
        <v>6455755.4870897727</v>
      </c>
      <c r="BJ104">
        <f t="shared" si="274"/>
        <v>6995296.3701745262</v>
      </c>
    </row>
    <row r="105" spans="1:62" x14ac:dyDescent="0.3">
      <c r="D105">
        <f t="shared" si="222"/>
        <v>86328.88890953167</v>
      </c>
      <c r="E105">
        <f t="shared" si="278"/>
        <v>177110.68185831112</v>
      </c>
      <c r="F105">
        <f t="shared" si="278"/>
        <v>272575.06272890884</v>
      </c>
      <c r="G105">
        <f>(G104+7000)*1.00566-(0.00125*(G104+7000))</f>
        <v>373193.17818927835</v>
      </c>
      <c r="H105">
        <f>(H104+7000)*1.00566-(0.00125*(H104+7000))</f>
        <v>479875.92222552997</v>
      </c>
      <c r="I105">
        <f>(I104+7000)*1.00566-(0.00125*(I104+7000))</f>
        <v>592343.28540015325</v>
      </c>
      <c r="J105">
        <f>(J104+7000)*1.00566-(0.00104*(J104+7000))</f>
        <v>711204.75653957552</v>
      </c>
      <c r="K105">
        <f t="shared" si="275"/>
        <v>838217.18394373171</v>
      </c>
      <c r="L105">
        <f t="shared" si="276"/>
        <v>972452.89091128705</v>
      </c>
      <c r="M105">
        <f t="shared" si="277"/>
        <v>1116554.7391658942</v>
      </c>
      <c r="N105">
        <f t="shared" si="230"/>
        <v>1269657.7742458028</v>
      </c>
      <c r="O105">
        <f t="shared" si="231"/>
        <v>1431868.420370131</v>
      </c>
      <c r="P105">
        <f t="shared" si="232"/>
        <v>1603728.4602598632</v>
      </c>
      <c r="Q105">
        <f t="shared" si="233"/>
        <v>1785811.905561364</v>
      </c>
      <c r="R105">
        <f t="shared" si="234"/>
        <v>1978726.9140423178</v>
      </c>
      <c r="S105">
        <f t="shared" si="235"/>
        <v>2183117.8208355326</v>
      </c>
      <c r="T105">
        <f t="shared" si="236"/>
        <v>2399667.2905149586</v>
      </c>
      <c r="U105">
        <f t="shared" si="237"/>
        <v>2629098.5971918437</v>
      </c>
      <c r="V105">
        <f t="shared" si="238"/>
        <v>2872178.0402465309</v>
      </c>
      <c r="W105" s="3">
        <f t="shared" si="239"/>
        <v>3129717.5037644366</v>
      </c>
      <c r="X105">
        <f t="shared" si="240"/>
        <v>3402577.1682247045</v>
      </c>
      <c r="Y105">
        <f t="shared" si="241"/>
        <v>3691668.3834985672</v>
      </c>
      <c r="Z105">
        <f t="shared" si="242"/>
        <v>3997956.7127532139</v>
      </c>
      <c r="AA105">
        <f t="shared" si="243"/>
        <v>4322465.1574277822</v>
      </c>
      <c r="AB105" s="3">
        <f t="shared" si="244"/>
        <v>4666277.5740528954</v>
      </c>
      <c r="AC105">
        <f t="shared" si="245"/>
        <v>5030542.2943258723</v>
      </c>
      <c r="AD105">
        <f t="shared" si="246"/>
        <v>5416475.960532669</v>
      </c>
      <c r="AE105">
        <f t="shared" si="247"/>
        <v>5825367.5891268495</v>
      </c>
      <c r="AI105">
        <f t="shared" si="224"/>
        <v>87155.412101212234</v>
      </c>
      <c r="AJ105">
        <f t="shared" si="248"/>
        <v>180418.21817529399</v>
      </c>
      <c r="AK105">
        <f t="shared" si="249"/>
        <v>280216.39234617614</v>
      </c>
      <c r="AL105">
        <f t="shared" si="250"/>
        <v>387007.89891880081</v>
      </c>
      <c r="AM105">
        <f t="shared" si="251"/>
        <v>501282.79393364734</v>
      </c>
      <c r="AN105">
        <f t="shared" si="252"/>
        <v>623565.47398717259</v>
      </c>
      <c r="AO105">
        <f t="shared" si="253"/>
        <v>754417.08263778803</v>
      </c>
      <c r="AP105">
        <f t="shared" si="254"/>
        <v>894438.0854401401</v>
      </c>
      <c r="AQ105">
        <f t="shared" si="255"/>
        <v>1044271.0254242833</v>
      </c>
      <c r="AR105">
        <f t="shared" si="256"/>
        <v>1204603.4716643761</v>
      </c>
      <c r="AS105">
        <f t="shared" si="257"/>
        <v>1376171.1744675953</v>
      </c>
      <c r="AT105">
        <f t="shared" si="258"/>
        <v>1559761.4416621414</v>
      </c>
      <c r="AU105">
        <f t="shared" si="259"/>
        <v>1756216.7514777854</v>
      </c>
      <c r="AV105">
        <f t="shared" si="260"/>
        <v>1966438.6185981317</v>
      </c>
      <c r="AW105">
        <f t="shared" si="261"/>
        <v>2191391.7311255354</v>
      </c>
      <c r="AX105">
        <f t="shared" si="262"/>
        <v>2432108.3774428158</v>
      </c>
      <c r="AY105">
        <f t="shared" si="263"/>
        <v>2689693.1832862115</v>
      </c>
      <c r="AZ105">
        <f t="shared" si="264"/>
        <v>2965328.1807675487</v>
      </c>
      <c r="BA105">
        <f t="shared" si="265"/>
        <v>3260278.2326068939</v>
      </c>
      <c r="BB105" s="3">
        <f t="shared" si="266"/>
        <v>3575896.8364669583</v>
      </c>
      <c r="BC105">
        <f t="shared" si="267"/>
        <v>3913632.3360248138</v>
      </c>
      <c r="BD105">
        <f t="shared" si="268"/>
        <v>4275034.567282916</v>
      </c>
      <c r="BE105">
        <f t="shared" si="269"/>
        <v>4661761.9706187332</v>
      </c>
      <c r="BF105">
        <f t="shared" si="270"/>
        <v>5075589.2012094976</v>
      </c>
      <c r="BG105" s="3">
        <f t="shared" si="271"/>
        <v>5518415.2727555912</v>
      </c>
      <c r="BH105">
        <f t="shared" si="272"/>
        <v>5992272.2718733354</v>
      </c>
      <c r="BI105">
        <f t="shared" si="273"/>
        <v>6499334.6831467012</v>
      </c>
      <c r="BJ105">
        <f t="shared" si="274"/>
        <v>7041929.3676297143</v>
      </c>
    </row>
    <row r="108" spans="1:62" x14ac:dyDescent="0.3">
      <c r="D108" t="s">
        <v>60</v>
      </c>
      <c r="AI108" t="s">
        <v>60</v>
      </c>
      <c r="AJ108" t="s">
        <v>66</v>
      </c>
    </row>
    <row r="109" spans="1:62" x14ac:dyDescent="0.3">
      <c r="D109" t="s">
        <v>61</v>
      </c>
      <c r="AI109" t="s">
        <v>61</v>
      </c>
    </row>
    <row r="110" spans="1:62" x14ac:dyDescent="0.3">
      <c r="D110" t="s">
        <v>78</v>
      </c>
      <c r="AI110" t="s">
        <v>78</v>
      </c>
    </row>
    <row r="111" spans="1:62" x14ac:dyDescent="0.3">
      <c r="D111" t="s">
        <v>15</v>
      </c>
      <c r="E111" t="s">
        <v>16</v>
      </c>
      <c r="F111" t="s">
        <v>17</v>
      </c>
      <c r="G111" t="s">
        <v>18</v>
      </c>
      <c r="H111" t="s">
        <v>19</v>
      </c>
      <c r="I111" t="s">
        <v>20</v>
      </c>
      <c r="J111" t="s">
        <v>21</v>
      </c>
      <c r="K111" t="s">
        <v>22</v>
      </c>
      <c r="L111" t="s">
        <v>23</v>
      </c>
      <c r="M111" t="s">
        <v>24</v>
      </c>
      <c r="N111" t="s">
        <v>25</v>
      </c>
      <c r="O111" t="s">
        <v>26</v>
      </c>
      <c r="P111" t="s">
        <v>27</v>
      </c>
      <c r="Q111" t="s">
        <v>28</v>
      </c>
      <c r="R111" t="s">
        <v>29</v>
      </c>
      <c r="S111" t="s">
        <v>30</v>
      </c>
      <c r="T111" t="s">
        <v>31</v>
      </c>
      <c r="U111" t="s">
        <v>32</v>
      </c>
      <c r="V111" t="s">
        <v>33</v>
      </c>
      <c r="W111" t="s">
        <v>34</v>
      </c>
      <c r="X111" t="s">
        <v>35</v>
      </c>
      <c r="Y111" t="s">
        <v>36</v>
      </c>
      <c r="Z111" t="s">
        <v>37</v>
      </c>
      <c r="AA111" t="s">
        <v>38</v>
      </c>
      <c r="AB111" t="s">
        <v>39</v>
      </c>
      <c r="AC111" t="s">
        <v>67</v>
      </c>
      <c r="AD111" t="s">
        <v>68</v>
      </c>
      <c r="AE111" t="s">
        <v>69</v>
      </c>
      <c r="AI111" t="s">
        <v>15</v>
      </c>
      <c r="AJ111" t="s">
        <v>16</v>
      </c>
      <c r="AK111" t="s">
        <v>17</v>
      </c>
      <c r="AL111" t="s">
        <v>18</v>
      </c>
      <c r="AM111" t="s">
        <v>19</v>
      </c>
      <c r="AN111" t="s">
        <v>20</v>
      </c>
      <c r="AO111" t="s">
        <v>21</v>
      </c>
      <c r="AP111" t="s">
        <v>22</v>
      </c>
      <c r="AQ111" t="s">
        <v>23</v>
      </c>
      <c r="AR111" t="s">
        <v>24</v>
      </c>
      <c r="AS111" t="s">
        <v>25</v>
      </c>
      <c r="AT111" t="s">
        <v>26</v>
      </c>
      <c r="AU111" t="s">
        <v>27</v>
      </c>
      <c r="AV111" t="s">
        <v>28</v>
      </c>
      <c r="AW111" t="s">
        <v>29</v>
      </c>
      <c r="AX111" t="s">
        <v>30</v>
      </c>
      <c r="AY111" t="s">
        <v>31</v>
      </c>
      <c r="AZ111" t="s">
        <v>32</v>
      </c>
      <c r="BA111" t="s">
        <v>33</v>
      </c>
      <c r="BB111" t="s">
        <v>34</v>
      </c>
      <c r="BC111" t="s">
        <v>35</v>
      </c>
      <c r="BD111" t="s">
        <v>36</v>
      </c>
      <c r="BE111" t="s">
        <v>37</v>
      </c>
      <c r="BF111" t="s">
        <v>38</v>
      </c>
      <c r="BG111" t="s">
        <v>39</v>
      </c>
      <c r="BH111" t="s">
        <v>67</v>
      </c>
      <c r="BI111" t="s">
        <v>68</v>
      </c>
      <c r="BJ111" t="s">
        <v>69</v>
      </c>
    </row>
    <row r="112" spans="1:62" x14ac:dyDescent="0.3">
      <c r="D112">
        <v>0</v>
      </c>
      <c r="AI112">
        <v>0</v>
      </c>
    </row>
    <row r="113" spans="1:62" x14ac:dyDescent="0.3">
      <c r="D113">
        <f t="shared" ref="D113:D124" si="279">(D112+7000)*1.00644-(0.00146*(D112+7000))</f>
        <v>7034.86</v>
      </c>
      <c r="E113">
        <f>(D124+7000)*1.00644-(0.00146*(D124+7000))</f>
        <v>94236.325509889881</v>
      </c>
      <c r="F113">
        <f>(E124+7000)*1.00644-(0.00146*(E124+7000))</f>
        <v>186794.08039995143</v>
      </c>
      <c r="G113">
        <f>(F124+7000)*1.00644-(0.00146*(F124+7000))</f>
        <v>285037.13102066715</v>
      </c>
      <c r="H113">
        <f>(G124+7000)*1.00644-(0.00125*(G124+7000))</f>
        <v>389706.83486377285</v>
      </c>
      <c r="I113">
        <f>(H124+7000)*1.00644-(0.00125*(H124+7000))</f>
        <v>501571.08972902817</v>
      </c>
      <c r="J113">
        <f>(I124+7000)*1.00644-(0.00125*(I124+7000))</f>
        <v>620604.60168137262</v>
      </c>
      <c r="K113">
        <f>(J124+7000)*1.00644-(0.00104*(J124+7000))</f>
        <v>748032.95995779755</v>
      </c>
      <c r="L113">
        <f>(K124+7000)*1.00644-(0.00104*(K124+7000))</f>
        <v>884978.93522282655</v>
      </c>
      <c r="M113">
        <f t="shared" ref="M113:AD113" si="280">(L124+7000)*1.00644-(0.000833*(L124+7000))</f>
        <v>1031700.0013043595</v>
      </c>
      <c r="N113">
        <f t="shared" si="280"/>
        <v>1190423.3895984828</v>
      </c>
      <c r="O113">
        <f t="shared" si="280"/>
        <v>1360161.8972241522</v>
      </c>
      <c r="P113">
        <f t="shared" si="280"/>
        <v>1541679.9537666494</v>
      </c>
      <c r="Q113">
        <f t="shared" si="280"/>
        <v>1735795.0388575839</v>
      </c>
      <c r="R113">
        <f t="shared" si="280"/>
        <v>1943381.3637532517</v>
      </c>
      <c r="S113">
        <f t="shared" si="280"/>
        <v>2165373.8084079409</v>
      </c>
      <c r="T113">
        <f t="shared" si="280"/>
        <v>2402772.1317730937</v>
      </c>
      <c r="U113">
        <f t="shared" si="280"/>
        <v>2656645.4742836943</v>
      </c>
      <c r="V113">
        <f t="shared" si="280"/>
        <v>2928137.1728091664</v>
      </c>
      <c r="W113">
        <f t="shared" si="280"/>
        <v>3218469.9097532518</v>
      </c>
      <c r="X113">
        <f t="shared" si="280"/>
        <v>3528951.2194922138</v>
      </c>
      <c r="Y113">
        <f t="shared" si="280"/>
        <v>3860979.3769500004</v>
      </c>
      <c r="Z113">
        <f t="shared" si="280"/>
        <v>4216049.6948300004</v>
      </c>
      <c r="AA113">
        <f t="shared" si="280"/>
        <v>4595761.2578634275</v>
      </c>
      <c r="AB113">
        <f t="shared" si="280"/>
        <v>5001824.1244024895</v>
      </c>
      <c r="AC113">
        <f t="shared" si="280"/>
        <v>5436067.0277912477</v>
      </c>
      <c r="AD113">
        <f t="shared" si="280"/>
        <v>5900445.6121978592</v>
      </c>
      <c r="AE113">
        <f>(AD124+7000)*1.00644-(0.000623*(AD124+7000))</f>
        <v>6410355.4670911189</v>
      </c>
      <c r="AI113">
        <f t="shared" ref="AI113:AI124" si="281">(AI112+7000)*1.00644-0</f>
        <v>7045.08</v>
      </c>
      <c r="AJ113">
        <f t="shared" ref="AJ113:BJ113" si="282">(AI124+7000)*1.00644-0</f>
        <v>95209.850571808638</v>
      </c>
      <c r="AK113">
        <f t="shared" si="282"/>
        <v>190434.58069108884</v>
      </c>
      <c r="AL113">
        <f t="shared" si="282"/>
        <v>293284.60987484572</v>
      </c>
      <c r="AM113">
        <f t="shared" si="282"/>
        <v>404370.54826342699</v>
      </c>
      <c r="AN113">
        <f t="shared" si="282"/>
        <v>524351.9017506903</v>
      </c>
      <c r="AO113">
        <f t="shared" si="282"/>
        <v>653940.98740327521</v>
      </c>
      <c r="AP113">
        <f t="shared" si="282"/>
        <v>793907.1624144254</v>
      </c>
      <c r="AQ113">
        <f t="shared" si="282"/>
        <v>945081.39169922925</v>
      </c>
      <c r="AR113">
        <f t="shared" si="282"/>
        <v>1108361.1812486246</v>
      </c>
      <c r="AS113">
        <f t="shared" si="282"/>
        <v>1284715.9065309893</v>
      </c>
      <c r="AT113">
        <f t="shared" si="282"/>
        <v>1475192.5675754948</v>
      </c>
      <c r="AU113">
        <f t="shared" si="282"/>
        <v>1680922.004904564</v>
      </c>
      <c r="AV113">
        <f t="shared" si="282"/>
        <v>1903125.613218792</v>
      </c>
      <c r="AW113">
        <f t="shared" si="282"/>
        <v>2143122.5926927961</v>
      </c>
      <c r="AX113">
        <f t="shared" si="282"/>
        <v>2402337.7809321913</v>
      </c>
      <c r="AY113">
        <f t="shared" si="282"/>
        <v>2682310.1120892307</v>
      </c>
      <c r="AZ113">
        <f t="shared" si="282"/>
        <v>2984701.7533580135</v>
      </c>
      <c r="BA113">
        <f t="shared" si="282"/>
        <v>3311307.9730916973</v>
      </c>
      <c r="BB113">
        <f t="shared" si="282"/>
        <v>3664067.7991277343</v>
      </c>
      <c r="BC113">
        <f t="shared" si="282"/>
        <v>4045075.5305985063</v>
      </c>
      <c r="BD113">
        <f t="shared" si="282"/>
        <v>4456593.1715718117</v>
      </c>
      <c r="BE113">
        <f t="shared" si="282"/>
        <v>4901063.8603384672</v>
      </c>
      <c r="BF113">
        <f t="shared" si="282"/>
        <v>5381126.3740753205</v>
      </c>
      <c r="BG113">
        <f t="shared" si="282"/>
        <v>5899630.7949963957</v>
      </c>
      <c r="BH113">
        <f t="shared" si="282"/>
        <v>6459655.4310005065</v>
      </c>
      <c r="BI113">
        <f t="shared" si="282"/>
        <v>7064525.0912714945</v>
      </c>
      <c r="BJ113">
        <f t="shared" si="282"/>
        <v>7717830.8253314812</v>
      </c>
    </row>
    <row r="114" spans="1:62" x14ac:dyDescent="0.3">
      <c r="D114">
        <f t="shared" si="279"/>
        <v>14104.753602800001</v>
      </c>
      <c r="E114">
        <f t="shared" ref="E114:G120" si="283">(E113+7000)*1.00644-(0.00146*(E113+7000))</f>
        <v>101740.48241092914</v>
      </c>
      <c r="F114">
        <f t="shared" si="283"/>
        <v>194759.17492034318</v>
      </c>
      <c r="G114">
        <f t="shared" si="283"/>
        <v>293491.4759331501</v>
      </c>
      <c r="H114">
        <f t="shared" ref="H114:J120" si="284">(H113+7000)*1.00644-(0.00125*(H113+7000))</f>
        <v>398765.74333671585</v>
      </c>
      <c r="I114">
        <f t="shared" si="284"/>
        <v>511210.57368472184</v>
      </c>
      <c r="J114">
        <f t="shared" si="284"/>
        <v>630861.86956409889</v>
      </c>
      <c r="K114">
        <f t="shared" ref="K114:K122" si="285">(K113+7000)*1.00644-(0.00104*(K113+7000))</f>
        <v>759110.13794156967</v>
      </c>
      <c r="L114">
        <f t="shared" ref="L114:L122" si="286">(L113+7000)*1.00644-(0.00104*(L113+7000))</f>
        <v>896795.62147302984</v>
      </c>
      <c r="M114">
        <f t="shared" ref="M114:V115" si="287">(M113+7000)*1.00644-(0.000833*(M113+7000))</f>
        <v>1044523.9922116731</v>
      </c>
      <c r="N114">
        <f t="shared" si="287"/>
        <v>1204137.3425439615</v>
      </c>
      <c r="O114">
        <f t="shared" si="287"/>
        <v>1374827.5739818881</v>
      </c>
      <c r="P114">
        <f t="shared" si="287"/>
        <v>1557363.402267419</v>
      </c>
      <c r="Q114">
        <f t="shared" si="287"/>
        <v>1752566.8906404583</v>
      </c>
      <c r="R114">
        <f t="shared" si="287"/>
        <v>1961317.1520598163</v>
      </c>
      <c r="S114">
        <f t="shared" si="287"/>
        <v>2184554.3083516844</v>
      </c>
      <c r="T114">
        <f t="shared" si="287"/>
        <v>2423283.7241159454</v>
      </c>
      <c r="U114">
        <f t="shared" si="287"/>
        <v>2678580.534458003</v>
      </c>
      <c r="V114">
        <f t="shared" si="287"/>
        <v>2951594.4869371071</v>
      </c>
      <c r="W114">
        <f t="shared" ref="W114:AF115" si="288">(W113+7000)*1.00644-(0.000833*(W113+7000))</f>
        <v>3243555.1195372385</v>
      </c>
      <c r="X114">
        <f t="shared" si="288"/>
        <v>3555777.2979799067</v>
      </c>
      <c r="Y114">
        <f t="shared" si="288"/>
        <v>3889667.137316559</v>
      </c>
      <c r="Z114">
        <f t="shared" si="288"/>
        <v>4246728.3344689123</v>
      </c>
      <c r="AA114">
        <f t="shared" si="288"/>
        <v>4628568.9402362676</v>
      </c>
      <c r="AB114">
        <f t="shared" si="288"/>
        <v>5036908.6012680139</v>
      </c>
      <c r="AC114">
        <f t="shared" si="288"/>
        <v>5473586.3046160731</v>
      </c>
      <c r="AD114">
        <f t="shared" si="288"/>
        <v>5940568.659745452</v>
      </c>
      <c r="AE114">
        <f t="shared" ref="AE114:AE124" si="289">(AE113+7000)*1.00644-(0.000623*(AE113+7000))</f>
        <v>6454685.223843188</v>
      </c>
      <c r="AI114">
        <f t="shared" si="281"/>
        <v>14135.5303152</v>
      </c>
      <c r="AJ114">
        <f t="shared" ref="AJ114:AJ124" si="290">(AJ113+7000)*1.00644-0</f>
        <v>102868.08200949109</v>
      </c>
      <c r="AK114">
        <f t="shared" ref="AK114:AK124" si="291">(AK113+7000)*1.00644-0</f>
        <v>198706.05939073945</v>
      </c>
      <c r="AL114">
        <f t="shared" ref="AL114:AL124" si="292">(AL113+7000)*1.00644-0</f>
        <v>302218.44276243972</v>
      </c>
      <c r="AM114">
        <f t="shared" ref="AM114:AM124" si="293">(AM113+7000)*1.00644-0</f>
        <v>414019.77459424344</v>
      </c>
      <c r="AN114">
        <f t="shared" ref="AN114:AN124" si="294">(AN113+7000)*1.00644-0</f>
        <v>534773.80799796479</v>
      </c>
      <c r="AO114">
        <f t="shared" ref="AO114:AO124" si="295">(AO113+7000)*1.00644-0</f>
        <v>665197.44736215228</v>
      </c>
      <c r="AP114">
        <f t="shared" ref="AP114:AP124" si="296">(AP113+7000)*1.00644-0</f>
        <v>806065.00454037427</v>
      </c>
      <c r="AQ114">
        <f t="shared" ref="AQ114:AQ124" si="297">(AQ113+7000)*1.00644-0</f>
        <v>958212.79586177226</v>
      </c>
      <c r="AR114">
        <f t="shared" ref="AR114:AR124" si="298">(AR113+7000)*1.00644-0</f>
        <v>1122544.1072558658</v>
      </c>
      <c r="AS114">
        <f t="shared" ref="AS114:AS124" si="299">(AS113+7000)*1.00644-0</f>
        <v>1300034.5569690489</v>
      </c>
      <c r="AT114">
        <f t="shared" ref="AT114:AT124" si="300">(AT113+7000)*1.00644-0</f>
        <v>1491737.887710681</v>
      </c>
      <c r="AU114">
        <f t="shared" ref="AU114:AU124" si="301">(AU113+7000)*1.00644-0</f>
        <v>1698792.2226161493</v>
      </c>
      <c r="AV114">
        <f t="shared" ref="AV114:AV124" si="302">(AV113+7000)*1.00644-0</f>
        <v>1922426.8221679211</v>
      </c>
      <c r="AW114">
        <f t="shared" ref="AW114:AW124" si="303">(AW113+7000)*1.00644-0</f>
        <v>2163969.3821897376</v>
      </c>
      <c r="AX114">
        <f t="shared" ref="AX114:AX124" si="304">(AX113+7000)*1.00644-0</f>
        <v>2424853.9162413948</v>
      </c>
      <c r="AY114">
        <f t="shared" ref="AY114:AY124" si="305">(AY113+7000)*1.00644-0</f>
        <v>2706629.2692110855</v>
      </c>
      <c r="AZ114">
        <f t="shared" ref="AZ114:AZ124" si="306">(AZ113+7000)*1.00644-0</f>
        <v>3010968.3126496389</v>
      </c>
      <c r="BA114">
        <f t="shared" ref="BA114:BA124" si="307">(BA113+7000)*1.00644-0</f>
        <v>3339677.8764384077</v>
      </c>
      <c r="BB114">
        <f t="shared" ref="BB114:BB124" si="308">(BB113+7000)*1.00644-0</f>
        <v>3694709.4757541167</v>
      </c>
      <c r="BC114">
        <f t="shared" ref="BC114:BC124" si="309">(BC113+7000)*1.00644-0</f>
        <v>4078170.8970155609</v>
      </c>
      <c r="BD114">
        <f t="shared" ref="BD114:BD124" si="310">(BD113+7000)*1.00644-0</f>
        <v>4492338.7115967339</v>
      </c>
      <c r="BE114">
        <f t="shared" ref="BE114:BE124" si="311">(BE113+7000)*1.00644-0</f>
        <v>4939671.7915990474</v>
      </c>
      <c r="BF114">
        <f t="shared" ref="BF114:BF124" si="312">(BF113+7000)*1.00644-0</f>
        <v>5422825.9079243653</v>
      </c>
      <c r="BG114">
        <f t="shared" ref="BG114:BG124" si="313">(BG113+7000)*1.00644-0</f>
        <v>5944669.4973161723</v>
      </c>
      <c r="BH114">
        <f t="shared" ref="BH114:BH124" si="314">(BH113+7000)*1.00644-0</f>
        <v>6508300.6919761496</v>
      </c>
      <c r="BI114">
        <f t="shared" ref="BI114:BI124" si="315">(BI113+7000)*1.00644-0</f>
        <v>7117065.7128592832</v>
      </c>
      <c r="BJ114">
        <f t="shared" ref="BJ114:BJ124" si="316">(BJ113+7000)*1.00644-0</f>
        <v>7774578.7358466163</v>
      </c>
    </row>
    <row r="115" spans="1:62" x14ac:dyDescent="0.3">
      <c r="A115">
        <f>0.0175/12</f>
        <v>1.4583333333333334E-3</v>
      </c>
      <c r="B115">
        <v>1.75</v>
      </c>
      <c r="D115">
        <f t="shared" si="279"/>
        <v>21209.855275741946</v>
      </c>
      <c r="E115">
        <f t="shared" si="283"/>
        <v>109282.01001333556</v>
      </c>
      <c r="F115">
        <f t="shared" si="283"/>
        <v>202763.93561144648</v>
      </c>
      <c r="G115">
        <f t="shared" si="283"/>
        <v>301987.92348329723</v>
      </c>
      <c r="H115">
        <f t="shared" si="284"/>
        <v>407871.66754463338</v>
      </c>
      <c r="I115">
        <f t="shared" si="284"/>
        <v>520900.08656214556</v>
      </c>
      <c r="J115">
        <f t="shared" si="284"/>
        <v>641172.3726671366</v>
      </c>
      <c r="K115">
        <f t="shared" si="285"/>
        <v>770247.1326864541</v>
      </c>
      <c r="L115">
        <f t="shared" si="286"/>
        <v>908676.11782898416</v>
      </c>
      <c r="M115">
        <f t="shared" si="287"/>
        <v>1057419.8872360038</v>
      </c>
      <c r="N115">
        <f t="shared" si="287"/>
        <v>1217928.1896236055</v>
      </c>
      <c r="O115">
        <f t="shared" si="287"/>
        <v>1389575.4811892046</v>
      </c>
      <c r="P115">
        <f t="shared" si="287"/>
        <v>1573134.7878639323</v>
      </c>
      <c r="Q115">
        <f t="shared" si="287"/>
        <v>1769432.7821962794</v>
      </c>
      <c r="R115">
        <f t="shared" si="287"/>
        <v>1979353.5063314156</v>
      </c>
      <c r="S115">
        <f t="shared" si="287"/>
        <v>2203842.3533586119</v>
      </c>
      <c r="T115">
        <f t="shared" si="287"/>
        <v>2443910.3249570639</v>
      </c>
      <c r="U115">
        <f t="shared" si="287"/>
        <v>2700638.5845147092</v>
      </c>
      <c r="V115">
        <f t="shared" si="287"/>
        <v>2975183.3262253636</v>
      </c>
      <c r="W115">
        <f t="shared" si="288"/>
        <v>3268780.9820924839</v>
      </c>
      <c r="X115">
        <f t="shared" si="288"/>
        <v>3582753.79028968</v>
      </c>
      <c r="Y115">
        <f t="shared" si="288"/>
        <v>3918515.749955493</v>
      </c>
      <c r="Z115">
        <f t="shared" si="288"/>
        <v>4277578.9892402794</v>
      </c>
      <c r="AA115">
        <f t="shared" si="288"/>
        <v>4661560.5752841728</v>
      </c>
      <c r="AB115">
        <f t="shared" si="288"/>
        <v>5072189.7967953235</v>
      </c>
      <c r="AC115">
        <f t="shared" si="288"/>
        <v>5511315.9520260561</v>
      </c>
      <c r="AD115">
        <f t="shared" si="288"/>
        <v>5980916.6772206444</v>
      </c>
      <c r="AE115">
        <f t="shared" si="289"/>
        <v>6499272.8467902839</v>
      </c>
      <c r="AI115">
        <f t="shared" si="281"/>
        <v>21271.643130429886</v>
      </c>
      <c r="AJ115">
        <f t="shared" si="290"/>
        <v>110575.63245763221</v>
      </c>
      <c r="AK115">
        <f t="shared" si="291"/>
        <v>207030.80641321582</v>
      </c>
      <c r="AL115">
        <f t="shared" si="292"/>
        <v>311209.80953382986</v>
      </c>
      <c r="AM115">
        <f t="shared" si="293"/>
        <v>423731.14194263035</v>
      </c>
      <c r="AN115">
        <f t="shared" si="294"/>
        <v>545262.83132147172</v>
      </c>
      <c r="AO115">
        <f t="shared" si="295"/>
        <v>676526.39892316458</v>
      </c>
      <c r="AP115">
        <f t="shared" si="296"/>
        <v>818301.14316961425</v>
      </c>
      <c r="AQ115">
        <f t="shared" si="297"/>
        <v>971428.76626712212</v>
      </c>
      <c r="AR115">
        <f t="shared" si="298"/>
        <v>1136818.3713065935</v>
      </c>
      <c r="AS115">
        <f t="shared" si="299"/>
        <v>1315451.8595159296</v>
      </c>
      <c r="AT115">
        <f t="shared" si="300"/>
        <v>1508389.7597075377</v>
      </c>
      <c r="AU115">
        <f t="shared" si="301"/>
        <v>1716777.5245297973</v>
      </c>
      <c r="AV115">
        <f t="shared" si="302"/>
        <v>1941852.3309026826</v>
      </c>
      <c r="AW115">
        <f t="shared" si="303"/>
        <v>2184950.4250110397</v>
      </c>
      <c r="AX115">
        <f t="shared" si="304"/>
        <v>2447515.0554619893</v>
      </c>
      <c r="AY115">
        <f t="shared" si="305"/>
        <v>2731105.0417048051</v>
      </c>
      <c r="AZ115">
        <f t="shared" si="306"/>
        <v>3037404.0285831024</v>
      </c>
      <c r="BA115">
        <f t="shared" si="307"/>
        <v>3368230.481962671</v>
      </c>
      <c r="BB115">
        <f t="shared" si="308"/>
        <v>3725548.484777973</v>
      </c>
      <c r="BC115">
        <f t="shared" si="309"/>
        <v>4111479.3975923411</v>
      </c>
      <c r="BD115">
        <f t="shared" si="310"/>
        <v>4528314.4528994169</v>
      </c>
      <c r="BE115">
        <f t="shared" si="311"/>
        <v>4978528.3579369448</v>
      </c>
      <c r="BF115">
        <f t="shared" si="312"/>
        <v>5464793.9867713982</v>
      </c>
      <c r="BG115">
        <f t="shared" si="313"/>
        <v>5989998.2488788888</v>
      </c>
      <c r="BH115">
        <f t="shared" si="314"/>
        <v>6557259.2284324756</v>
      </c>
      <c r="BI115">
        <f t="shared" si="315"/>
        <v>7169944.6960500972</v>
      </c>
      <c r="BJ115">
        <f t="shared" si="316"/>
        <v>7831692.1029054681</v>
      </c>
    </row>
    <row r="116" spans="1:62" x14ac:dyDescent="0.3">
      <c r="A116">
        <f>0.015/12</f>
        <v>1.25E-3</v>
      </c>
      <c r="B116">
        <v>1.5</v>
      </c>
      <c r="D116">
        <f t="shared" si="279"/>
        <v>28350.340355015142</v>
      </c>
      <c r="E116">
        <f t="shared" si="283"/>
        <v>116861.09442320197</v>
      </c>
      <c r="F116">
        <f t="shared" si="283"/>
        <v>210808.56001079147</v>
      </c>
      <c r="G116">
        <f t="shared" si="283"/>
        <v>310526.68334224407</v>
      </c>
      <c r="H116">
        <f t="shared" si="284"/>
        <v>417024.85149919003</v>
      </c>
      <c r="I116">
        <f t="shared" si="284"/>
        <v>530639.88801140303</v>
      </c>
      <c r="J116">
        <f t="shared" si="284"/>
        <v>651536.38728127908</v>
      </c>
      <c r="K116">
        <f t="shared" si="285"/>
        <v>781444.26720296091</v>
      </c>
      <c r="L116">
        <f t="shared" si="286"/>
        <v>920620.76886526064</v>
      </c>
      <c r="M116">
        <f t="shared" ref="M116:M124" si="317">(M115+7000)*1.00644-(0.000833*(M115+7000))</f>
        <v>1070388.0895437361</v>
      </c>
      <c r="N116">
        <f t="shared" ref="N116:N124" si="318">(N115+7000)*1.00644-(0.000833*(N115+7000))</f>
        <v>1231796.361982825</v>
      </c>
      <c r="O116">
        <f t="shared" ref="O116:O124" si="319">(O115+7000)*1.00644-(0.000833*(O115+7000))</f>
        <v>1404406.0799122325</v>
      </c>
      <c r="P116">
        <f t="shared" ref="P116:P124" si="320">(P115+7000)*1.00644-(0.000833*(P115+7000))</f>
        <v>1588994.6036194854</v>
      </c>
      <c r="Q116">
        <f t="shared" ref="Q116:Q124" si="321">(Q115+7000)*1.00644-(0.000833*(Q115+7000))</f>
        <v>1786393.2408060539</v>
      </c>
      <c r="R116">
        <f t="shared" ref="R116:R124" si="322">(R115+7000)*1.00644-(0.000833*(R115+7000))</f>
        <v>1997490.9904414159</v>
      </c>
      <c r="S116">
        <f t="shared" ref="S116:S124" si="323">(S115+7000)*1.00644-(0.000833*(S115+7000))</f>
        <v>2223238.546433894</v>
      </c>
      <c r="T116">
        <f t="shared" ref="T116:T124" si="324">(T115+7000)*1.00644-(0.000833*(T115+7000))</f>
        <v>2464652.5791490981</v>
      </c>
      <c r="U116">
        <f t="shared" ref="U116:U124" si="325">(U115+7000)*1.00644-(0.000833*(U115+7000))</f>
        <v>2722820.3140580831</v>
      </c>
      <c r="V116">
        <f t="shared" ref="V116:V124" si="326">(V115+7000)*1.00644-(0.000833*(V115+7000))</f>
        <v>2998904.4281355091</v>
      </c>
      <c r="W116">
        <f t="shared" ref="W116:W124" si="327">(W115+7000)*1.00644-(0.000833*(W115+7000))</f>
        <v>3294148.2860590764</v>
      </c>
      <c r="X116">
        <f t="shared" ref="X116:X124" si="328">(X115+7000)*1.00644-(0.000833*(X115+7000))</f>
        <v>3609881.5397918345</v>
      </c>
      <c r="Y116">
        <f t="shared" ref="Y116:Y124" si="329">(Y115+7000)*1.00644-(0.000833*(Y115+7000))</f>
        <v>3947526.1167654931</v>
      </c>
      <c r="Z116">
        <f t="shared" ref="Z116:Z124" si="330">(Z115+7000)*1.00644-(0.000833*(Z115+7000))</f>
        <v>4308602.6236329498</v>
      </c>
      <c r="AA116">
        <f t="shared" ref="AA116:AA124" si="331">(AA115+7000)*1.00644-(0.000833*(AA115+7000))</f>
        <v>4694737.1944297906</v>
      </c>
      <c r="AB116">
        <f t="shared" ref="AB116:AB124" si="332">(AB115+7000)*1.00644-(0.000833*(AB115+7000))</f>
        <v>5107668.813985955</v>
      </c>
      <c r="AC116">
        <f t="shared" ref="AC116:AC124" si="333">(AC115+7000)*1.00644-(0.000833*(AC115+7000))</f>
        <v>5549257.1495690662</v>
      </c>
      <c r="AD116">
        <f t="shared" ref="AD116:AD124" si="334">(AD115+7000)*1.00644-(0.000623*(AD115+7000))</f>
        <v>6022748.3885320369</v>
      </c>
      <c r="AE116">
        <f t="shared" si="289"/>
        <v>6544119.835940063</v>
      </c>
      <c r="AI116">
        <f t="shared" si="281"/>
        <v>28453.712512189853</v>
      </c>
      <c r="AJ116">
        <f t="shared" si="290"/>
        <v>118332.81953065936</v>
      </c>
      <c r="AK116">
        <f t="shared" si="291"/>
        <v>215409.16480651693</v>
      </c>
      <c r="AL116">
        <f t="shared" si="292"/>
        <v>320259.08070722769</v>
      </c>
      <c r="AM116">
        <f t="shared" si="293"/>
        <v>433505.05049674091</v>
      </c>
      <c r="AN116">
        <f t="shared" si="294"/>
        <v>555819.40395518194</v>
      </c>
      <c r="AO116">
        <f t="shared" si="295"/>
        <v>687928.30893222976</v>
      </c>
      <c r="AP116">
        <f t="shared" si="296"/>
        <v>830616.08253162657</v>
      </c>
      <c r="AQ116">
        <f t="shared" si="297"/>
        <v>984729.84752188239</v>
      </c>
      <c r="AR116">
        <f t="shared" si="298"/>
        <v>1151184.561617808</v>
      </c>
      <c r="AS116">
        <f t="shared" si="299"/>
        <v>1330968.4494912121</v>
      </c>
      <c r="AT116">
        <f t="shared" si="300"/>
        <v>1525148.8697600542</v>
      </c>
      <c r="AU116">
        <f t="shared" si="301"/>
        <v>1734878.651787769</v>
      </c>
      <c r="AV116">
        <f t="shared" si="302"/>
        <v>1961402.9399136959</v>
      </c>
      <c r="AW116">
        <f t="shared" si="303"/>
        <v>2206066.5857481109</v>
      </c>
      <c r="AX116">
        <f t="shared" si="304"/>
        <v>2470322.1324191643</v>
      </c>
      <c r="AY116">
        <f t="shared" si="305"/>
        <v>2755738.4381733839</v>
      </c>
      <c r="AZ116">
        <f t="shared" si="306"/>
        <v>3064009.9905271777</v>
      </c>
      <c r="BA116">
        <f t="shared" si="307"/>
        <v>3396966.9662665105</v>
      </c>
      <c r="BB116">
        <f t="shared" si="308"/>
        <v>3756586.0970199434</v>
      </c>
      <c r="BC116">
        <f t="shared" si="309"/>
        <v>4145002.4049128359</v>
      </c>
      <c r="BD116">
        <f t="shared" si="310"/>
        <v>4564521.8779760888</v>
      </c>
      <c r="BE116">
        <f t="shared" si="311"/>
        <v>5017635.1605620589</v>
      </c>
      <c r="BF116">
        <f t="shared" si="312"/>
        <v>5507032.3400462065</v>
      </c>
      <c r="BG116">
        <f t="shared" si="313"/>
        <v>6035618.9176016692</v>
      </c>
      <c r="BH116">
        <f t="shared" si="314"/>
        <v>6606533.057863581</v>
      </c>
      <c r="BI116">
        <f t="shared" si="315"/>
        <v>7223164.2198926602</v>
      </c>
      <c r="BJ116">
        <f t="shared" si="316"/>
        <v>7889173.2800481794</v>
      </c>
    </row>
    <row r="117" spans="1:62" x14ac:dyDescent="0.3">
      <c r="A117">
        <f>0.0125/12</f>
        <v>1.0416666666666667E-3</v>
      </c>
      <c r="B117">
        <v>1.25</v>
      </c>
      <c r="D117">
        <f t="shared" si="279"/>
        <v>35526.385049983117</v>
      </c>
      <c r="E117">
        <f t="shared" si="283"/>
        <v>124477.92267342951</v>
      </c>
      <c r="F117">
        <f t="shared" si="283"/>
        <v>218893.24663964522</v>
      </c>
      <c r="G117">
        <f t="shared" si="283"/>
        <v>319107.96622528846</v>
      </c>
      <c r="H117">
        <f t="shared" si="284"/>
        <v>426225.54047847085</v>
      </c>
      <c r="I117">
        <f t="shared" si="284"/>
        <v>540430.23903018225</v>
      </c>
      <c r="J117">
        <f t="shared" si="284"/>
        <v>661954.19113126886</v>
      </c>
      <c r="K117">
        <f t="shared" si="285"/>
        <v>792701.86624585697</v>
      </c>
      <c r="L117">
        <f t="shared" si="286"/>
        <v>932629.92101713305</v>
      </c>
      <c r="M117">
        <f t="shared" si="317"/>
        <v>1083429.0045618077</v>
      </c>
      <c r="N117">
        <f t="shared" si="318"/>
        <v>1245742.2931844627</v>
      </c>
      <c r="O117">
        <f t="shared" si="319"/>
        <v>1419319.8338023003</v>
      </c>
      <c r="P117">
        <f t="shared" si="320"/>
        <v>1604943.3453619799</v>
      </c>
      <c r="Q117">
        <f t="shared" si="321"/>
        <v>1803448.7967072534</v>
      </c>
      <c r="R117">
        <f t="shared" si="322"/>
        <v>2015730.171424821</v>
      </c>
      <c r="S117">
        <f t="shared" si="323"/>
        <v>2242743.4939637487</v>
      </c>
      <c r="T117">
        <f t="shared" si="324"/>
        <v>2485511.1351603875</v>
      </c>
      <c r="U117">
        <f t="shared" si="325"/>
        <v>2745126.416559007</v>
      </c>
      <c r="V117">
        <f t="shared" si="326"/>
        <v>3022758.5342640649</v>
      </c>
      <c r="W117">
        <f t="shared" si="327"/>
        <v>3319657.8244990096</v>
      </c>
      <c r="X117">
        <f t="shared" si="328"/>
        <v>3637161.3945854474</v>
      </c>
      <c r="Y117">
        <f t="shared" si="329"/>
        <v>3976699.1447021971</v>
      </c>
      <c r="Z117">
        <f t="shared" si="330"/>
        <v>4339800.20754366</v>
      </c>
      <c r="AA117">
        <f t="shared" si="331"/>
        <v>4728099.8348789588</v>
      </c>
      <c r="AB117">
        <f t="shared" si="332"/>
        <v>5143346.7620259747</v>
      </c>
      <c r="AC117">
        <f t="shared" si="333"/>
        <v>5587411.0834066998</v>
      </c>
      <c r="AD117">
        <f t="shared" si="334"/>
        <v>6064823.4349081283</v>
      </c>
      <c r="AE117">
        <f t="shared" si="289"/>
        <v>6589227.700025727</v>
      </c>
      <c r="AI117">
        <f t="shared" si="281"/>
        <v>35682.034420768359</v>
      </c>
      <c r="AJ117">
        <f t="shared" si="290"/>
        <v>126139.9628884368</v>
      </c>
      <c r="AK117">
        <f t="shared" si="291"/>
        <v>223841.47982787091</v>
      </c>
      <c r="AL117">
        <f t="shared" si="292"/>
        <v>329366.62918698223</v>
      </c>
      <c r="AM117">
        <f t="shared" si="293"/>
        <v>443341.90302193991</v>
      </c>
      <c r="AN117">
        <f t="shared" si="294"/>
        <v>566443.96091665328</v>
      </c>
      <c r="AO117">
        <f t="shared" si="295"/>
        <v>699403.64724175329</v>
      </c>
      <c r="AP117">
        <f t="shared" si="296"/>
        <v>843010.3301031302</v>
      </c>
      <c r="AQ117">
        <f t="shared" si="297"/>
        <v>998116.58773992327</v>
      </c>
      <c r="AR117">
        <f t="shared" si="298"/>
        <v>1165643.2701946266</v>
      </c>
      <c r="AS117">
        <f t="shared" si="299"/>
        <v>1346584.9663059355</v>
      </c>
      <c r="AT117">
        <f t="shared" si="300"/>
        <v>1542015.908481309</v>
      </c>
      <c r="AU117">
        <f t="shared" si="301"/>
        <v>1753096.3503052823</v>
      </c>
      <c r="AV117">
        <f t="shared" si="302"/>
        <v>1981079.45484674</v>
      </c>
      <c r="AW117">
        <f t="shared" si="303"/>
        <v>2227318.7345603285</v>
      </c>
      <c r="AX117">
        <f t="shared" si="304"/>
        <v>2493276.0869519436</v>
      </c>
      <c r="AY117">
        <f t="shared" si="305"/>
        <v>2780530.4737152206</v>
      </c>
      <c r="AZ117">
        <f t="shared" si="306"/>
        <v>3090787.2948661726</v>
      </c>
      <c r="BA117">
        <f t="shared" si="307"/>
        <v>3425888.5135292667</v>
      </c>
      <c r="BB117">
        <f t="shared" si="308"/>
        <v>3787823.591484752</v>
      </c>
      <c r="BC117">
        <f t="shared" si="309"/>
        <v>4178741.3004004746</v>
      </c>
      <c r="BD117">
        <f t="shared" si="310"/>
        <v>4600962.4788702549</v>
      </c>
      <c r="BE117">
        <f t="shared" si="311"/>
        <v>5056993.8109960789</v>
      </c>
      <c r="BF117">
        <f t="shared" si="312"/>
        <v>5549542.7083161045</v>
      </c>
      <c r="BG117">
        <f t="shared" si="313"/>
        <v>6081533.3834310239</v>
      </c>
      <c r="BH117">
        <f t="shared" si="314"/>
        <v>6656124.2107562227</v>
      </c>
      <c r="BI117">
        <f t="shared" si="315"/>
        <v>7276726.4774687691</v>
      </c>
      <c r="BJ117">
        <f t="shared" si="316"/>
        <v>7947024.6359716896</v>
      </c>
    </row>
    <row r="118" spans="1:62" x14ac:dyDescent="0.3">
      <c r="A118">
        <f>0.01/12</f>
        <v>8.3333333333333339E-4</v>
      </c>
      <c r="B118">
        <v>1</v>
      </c>
      <c r="D118">
        <f t="shared" si="279"/>
        <v>42738.166447532029</v>
      </c>
      <c r="E118">
        <f t="shared" si="283"/>
        <v>132132.68272834318</v>
      </c>
      <c r="F118">
        <f t="shared" si="283"/>
        <v>227018.19500791066</v>
      </c>
      <c r="G118">
        <f t="shared" si="283"/>
        <v>327731.98389709037</v>
      </c>
      <c r="H118">
        <f t="shared" si="284"/>
        <v>435473.98103355413</v>
      </c>
      <c r="I118">
        <f t="shared" si="284"/>
        <v>550271.40197074891</v>
      </c>
      <c r="J118">
        <f t="shared" si="284"/>
        <v>672426.06338324014</v>
      </c>
      <c r="K118">
        <f t="shared" si="285"/>
        <v>804020.25632358459</v>
      </c>
      <c r="L118">
        <f t="shared" si="286"/>
        <v>944703.92259062559</v>
      </c>
      <c r="M118">
        <f t="shared" si="317"/>
        <v>1096543.0399903858</v>
      </c>
      <c r="N118">
        <f t="shared" si="318"/>
        <v>1259766.4192223479</v>
      </c>
      <c r="O118">
        <f t="shared" si="319"/>
        <v>1434317.2091104297</v>
      </c>
      <c r="P118">
        <f t="shared" si="320"/>
        <v>1620981.5116994244</v>
      </c>
      <c r="Q118">
        <f t="shared" si="321"/>
        <v>1820599.9831103911</v>
      </c>
      <c r="R118">
        <f t="shared" si="322"/>
        <v>2034071.619496</v>
      </c>
      <c r="S118">
        <f t="shared" si="323"/>
        <v>2262357.8057344034</v>
      </c>
      <c r="T118">
        <f t="shared" si="324"/>
        <v>2506486.6450952319</v>
      </c>
      <c r="U118">
        <f t="shared" si="325"/>
        <v>2767557.5893766535</v>
      </c>
      <c r="V118">
        <f t="shared" si="326"/>
        <v>3046746.3903656835</v>
      </c>
      <c r="W118">
        <f t="shared" si="327"/>
        <v>3345310.3949209759</v>
      </c>
      <c r="X118">
        <f t="shared" si="328"/>
        <v>3664594.2075248882</v>
      </c>
      <c r="Y118">
        <f t="shared" si="329"/>
        <v>4006035.7458065422</v>
      </c>
      <c r="Z118">
        <f t="shared" si="330"/>
        <v>4371172.716307357</v>
      </c>
      <c r="AA118">
        <f t="shared" si="331"/>
        <v>4761649.5396531252</v>
      </c>
      <c r="AB118">
        <f t="shared" si="332"/>
        <v>5179224.7563206544</v>
      </c>
      <c r="AC118">
        <f t="shared" si="333"/>
        <v>5625778.9463513615</v>
      </c>
      <c r="AD118">
        <f t="shared" si="334"/>
        <v>6107143.2318289885</v>
      </c>
      <c r="AE118">
        <f t="shared" si="289"/>
        <v>6634597.9565567765</v>
      </c>
      <c r="AI118">
        <f t="shared" si="281"/>
        <v>42956.906722438107</v>
      </c>
      <c r="AJ118">
        <f t="shared" si="290"/>
        <v>133997.38424943833</v>
      </c>
      <c r="AK118">
        <f t="shared" si="291"/>
        <v>232328.09895796239</v>
      </c>
      <c r="AL118">
        <f t="shared" si="292"/>
        <v>338532.83027894638</v>
      </c>
      <c r="AM118">
        <f t="shared" si="293"/>
        <v>453242.1048774012</v>
      </c>
      <c r="AN118">
        <f t="shared" si="294"/>
        <v>577136.94002495648</v>
      </c>
      <c r="AO118">
        <f t="shared" si="295"/>
        <v>710952.88672999013</v>
      </c>
      <c r="AP118">
        <f t="shared" si="296"/>
        <v>855484.39662899438</v>
      </c>
      <c r="AQ118">
        <f t="shared" si="297"/>
        <v>1011589.5385649684</v>
      </c>
      <c r="AR118">
        <f t="shared" si="298"/>
        <v>1180195.09285468</v>
      </c>
      <c r="AS118">
        <f t="shared" si="299"/>
        <v>1362302.0534889458</v>
      </c>
      <c r="AT118">
        <f t="shared" si="300"/>
        <v>1558991.5709319287</v>
      </c>
      <c r="AU118">
        <f t="shared" si="301"/>
        <v>1771431.3708012484</v>
      </c>
      <c r="AV118">
        <f t="shared" si="302"/>
        <v>2000882.6865359531</v>
      </c>
      <c r="AW118">
        <f t="shared" si="303"/>
        <v>2248707.747210897</v>
      </c>
      <c r="AX118">
        <f t="shared" si="304"/>
        <v>2516377.8649519142</v>
      </c>
      <c r="AY118">
        <f t="shared" si="305"/>
        <v>2805482.1699659466</v>
      </c>
      <c r="AZ118">
        <f t="shared" si="306"/>
        <v>3117737.0450451109</v>
      </c>
      <c r="BA118">
        <f t="shared" si="307"/>
        <v>3454996.3155563953</v>
      </c>
      <c r="BB118">
        <f t="shared" si="308"/>
        <v>3819262.2554139136</v>
      </c>
      <c r="BC118">
        <f t="shared" si="309"/>
        <v>4212697.4743750533</v>
      </c>
      <c r="BD118">
        <f t="shared" si="310"/>
        <v>4637637.7572341794</v>
      </c>
      <c r="BE118">
        <f t="shared" si="311"/>
        <v>5096605.9311388936</v>
      </c>
      <c r="BF118">
        <f t="shared" si="312"/>
        <v>5592326.8433576599</v>
      </c>
      <c r="BG118">
        <f t="shared" si="313"/>
        <v>6127743.5384203196</v>
      </c>
      <c r="BH118">
        <f t="shared" si="314"/>
        <v>6706034.7306734929</v>
      </c>
      <c r="BI118">
        <f t="shared" si="315"/>
        <v>7330633.6759836683</v>
      </c>
      <c r="BJ118">
        <f t="shared" si="316"/>
        <v>8005248.5546273477</v>
      </c>
    </row>
    <row r="119" spans="1:62" x14ac:dyDescent="0.3">
      <c r="D119">
        <f t="shared" si="279"/>
        <v>49985.862516440735</v>
      </c>
      <c r="E119">
        <f t="shared" si="283"/>
        <v>139825.56348833034</v>
      </c>
      <c r="F119">
        <f t="shared" si="283"/>
        <v>235183.60561905007</v>
      </c>
      <c r="G119">
        <f t="shared" si="283"/>
        <v>336398.94917689788</v>
      </c>
      <c r="H119">
        <f t="shared" si="284"/>
        <v>444770.42099511827</v>
      </c>
      <c r="I119">
        <f t="shared" si="284"/>
        <v>560163.64054697705</v>
      </c>
      <c r="J119">
        <f t="shared" si="284"/>
        <v>682952.28465219913</v>
      </c>
      <c r="K119">
        <f t="shared" si="285"/>
        <v>815399.76570773195</v>
      </c>
      <c r="L119">
        <f t="shared" si="286"/>
        <v>956843.12377261498</v>
      </c>
      <c r="M119">
        <f t="shared" si="317"/>
        <v>1109730.6058156118</v>
      </c>
      <c r="N119">
        <f t="shared" si="318"/>
        <v>1273869.1785349278</v>
      </c>
      <c r="O119">
        <f t="shared" si="319"/>
        <v>1449398.6747019119</v>
      </c>
      <c r="P119">
        <f t="shared" si="320"/>
        <v>1637109.604035523</v>
      </c>
      <c r="Q119">
        <f t="shared" si="321"/>
        <v>1837847.3362156912</v>
      </c>
      <c r="R119">
        <f t="shared" si="322"/>
        <v>2052515.9080665139</v>
      </c>
      <c r="S119">
        <f t="shared" si="323"/>
        <v>2282082.0949511561</v>
      </c>
      <c r="T119">
        <f t="shared" si="324"/>
        <v>2527579.7647142811</v>
      </c>
      <c r="U119">
        <f t="shared" si="325"/>
        <v>2790114.5337802884</v>
      </c>
      <c r="V119">
        <f t="shared" si="326"/>
        <v>3070868.7463764641</v>
      </c>
      <c r="W119">
        <f t="shared" si="327"/>
        <v>3371106.7993052979</v>
      </c>
      <c r="X119">
        <f t="shared" si="328"/>
        <v>3692180.8362464802</v>
      </c>
      <c r="Y119">
        <f t="shared" si="329"/>
        <v>4035536.8372332794</v>
      </c>
      <c r="Z119">
        <f t="shared" si="330"/>
        <v>4402721.1307276925</v>
      </c>
      <c r="AA119">
        <f t="shared" si="331"/>
        <v>4795387.3576219603</v>
      </c>
      <c r="AB119">
        <f t="shared" si="332"/>
        <v>5215303.9185293438</v>
      </c>
      <c r="AC119">
        <f t="shared" si="333"/>
        <v>5664361.9379035532</v>
      </c>
      <c r="AD119">
        <f t="shared" si="334"/>
        <v>6149709.2030085381</v>
      </c>
      <c r="AE119">
        <f t="shared" si="289"/>
        <v>6680232.1318700677</v>
      </c>
      <c r="AI119">
        <f t="shared" si="281"/>
        <v>50278.629201730611</v>
      </c>
      <c r="AJ119">
        <f t="shared" si="290"/>
        <v>141905.40740400471</v>
      </c>
      <c r="AK119">
        <f t="shared" si="291"/>
        <v>240869.37191525166</v>
      </c>
      <c r="AL119">
        <f t="shared" si="292"/>
        <v>347758.06170594279</v>
      </c>
      <c r="AM119">
        <f t="shared" si="293"/>
        <v>463206.06403281167</v>
      </c>
      <c r="AN119">
        <f t="shared" si="294"/>
        <v>587898.7819187172</v>
      </c>
      <c r="AO119">
        <f t="shared" si="295"/>
        <v>722576.50332053122</v>
      </c>
      <c r="AP119">
        <f t="shared" si="296"/>
        <v>868038.79614328512</v>
      </c>
      <c r="AQ119">
        <f t="shared" si="297"/>
        <v>1025149.2551933267</v>
      </c>
      <c r="AR119">
        <f t="shared" si="298"/>
        <v>1194840.6292526643</v>
      </c>
      <c r="AS119">
        <f t="shared" si="299"/>
        <v>1378120.3587134145</v>
      </c>
      <c r="AT119">
        <f t="shared" si="300"/>
        <v>1576076.5566487303</v>
      </c>
      <c r="AU119">
        <f t="shared" si="301"/>
        <v>1789884.4688292083</v>
      </c>
      <c r="AV119">
        <f t="shared" si="302"/>
        <v>2020813.4510372446</v>
      </c>
      <c r="AW119">
        <f t="shared" si="303"/>
        <v>2270234.5051029352</v>
      </c>
      <c r="AX119">
        <f t="shared" si="304"/>
        <v>2539628.4184022043</v>
      </c>
      <c r="AY119">
        <f t="shared" si="305"/>
        <v>2830594.5551405274</v>
      </c>
      <c r="AZ119">
        <f t="shared" si="306"/>
        <v>3144860.3516152012</v>
      </c>
      <c r="BA119">
        <f t="shared" si="307"/>
        <v>3484291.5718285786</v>
      </c>
      <c r="BB119">
        <f t="shared" si="308"/>
        <v>3850903.3843387794</v>
      </c>
      <c r="BC119">
        <f t="shared" si="309"/>
        <v>4246872.3261100287</v>
      </c>
      <c r="BD119">
        <f t="shared" si="310"/>
        <v>4674549.2243907675</v>
      </c>
      <c r="BE119">
        <f t="shared" si="311"/>
        <v>5136473.1533354279</v>
      </c>
      <c r="BF119">
        <f t="shared" si="312"/>
        <v>5635386.5082288831</v>
      </c>
      <c r="BG119">
        <f t="shared" si="313"/>
        <v>6174251.2868077466</v>
      </c>
      <c r="BH119">
        <f t="shared" si="314"/>
        <v>6756266.6743390299</v>
      </c>
      <c r="BI119">
        <f t="shared" si="315"/>
        <v>7384888.0368570033</v>
      </c>
      <c r="BJ119">
        <f t="shared" si="316"/>
        <v>8063847.435319148</v>
      </c>
    </row>
    <row r="120" spans="1:62" x14ac:dyDescent="0.3">
      <c r="D120">
        <f t="shared" si="279"/>
        <v>57269.652111772608</v>
      </c>
      <c r="E120">
        <f t="shared" si="283"/>
        <v>147556.75479450222</v>
      </c>
      <c r="F120">
        <f t="shared" si="283"/>
        <v>243389.67997503292</v>
      </c>
      <c r="G120">
        <f t="shared" si="283"/>
        <v>345109.07594379882</v>
      </c>
      <c r="H120">
        <f t="shared" si="284"/>
        <v>454115.10948008293</v>
      </c>
      <c r="I120">
        <f t="shared" si="284"/>
        <v>570107.21984141588</v>
      </c>
      <c r="J120">
        <f t="shared" si="284"/>
        <v>693533.13700954407</v>
      </c>
      <c r="K120">
        <f t="shared" si="285"/>
        <v>826840.72444255371</v>
      </c>
      <c r="L120">
        <f t="shared" si="286"/>
        <v>969047.87664098712</v>
      </c>
      <c r="M120">
        <f t="shared" si="317"/>
        <v>1122992.11432242</v>
      </c>
      <c r="N120">
        <f t="shared" si="318"/>
        <v>1288051.0120189732</v>
      </c>
      <c r="O120">
        <f t="shared" si="319"/>
        <v>1464564.7020709654</v>
      </c>
      <c r="P120">
        <f t="shared" si="320"/>
        <v>1653328.1265853501</v>
      </c>
      <c r="Q120">
        <f t="shared" si="321"/>
        <v>1855191.3952298525</v>
      </c>
      <c r="R120">
        <f t="shared" si="322"/>
        <v>2071063.613763043</v>
      </c>
      <c r="S120">
        <f t="shared" si="323"/>
        <v>2301916.9782575476</v>
      </c>
      <c r="T120">
        <f t="shared" si="324"/>
        <v>2548791.1534550339</v>
      </c>
      <c r="U120">
        <f t="shared" si="325"/>
        <v>2812797.9549711943</v>
      </c>
      <c r="V120">
        <f t="shared" si="326"/>
        <v>3095126.3564373967</v>
      </c>
      <c r="W120">
        <f t="shared" si="327"/>
        <v>3397047.8441290027</v>
      </c>
      <c r="X120">
        <f t="shared" si="328"/>
        <v>3719922.1431953143</v>
      </c>
      <c r="Y120">
        <f t="shared" si="329"/>
        <v>4065203.3412796464</v>
      </c>
      <c r="Z120">
        <f t="shared" si="330"/>
        <v>4434446.4371076822</v>
      </c>
      <c r="AA120">
        <f t="shared" si="331"/>
        <v>4829314.343536146</v>
      </c>
      <c r="AB120">
        <f t="shared" si="332"/>
        <v>5251585.3766005374</v>
      </c>
      <c r="AC120">
        <f t="shared" si="333"/>
        <v>5703161.2642893791</v>
      </c>
      <c r="AD120">
        <f t="shared" si="334"/>
        <v>6192522.7804424381</v>
      </c>
      <c r="AE120">
        <f t="shared" si="289"/>
        <v>6726131.7611811562</v>
      </c>
      <c r="AI120">
        <f t="shared" si="281"/>
        <v>57647.503573789756</v>
      </c>
      <c r="AJ120">
        <f t="shared" si="290"/>
        <v>149864.35822768649</v>
      </c>
      <c r="AK120">
        <f t="shared" si="291"/>
        <v>249465.65067038589</v>
      </c>
      <c r="AL120">
        <f t="shared" si="292"/>
        <v>357042.70362332906</v>
      </c>
      <c r="AM120">
        <f t="shared" si="293"/>
        <v>473234.191085183</v>
      </c>
      <c r="AN120">
        <f t="shared" si="294"/>
        <v>598729.93007427373</v>
      </c>
      <c r="AO120">
        <f t="shared" si="295"/>
        <v>734274.97600191541</v>
      </c>
      <c r="AP120">
        <f t="shared" si="296"/>
        <v>880674.04599044786</v>
      </c>
      <c r="AQ120">
        <f t="shared" si="297"/>
        <v>1038796.2963967718</v>
      </c>
      <c r="AR120">
        <f t="shared" si="298"/>
        <v>1209580.4829050514</v>
      </c>
      <c r="AS120">
        <f t="shared" si="299"/>
        <v>1394040.533823529</v>
      </c>
      <c r="AT120">
        <f t="shared" si="300"/>
        <v>1593271.5696735482</v>
      </c>
      <c r="AU120">
        <f t="shared" si="301"/>
        <v>1808456.4048084684</v>
      </c>
      <c r="AV120">
        <f t="shared" si="302"/>
        <v>2040872.5696619244</v>
      </c>
      <c r="AW120">
        <f t="shared" si="303"/>
        <v>2291899.895315798</v>
      </c>
      <c r="AX120">
        <f t="shared" si="304"/>
        <v>2563028.7054167143</v>
      </c>
      <c r="AY120">
        <f t="shared" si="305"/>
        <v>2855868.6640756326</v>
      </c>
      <c r="AZ120">
        <f t="shared" si="306"/>
        <v>3172158.332279603</v>
      </c>
      <c r="BA120">
        <f t="shared" si="307"/>
        <v>3513775.4895511544</v>
      </c>
      <c r="BB120">
        <f t="shared" si="308"/>
        <v>3882748.282133921</v>
      </c>
      <c r="BC120">
        <f t="shared" si="309"/>
        <v>4281267.263890177</v>
      </c>
      <c r="BD120">
        <f t="shared" si="310"/>
        <v>4711698.4013958443</v>
      </c>
      <c r="BE120">
        <f t="shared" si="311"/>
        <v>5176597.1204429083</v>
      </c>
      <c r="BF120">
        <f t="shared" si="312"/>
        <v>5678723.4773418773</v>
      </c>
      <c r="BG120">
        <f t="shared" si="313"/>
        <v>6221058.5450947881</v>
      </c>
      <c r="BH120">
        <f t="shared" si="314"/>
        <v>6806822.1117217736</v>
      </c>
      <c r="BI120">
        <f t="shared" si="315"/>
        <v>7439491.7958143624</v>
      </c>
      <c r="BJ120">
        <f t="shared" si="316"/>
        <v>8122823.6928026034</v>
      </c>
    </row>
    <row r="121" spans="1:62" x14ac:dyDescent="0.3">
      <c r="D121">
        <f t="shared" si="279"/>
        <v>64589.714979289238</v>
      </c>
      <c r="E121">
        <f t="shared" ref="E121:F124" si="335">(E120+7000)*1.00644-(0.00146*(E120+7000))</f>
        <v>155326.44743337887</v>
      </c>
      <c r="F121">
        <f t="shared" si="335"/>
        <v>251636.62058130861</v>
      </c>
      <c r="G121">
        <f t="shared" ref="G121:I124" si="336">(G120+7000)*1.00644-(0.00125*(G120+7000))</f>
        <v>353936.5220479471</v>
      </c>
      <c r="H121">
        <f t="shared" si="336"/>
        <v>463508.29689828458</v>
      </c>
      <c r="I121">
        <f t="shared" si="336"/>
        <v>580102.40631239279</v>
      </c>
      <c r="J121">
        <f>(J120+7000)*1.00644-(0.00104*(J120+7000))</f>
        <v>704316.0159493956</v>
      </c>
      <c r="K121">
        <f t="shared" si="285"/>
        <v>838343.46435454348</v>
      </c>
      <c r="L121">
        <f t="shared" si="286"/>
        <v>981318.5351748484</v>
      </c>
      <c r="M121">
        <f t="shared" si="317"/>
        <v>1136327.9801074257</v>
      </c>
      <c r="N121">
        <f t="shared" si="318"/>
        <v>1302312.3630433634</v>
      </c>
      <c r="O121">
        <f t="shared" si="319"/>
        <v>1479815.7653554773</v>
      </c>
      <c r="P121">
        <f t="shared" si="320"/>
        <v>1669637.5863911142</v>
      </c>
      <c r="Q121">
        <f t="shared" si="321"/>
        <v>1872632.7023829063</v>
      </c>
      <c r="R121">
        <f t="shared" si="322"/>
        <v>2089715.3164454123</v>
      </c>
      <c r="S121">
        <f t="shared" si="323"/>
        <v>2321863.0757546378</v>
      </c>
      <c r="T121">
        <f t="shared" si="324"/>
        <v>2570121.474452456</v>
      </c>
      <c r="U121">
        <f t="shared" si="325"/>
        <v>2835608.5621047178</v>
      </c>
      <c r="V121">
        <f t="shared" si="326"/>
        <v>3119519.9789179415</v>
      </c>
      <c r="W121">
        <f t="shared" si="327"/>
        <v>3423134.3403910343</v>
      </c>
      <c r="X121">
        <f t="shared" si="328"/>
        <v>3747818.9956522104</v>
      </c>
      <c r="Y121">
        <f t="shared" si="329"/>
        <v>4095036.1854142016</v>
      </c>
      <c r="Z121">
        <f t="shared" si="330"/>
        <v>4466349.6272805445</v>
      </c>
      <c r="AA121">
        <f t="shared" si="331"/>
        <v>4863431.5580603527</v>
      </c>
      <c r="AB121">
        <f t="shared" si="332"/>
        <v>5288070.2648071367</v>
      </c>
      <c r="AC121">
        <f t="shared" si="333"/>
        <v>5742178.1384982495</v>
      </c>
      <c r="AD121">
        <f t="shared" si="334"/>
        <v>6235585.4044562718</v>
      </c>
      <c r="AE121">
        <f t="shared" si="289"/>
        <v>6772298.3886359464</v>
      </c>
      <c r="AI121">
        <f t="shared" si="281"/>
        <v>65063.83349680496</v>
      </c>
      <c r="AJ121">
        <f t="shared" si="290"/>
        <v>157874.56469467279</v>
      </c>
      <c r="AK121">
        <f t="shared" si="291"/>
        <v>258117.28946070318</v>
      </c>
      <c r="AL121">
        <f t="shared" si="292"/>
        <v>366387.13863466331</v>
      </c>
      <c r="AM121">
        <f t="shared" si="293"/>
        <v>483326.89927577158</v>
      </c>
      <c r="AN121">
        <f t="shared" si="294"/>
        <v>609630.8308239521</v>
      </c>
      <c r="AO121">
        <f t="shared" si="295"/>
        <v>746048.78684736777</v>
      </c>
      <c r="AP121">
        <f t="shared" si="296"/>
        <v>893390.66684662632</v>
      </c>
      <c r="AQ121">
        <f t="shared" si="297"/>
        <v>1052531.2245455671</v>
      </c>
      <c r="AR121">
        <f t="shared" si="298"/>
        <v>1224415.2612149599</v>
      </c>
      <c r="AS121">
        <f t="shared" si="299"/>
        <v>1410063.2348613525</v>
      </c>
      <c r="AT121">
        <f t="shared" si="300"/>
        <v>1610577.3185822458</v>
      </c>
      <c r="AU121">
        <f t="shared" si="301"/>
        <v>1827147.944055435</v>
      </c>
      <c r="AV121">
        <f t="shared" si="302"/>
        <v>2061060.8690105472</v>
      </c>
      <c r="AW121">
        <f t="shared" si="303"/>
        <v>2313704.8106416319</v>
      </c>
      <c r="AX121">
        <f t="shared" si="304"/>
        <v>2586579.6902795979</v>
      </c>
      <c r="AY121">
        <f t="shared" si="305"/>
        <v>2881305.5382722798</v>
      </c>
      <c r="AZ121">
        <f t="shared" si="306"/>
        <v>3199632.1119394838</v>
      </c>
      <c r="BA121">
        <f t="shared" si="307"/>
        <v>3543449.2837038641</v>
      </c>
      <c r="BB121">
        <f t="shared" si="308"/>
        <v>3914798.2610708633</v>
      </c>
      <c r="BC121">
        <f t="shared" si="309"/>
        <v>4315883.7050696295</v>
      </c>
      <c r="BD121">
        <f t="shared" si="310"/>
        <v>4749086.8191008335</v>
      </c>
      <c r="BE121">
        <f t="shared" si="311"/>
        <v>5216979.4858985608</v>
      </c>
      <c r="BF121">
        <f t="shared" si="312"/>
        <v>5722339.5365359588</v>
      </c>
      <c r="BG121">
        <f t="shared" si="313"/>
        <v>6268167.2421251982</v>
      </c>
      <c r="BH121">
        <f t="shared" si="314"/>
        <v>6857703.1261212621</v>
      </c>
      <c r="BI121">
        <f t="shared" si="315"/>
        <v>7494447.2029794073</v>
      </c>
      <c r="BJ121">
        <f t="shared" si="316"/>
        <v>8182179.7573842518</v>
      </c>
    </row>
    <row r="122" spans="1:62" x14ac:dyDescent="0.3">
      <c r="D122">
        <f t="shared" si="279"/>
        <v>71946.231759886112</v>
      </c>
      <c r="E122">
        <f t="shared" si="335"/>
        <v>163134.8331415971</v>
      </c>
      <c r="F122">
        <f t="shared" si="335"/>
        <v>259924.63095180353</v>
      </c>
      <c r="G122">
        <f t="shared" si="336"/>
        <v>362809.78259737592</v>
      </c>
      <c r="H122">
        <f t="shared" si="336"/>
        <v>472950.2349591867</v>
      </c>
      <c r="I122">
        <f t="shared" si="336"/>
        <v>590149.46780115401</v>
      </c>
      <c r="J122">
        <f>(J121+7000)*1.00644-(0.00104*(J121+7000))</f>
        <v>715157.12243552238</v>
      </c>
      <c r="K122">
        <f t="shared" si="285"/>
        <v>849908.31906205812</v>
      </c>
      <c r="L122">
        <f t="shared" si="286"/>
        <v>993655.45526479254</v>
      </c>
      <c r="M122">
        <f t="shared" si="317"/>
        <v>1149738.6200918881</v>
      </c>
      <c r="N122">
        <f t="shared" si="318"/>
        <v>1316653.6774629476</v>
      </c>
      <c r="O122">
        <f t="shared" si="319"/>
        <v>1495152.3413518255</v>
      </c>
      <c r="P122">
        <f t="shared" si="320"/>
        <v>1686038.4933380091</v>
      </c>
      <c r="Q122">
        <f t="shared" si="321"/>
        <v>1890171.8029451673</v>
      </c>
      <c r="R122">
        <f t="shared" si="322"/>
        <v>2108471.599224722</v>
      </c>
      <c r="S122">
        <f t="shared" si="323"/>
        <v>2341921.011020394</v>
      </c>
      <c r="T122">
        <f t="shared" si="324"/>
        <v>2591571.3945597108</v>
      </c>
      <c r="U122">
        <f t="shared" si="325"/>
        <v>2858547.0683124387</v>
      </c>
      <c r="V122">
        <f t="shared" si="326"/>
        <v>3144050.3764397344</v>
      </c>
      <c r="W122">
        <f t="shared" si="327"/>
        <v>3449367.1036376068</v>
      </c>
      <c r="X122">
        <f t="shared" si="328"/>
        <v>3775872.2657608325</v>
      </c>
      <c r="Y122">
        <f t="shared" si="329"/>
        <v>4125036.302305819</v>
      </c>
      <c r="Z122">
        <f t="shared" si="330"/>
        <v>4498431.698640706</v>
      </c>
      <c r="AA122">
        <f t="shared" si="331"/>
        <v>4897740.0678063976</v>
      </c>
      <c r="AB122">
        <f t="shared" si="332"/>
        <v>5324759.7237819107</v>
      </c>
      <c r="AC122">
        <f t="shared" si="333"/>
        <v>5781413.7803208092</v>
      </c>
      <c r="AD122">
        <f t="shared" si="334"/>
        <v>6278898.5237539941</v>
      </c>
      <c r="AE122">
        <f t="shared" si="289"/>
        <v>6818733.5673626419</v>
      </c>
      <c r="AI122">
        <f t="shared" si="281"/>
        <v>72527.924584524386</v>
      </c>
      <c r="AJ122">
        <f t="shared" si="290"/>
        <v>165936.3568913065</v>
      </c>
      <c r="AK122">
        <f t="shared" si="291"/>
        <v>266824.64480483008</v>
      </c>
      <c r="AL122">
        <f t="shared" si="292"/>
        <v>375791.75180747051</v>
      </c>
      <c r="AM122">
        <f t="shared" si="293"/>
        <v>493484.60450710752</v>
      </c>
      <c r="AN122">
        <f t="shared" si="294"/>
        <v>620601.93337445834</v>
      </c>
      <c r="AO122">
        <f t="shared" si="295"/>
        <v>757898.42103466485</v>
      </c>
      <c r="AP122">
        <f t="shared" si="296"/>
        <v>906189.1827411186</v>
      </c>
      <c r="AQ122">
        <f t="shared" si="297"/>
        <v>1066354.6056316404</v>
      </c>
      <c r="AR122">
        <f t="shared" si="298"/>
        <v>1239345.5754971842</v>
      </c>
      <c r="AS122">
        <f t="shared" si="299"/>
        <v>1426189.1220938596</v>
      </c>
      <c r="AT122">
        <f t="shared" si="300"/>
        <v>1627994.5165139155</v>
      </c>
      <c r="AU122">
        <f t="shared" si="301"/>
        <v>1845959.8568151521</v>
      </c>
      <c r="AV122">
        <f t="shared" si="302"/>
        <v>2081379.181006975</v>
      </c>
      <c r="AW122">
        <f t="shared" si="303"/>
        <v>2335650.1496221642</v>
      </c>
      <c r="AX122">
        <f t="shared" si="304"/>
        <v>2610282.3434849987</v>
      </c>
      <c r="AY122">
        <f t="shared" si="305"/>
        <v>2906906.2259387532</v>
      </c>
      <c r="AZ122">
        <f t="shared" si="306"/>
        <v>3227282.8227403741</v>
      </c>
      <c r="BA122">
        <f t="shared" si="307"/>
        <v>3573314.1770909168</v>
      </c>
      <c r="BB122">
        <f t="shared" si="308"/>
        <v>3947054.6418721597</v>
      </c>
      <c r="BC122">
        <f t="shared" si="309"/>
        <v>4350723.0761302775</v>
      </c>
      <c r="BD122">
        <f t="shared" si="310"/>
        <v>4786716.0182158425</v>
      </c>
      <c r="BE122">
        <f t="shared" si="311"/>
        <v>5257621.9137877477</v>
      </c>
      <c r="BF122">
        <f t="shared" si="312"/>
        <v>5766236.4831512505</v>
      </c>
      <c r="BG122">
        <f t="shared" si="313"/>
        <v>6315579.3191644847</v>
      </c>
      <c r="BH122">
        <f t="shared" si="314"/>
        <v>6908911.814253483</v>
      </c>
      <c r="BI122">
        <f t="shared" si="315"/>
        <v>7549756.5229665944</v>
      </c>
      <c r="BJ122">
        <f t="shared" si="316"/>
        <v>8241918.0750218062</v>
      </c>
    </row>
    <row r="123" spans="1:62" x14ac:dyDescent="0.3">
      <c r="D123">
        <f t="shared" si="279"/>
        <v>79339.383994050339</v>
      </c>
      <c r="E123">
        <f t="shared" si="335"/>
        <v>170982.10461064224</v>
      </c>
      <c r="F123">
        <f t="shared" si="335"/>
        <v>268253.91561394348</v>
      </c>
      <c r="G123">
        <f t="shared" si="336"/>
        <v>371729.09536905627</v>
      </c>
      <c r="H123">
        <f t="shared" si="336"/>
        <v>482441.17667862488</v>
      </c>
      <c r="I123">
        <f t="shared" si="336"/>
        <v>600248.67353904201</v>
      </c>
      <c r="J123">
        <f>(J122+7000)*1.00644-(0.00104*(J122+7000))</f>
        <v>726056.77089667413</v>
      </c>
      <c r="K123">
        <f>(K122+7000)*1.00644-(0.00104*(K122+7000))</f>
        <v>861535.6239849932</v>
      </c>
      <c r="L123">
        <f>(L122+7000)*1.00644-(0.000833*(L122+7000))</f>
        <v>1006266.1304024622</v>
      </c>
      <c r="M123">
        <f t="shared" si="317"/>
        <v>1163224.4535347433</v>
      </c>
      <c r="N123">
        <f t="shared" si="318"/>
        <v>1331075.4036324823</v>
      </c>
      <c r="O123">
        <f t="shared" si="319"/>
        <v>1510574.9095297854</v>
      </c>
      <c r="P123">
        <f t="shared" si="320"/>
        <v>1702531.3601701553</v>
      </c>
      <c r="Q123">
        <f t="shared" si="321"/>
        <v>1907809.2452442809</v>
      </c>
      <c r="R123">
        <f t="shared" si="322"/>
        <v>2127333.0484815747</v>
      </c>
      <c r="S123">
        <f t="shared" si="323"/>
        <v>2362091.4111291855</v>
      </c>
      <c r="T123">
        <f t="shared" si="324"/>
        <v>2613141.584369007</v>
      </c>
      <c r="U123">
        <f t="shared" si="325"/>
        <v>2881614.1907244665</v>
      </c>
      <c r="V123">
        <f t="shared" si="326"/>
        <v>3168718.3159004319</v>
      </c>
      <c r="W123">
        <f t="shared" si="327"/>
        <v>3475746.9539877027</v>
      </c>
      <c r="X123">
        <f t="shared" si="328"/>
        <v>3804082.8305549533</v>
      </c>
      <c r="Y123">
        <f t="shared" si="329"/>
        <v>4155204.6298528477</v>
      </c>
      <c r="Z123">
        <f t="shared" si="330"/>
        <v>4530693.6541749844</v>
      </c>
      <c r="AA123">
        <f t="shared" si="331"/>
        <v>4932240.9453665884</v>
      </c>
      <c r="AB123">
        <f t="shared" si="332"/>
        <v>5361654.9005531557</v>
      </c>
      <c r="AC123">
        <f t="shared" si="333"/>
        <v>5820869.4163870681</v>
      </c>
      <c r="AD123">
        <f t="shared" si="334"/>
        <v>6322463.5954666715</v>
      </c>
      <c r="AE123">
        <f t="shared" si="289"/>
        <v>6865438.8595239902</v>
      </c>
      <c r="AI123">
        <f t="shared" si="281"/>
        <v>80040.084418848724</v>
      </c>
      <c r="AJ123">
        <f t="shared" si="290"/>
        <v>174050.0670296865</v>
      </c>
      <c r="AK123">
        <f t="shared" si="291"/>
        <v>275588.07551737316</v>
      </c>
      <c r="AL123">
        <f t="shared" si="292"/>
        <v>385256.93068911065</v>
      </c>
      <c r="AM123">
        <f t="shared" si="293"/>
        <v>503707.72536013328</v>
      </c>
      <c r="AN123">
        <f t="shared" si="294"/>
        <v>631643.68982538988</v>
      </c>
      <c r="AO123">
        <f t="shared" si="295"/>
        <v>769824.36686612805</v>
      </c>
      <c r="AP123">
        <f t="shared" si="296"/>
        <v>919070.12107797142</v>
      </c>
      <c r="AQ123">
        <f t="shared" si="297"/>
        <v>1080267.0092919082</v>
      </c>
      <c r="AR123">
        <f t="shared" si="298"/>
        <v>1254372.041003386</v>
      </c>
      <c r="AS123">
        <f t="shared" si="299"/>
        <v>1442418.8600401441</v>
      </c>
      <c r="AT123">
        <f t="shared" si="300"/>
        <v>1645523.8812002651</v>
      </c>
      <c r="AU123">
        <f t="shared" si="301"/>
        <v>1864892.9182930416</v>
      </c>
      <c r="AV123">
        <f t="shared" si="302"/>
        <v>2101828.3429326601</v>
      </c>
      <c r="AW123">
        <f t="shared" si="303"/>
        <v>2357736.8165857308</v>
      </c>
      <c r="AX123">
        <f t="shared" si="304"/>
        <v>2634137.6417770423</v>
      </c>
      <c r="AY123">
        <f t="shared" si="305"/>
        <v>2932671.7820337988</v>
      </c>
      <c r="AZ123">
        <f t="shared" si="306"/>
        <v>3255111.6041188221</v>
      </c>
      <c r="BA123">
        <f t="shared" si="307"/>
        <v>3603371.4003913822</v>
      </c>
      <c r="BB123">
        <f t="shared" si="308"/>
        <v>3979518.7537658163</v>
      </c>
      <c r="BC123">
        <f t="shared" si="309"/>
        <v>4385786.8127405569</v>
      </c>
      <c r="BD123">
        <f t="shared" si="310"/>
        <v>4824587.5493731527</v>
      </c>
      <c r="BE123">
        <f t="shared" si="311"/>
        <v>5298526.0789125413</v>
      </c>
      <c r="BF123">
        <f t="shared" si="312"/>
        <v>5810416.1261027446</v>
      </c>
      <c r="BG123">
        <f t="shared" si="313"/>
        <v>6363296.7299799044</v>
      </c>
      <c r="BH123">
        <f t="shared" si="314"/>
        <v>6960450.2863372751</v>
      </c>
      <c r="BI123">
        <f t="shared" si="315"/>
        <v>7605422.0349744996</v>
      </c>
      <c r="BJ123">
        <f t="shared" si="316"/>
        <v>8302041.1074249465</v>
      </c>
    </row>
    <row r="124" spans="1:62" x14ac:dyDescent="0.3">
      <c r="D124">
        <f t="shared" si="279"/>
        <v>86769.35412634071</v>
      </c>
      <c r="E124">
        <f t="shared" si="335"/>
        <v>178868.45549160324</v>
      </c>
      <c r="F124">
        <f t="shared" si="335"/>
        <v>276624.68011370092</v>
      </c>
      <c r="G124">
        <f t="shared" si="336"/>
        <v>380694.69937402167</v>
      </c>
      <c r="H124">
        <f t="shared" si="336"/>
        <v>491981.37638558698</v>
      </c>
      <c r="I124">
        <f t="shared" si="336"/>
        <v>610400.29415470967</v>
      </c>
      <c r="J124">
        <f>(J123+7000)*1.00644-(0.00104*(J123+7000))</f>
        <v>737015.27745951619</v>
      </c>
      <c r="K124">
        <f>(K123+7000)*1.00644-(0.00104*(K123+7000))</f>
        <v>873225.71635451214</v>
      </c>
      <c r="L124">
        <f>(L123+7000)*1.00644-(0.000833*(L123+7000))</f>
        <v>1018947.5135956288</v>
      </c>
      <c r="M124">
        <f t="shared" si="317"/>
        <v>1176785.9020457126</v>
      </c>
      <c r="N124">
        <f t="shared" si="318"/>
        <v>1345577.9924206496</v>
      </c>
      <c r="O124">
        <f t="shared" si="319"/>
        <v>1526083.9520475189</v>
      </c>
      <c r="P124">
        <f t="shared" si="320"/>
        <v>1719116.7025066293</v>
      </c>
      <c r="Q124">
        <f t="shared" si="321"/>
        <v>1925545.5806823657</v>
      </c>
      <c r="R124">
        <f t="shared" si="322"/>
        <v>2146300.253884411</v>
      </c>
      <c r="S124">
        <f t="shared" si="323"/>
        <v>2382374.9066713871</v>
      </c>
      <c r="T124">
        <f t="shared" si="324"/>
        <v>2634832.7182325642</v>
      </c>
      <c r="U124">
        <f t="shared" si="325"/>
        <v>2904810.6504918584</v>
      </c>
      <c r="V124">
        <f t="shared" si="326"/>
        <v>3193524.5684976857</v>
      </c>
      <c r="W124" s="3">
        <f t="shared" si="327"/>
        <v>3502274.7161587118</v>
      </c>
      <c r="X124">
        <f t="shared" si="328"/>
        <v>3832451.5719858753</v>
      </c>
      <c r="Y124">
        <f t="shared" si="329"/>
        <v>4185542.1112124324</v>
      </c>
      <c r="Z124">
        <f t="shared" si="330"/>
        <v>4563136.502493944</v>
      </c>
      <c r="AA124">
        <f t="shared" si="331"/>
        <v>4966935.2693472588</v>
      </c>
      <c r="AB124" s="3">
        <f t="shared" si="332"/>
        <v>5398756.9485805565</v>
      </c>
      <c r="AC124">
        <f t="shared" si="333"/>
        <v>5860546.2802047506</v>
      </c>
      <c r="AD124">
        <f t="shared" si="334"/>
        <v>6366282.0852015018</v>
      </c>
      <c r="AE124">
        <f t="shared" si="289"/>
        <v>6912415.8363698414</v>
      </c>
      <c r="AI124">
        <f t="shared" si="281"/>
        <v>87600.622562506105</v>
      </c>
      <c r="AJ124">
        <f t="shared" si="290"/>
        <v>182216.02946135768</v>
      </c>
      <c r="AK124">
        <f t="shared" si="291"/>
        <v>284407.94272370503</v>
      </c>
      <c r="AL124">
        <f t="shared" si="292"/>
        <v>394783.0653227485</v>
      </c>
      <c r="AM124">
        <f t="shared" si="293"/>
        <v>513996.68311145256</v>
      </c>
      <c r="AN124">
        <f t="shared" si="294"/>
        <v>642756.55518786539</v>
      </c>
      <c r="AO124">
        <f t="shared" si="295"/>
        <v>781827.11578874593</v>
      </c>
      <c r="AP124">
        <f t="shared" si="296"/>
        <v>932034.01265771361</v>
      </c>
      <c r="AQ124">
        <f t="shared" si="297"/>
        <v>1094269.008831748</v>
      </c>
      <c r="AR124">
        <f t="shared" si="298"/>
        <v>1269495.2769474478</v>
      </c>
      <c r="AS124">
        <f t="shared" si="299"/>
        <v>1458753.1174988025</v>
      </c>
      <c r="AT124">
        <f t="shared" si="300"/>
        <v>1663166.1349951949</v>
      </c>
      <c r="AU124">
        <f t="shared" si="301"/>
        <v>1883947.9086868488</v>
      </c>
      <c r="AV124">
        <f t="shared" si="302"/>
        <v>2122409.1974611464</v>
      </c>
      <c r="AW124">
        <f t="shared" si="303"/>
        <v>2379965.721684543</v>
      </c>
      <c r="AX124">
        <f t="shared" si="304"/>
        <v>2658146.5681900866</v>
      </c>
      <c r="AY124">
        <f t="shared" si="305"/>
        <v>2958603.2683100966</v>
      </c>
      <c r="AZ124">
        <f t="shared" si="306"/>
        <v>3283119.6028493475</v>
      </c>
      <c r="BA124">
        <f t="shared" si="307"/>
        <v>3633622.1922099027</v>
      </c>
      <c r="BB124" s="3">
        <f t="shared" si="308"/>
        <v>4012191.9345400683</v>
      </c>
      <c r="BC124">
        <f t="shared" si="309"/>
        <v>4421076.3598146057</v>
      </c>
      <c r="BD124">
        <f t="shared" si="310"/>
        <v>4862702.973191116</v>
      </c>
      <c r="BE124">
        <f t="shared" si="311"/>
        <v>5339693.6668607378</v>
      </c>
      <c r="BF124">
        <f t="shared" si="312"/>
        <v>5854880.2859548461</v>
      </c>
      <c r="BG124" s="3">
        <f t="shared" si="313"/>
        <v>6411321.4409209751</v>
      </c>
      <c r="BH124">
        <f t="shared" si="314"/>
        <v>7012320.6661812868</v>
      </c>
      <c r="BI124">
        <f t="shared" si="315"/>
        <v>7661446.0328797353</v>
      </c>
      <c r="BJ124">
        <f t="shared" si="316"/>
        <v>8362551.3321567634</v>
      </c>
    </row>
    <row r="127" spans="1:62" x14ac:dyDescent="0.3">
      <c r="D127" t="s">
        <v>62</v>
      </c>
      <c r="AI127" t="s">
        <v>62</v>
      </c>
      <c r="AJ127" t="s">
        <v>66</v>
      </c>
    </row>
    <row r="128" spans="1:62" x14ac:dyDescent="0.3">
      <c r="D128" t="s">
        <v>63</v>
      </c>
      <c r="AI128" t="s">
        <v>63</v>
      </c>
    </row>
    <row r="129" spans="1:62" x14ac:dyDescent="0.3">
      <c r="D129" t="s">
        <v>78</v>
      </c>
      <c r="AI129" t="s">
        <v>78</v>
      </c>
    </row>
    <row r="130" spans="1:62" x14ac:dyDescent="0.3">
      <c r="D130" t="s">
        <v>15</v>
      </c>
      <c r="E130" t="s">
        <v>16</v>
      </c>
      <c r="F130" t="s">
        <v>17</v>
      </c>
      <c r="G130" t="s">
        <v>18</v>
      </c>
      <c r="H130" t="s">
        <v>19</v>
      </c>
      <c r="I130" t="s">
        <v>20</v>
      </c>
      <c r="J130" t="s">
        <v>21</v>
      </c>
      <c r="K130" t="s">
        <v>22</v>
      </c>
      <c r="L130" t="s">
        <v>23</v>
      </c>
      <c r="M130" t="s">
        <v>24</v>
      </c>
      <c r="N130" t="s">
        <v>25</v>
      </c>
      <c r="O130" t="s">
        <v>26</v>
      </c>
      <c r="P130" t="s">
        <v>27</v>
      </c>
      <c r="Q130" t="s">
        <v>28</v>
      </c>
      <c r="R130" t="s">
        <v>29</v>
      </c>
      <c r="S130" t="s">
        <v>30</v>
      </c>
      <c r="T130" t="s">
        <v>31</v>
      </c>
      <c r="U130" t="s">
        <v>32</v>
      </c>
      <c r="V130" t="s">
        <v>33</v>
      </c>
      <c r="W130" t="s">
        <v>34</v>
      </c>
      <c r="X130" t="s">
        <v>35</v>
      </c>
      <c r="Y130" t="s">
        <v>36</v>
      </c>
      <c r="Z130" t="s">
        <v>37</v>
      </c>
      <c r="AA130" t="s">
        <v>38</v>
      </c>
      <c r="AB130" t="s">
        <v>39</v>
      </c>
      <c r="AC130" t="s">
        <v>67</v>
      </c>
      <c r="AD130" t="s">
        <v>68</v>
      </c>
      <c r="AE130" t="s">
        <v>69</v>
      </c>
      <c r="AI130" t="s">
        <v>15</v>
      </c>
      <c r="AJ130" t="s">
        <v>16</v>
      </c>
      <c r="AK130" t="s">
        <v>17</v>
      </c>
      <c r="AL130" t="s">
        <v>18</v>
      </c>
      <c r="AM130" t="s">
        <v>19</v>
      </c>
      <c r="AN130" t="s">
        <v>20</v>
      </c>
      <c r="AO130" t="s">
        <v>21</v>
      </c>
      <c r="AP130" t="s">
        <v>22</v>
      </c>
      <c r="AQ130" t="s">
        <v>23</v>
      </c>
      <c r="AR130" t="s">
        <v>24</v>
      </c>
      <c r="AS130" t="s">
        <v>25</v>
      </c>
      <c r="AT130" t="s">
        <v>26</v>
      </c>
      <c r="AU130" t="s">
        <v>27</v>
      </c>
      <c r="AV130" t="s">
        <v>28</v>
      </c>
      <c r="AW130" t="s">
        <v>29</v>
      </c>
      <c r="AX130" t="s">
        <v>30</v>
      </c>
      <c r="AY130" t="s">
        <v>31</v>
      </c>
      <c r="AZ130" t="s">
        <v>32</v>
      </c>
      <c r="BA130" t="s">
        <v>33</v>
      </c>
      <c r="BB130" t="s">
        <v>34</v>
      </c>
      <c r="BC130" t="s">
        <v>35</v>
      </c>
      <c r="BD130" t="s">
        <v>36</v>
      </c>
      <c r="BE130" t="s">
        <v>37</v>
      </c>
      <c r="BF130" t="s">
        <v>38</v>
      </c>
      <c r="BG130" t="s">
        <v>39</v>
      </c>
      <c r="BH130" t="s">
        <v>67</v>
      </c>
      <c r="BI130" t="s">
        <v>68</v>
      </c>
      <c r="BJ130" t="s">
        <v>69</v>
      </c>
    </row>
    <row r="131" spans="1:62" x14ac:dyDescent="0.3">
      <c r="D131">
        <v>0</v>
      </c>
      <c r="AI131">
        <v>0</v>
      </c>
    </row>
    <row r="132" spans="1:62" x14ac:dyDescent="0.3">
      <c r="D132">
        <f t="shared" ref="D132:D143" si="337">(D131+7000)*1.00721-(0.00146*(D131+7000))</f>
        <v>7040.2499999999991</v>
      </c>
      <c r="E132">
        <f>(D143+7000)*1.00721-(0.00146*(D143+7000))</f>
        <v>94748.340798499034</v>
      </c>
      <c r="F132">
        <f>(E143+7000)*1.00721-(0.00146*(E143+7000))</f>
        <v>188703.39608670675</v>
      </c>
      <c r="G132">
        <f>(F143+7000)*1.00721-(0.00146*(F143+7000))</f>
        <v>289350.35275676614</v>
      </c>
      <c r="H132">
        <f>(G143+7000)*1.00721-(0.00125*(G143+7000))</f>
        <v>397641.42903038947</v>
      </c>
      <c r="I132">
        <f>(H143+7000)*1.00721-(0.00125*(H143+7000))</f>
        <v>514358.10134537908</v>
      </c>
      <c r="J132">
        <f>(I143+7000)*1.00721-(0.00125*(I143+7000))</f>
        <v>639701.49340476387</v>
      </c>
      <c r="K132">
        <f>(J143+7000)*1.00721-(0.00104*(J143+7000))</f>
        <v>775410.21314018616</v>
      </c>
      <c r="L132">
        <f>(K143+7000)*1.00721-(0.00104*(K143+7000))</f>
        <v>922256.69383808342</v>
      </c>
      <c r="M132">
        <f t="shared" ref="M132:AB132" si="338">(L143+7000)*1.00721-(0.000833*(L143+7000))</f>
        <v>1081664.6657215103</v>
      </c>
      <c r="N132">
        <f t="shared" si="338"/>
        <v>1254968.2965662172</v>
      </c>
      <c r="O132">
        <f t="shared" si="338"/>
        <v>1442008.9859202413</v>
      </c>
      <c r="P132">
        <f t="shared" si="338"/>
        <v>1643875.6133158144</v>
      </c>
      <c r="Q132">
        <f t="shared" si="338"/>
        <v>1861743.3692399433</v>
      </c>
      <c r="R132">
        <f t="shared" si="338"/>
        <v>2096880.5966450551</v>
      </c>
      <c r="S132">
        <f t="shared" si="338"/>
        <v>2350656.1747577596</v>
      </c>
      <c r="T132">
        <f t="shared" si="338"/>
        <v>2624547.4881714387</v>
      </c>
      <c r="U132">
        <f t="shared" si="338"/>
        <v>2920149.0276156901</v>
      </c>
      <c r="V132">
        <f t="shared" si="338"/>
        <v>3239181.6724730097</v>
      </c>
      <c r="W132">
        <f t="shared" si="338"/>
        <v>3583502.7090819962</v>
      </c>
      <c r="X132">
        <f t="shared" si="338"/>
        <v>3955116.6431498043</v>
      </c>
      <c r="Y132">
        <f t="shared" si="338"/>
        <v>4356186.8692196039</v>
      </c>
      <c r="Z132">
        <f t="shared" si="338"/>
        <v>4789048.2651282093</v>
      </c>
      <c r="AA132">
        <f t="shared" si="338"/>
        <v>5256220.7847740315</v>
      </c>
      <c r="AB132">
        <f t="shared" si="338"/>
        <v>5760424.1283272346</v>
      </c>
      <c r="AC132">
        <f>(AB143+7000)*1.00721-(0.000623*(AB143+7000))</f>
        <v>6313777.1403420856</v>
      </c>
      <c r="AD132">
        <f>(AC143+7000)*1.00721-(0.000623*(AC143+7000))</f>
        <v>6919011.5057828967</v>
      </c>
      <c r="AE132">
        <f>(AD143+7000)*1.00721-(0.000623*(AD143+7000))</f>
        <v>7573857.8178788843</v>
      </c>
      <c r="AI132">
        <f t="shared" ref="AI132:AI143" si="339">(AI131+7000)*1.00721-0</f>
        <v>7050.4699999999993</v>
      </c>
      <c r="AJ132">
        <f t="shared" ref="AJ132:BJ132" si="340">(AI143+7000)*1.00721-0</f>
        <v>95727.890031618197</v>
      </c>
      <c r="AK132">
        <f t="shared" si="340"/>
        <v>192389.36038213558</v>
      </c>
      <c r="AL132">
        <f t="shared" si="340"/>
        <v>297753.72311384924</v>
      </c>
      <c r="AM132">
        <f t="shared" si="340"/>
        <v>412604.54106233409</v>
      </c>
      <c r="AN132">
        <f t="shared" si="340"/>
        <v>537795.92495579657</v>
      </c>
      <c r="AO132">
        <f t="shared" si="340"/>
        <v>674258.88517772744</v>
      </c>
      <c r="AP132">
        <f t="shared" si="340"/>
        <v>823008.25540898601</v>
      </c>
      <c r="AQ132">
        <f t="shared" si="340"/>
        <v>985150.23963834543</v>
      </c>
      <c r="AR132">
        <f t="shared" si="340"/>
        <v>1161890.638666329</v>
      </c>
      <c r="AS132">
        <f t="shared" si="340"/>
        <v>1354543.8172803514</v>
      </c>
      <c r="AT132">
        <f t="shared" si="340"/>
        <v>1564542.4787873337</v>
      </c>
      <c r="AU132">
        <f t="shared" si="340"/>
        <v>1793448.3195940224</v>
      </c>
      <c r="AV132">
        <f t="shared" si="340"/>
        <v>2042963.6430699059</v>
      </c>
      <c r="AW132">
        <f t="shared" si="340"/>
        <v>2314944.0190614983</v>
      </c>
      <c r="AX132">
        <f t="shared" si="340"/>
        <v>2611412.0832029684</v>
      </c>
      <c r="AY132">
        <f t="shared" si="340"/>
        <v>2934572.5786444033</v>
      </c>
      <c r="AZ132">
        <f t="shared" si="340"/>
        <v>3286828.7520584823</v>
      </c>
      <c r="BA132">
        <f t="shared" si="340"/>
        <v>3670800.225857689</v>
      </c>
      <c r="BB132">
        <f t="shared" si="340"/>
        <v>4089342.4795323326</v>
      </c>
      <c r="BC132">
        <f t="shared" si="340"/>
        <v>4545568.0849861801</v>
      </c>
      <c r="BD132">
        <f t="shared" si="340"/>
        <v>5042869.853790462</v>
      </c>
      <c r="BE132">
        <f t="shared" si="340"/>
        <v>5584946.068495349</v>
      </c>
      <c r="BF132">
        <f t="shared" si="340"/>
        <v>6175827.9856365407</v>
      </c>
      <c r="BG132">
        <f t="shared" si="340"/>
        <v>6819909.8149684668</v>
      </c>
      <c r="BH132">
        <f t="shared" si="340"/>
        <v>7521981.39787059</v>
      </c>
      <c r="BI132">
        <f t="shared" si="340"/>
        <v>8287263.8279462252</v>
      </c>
      <c r="BJ132">
        <f t="shared" si="340"/>
        <v>9121448.2787134256</v>
      </c>
    </row>
    <row r="133" spans="1:62" x14ac:dyDescent="0.3">
      <c r="D133">
        <f t="shared" si="337"/>
        <v>14120.981437499999</v>
      </c>
      <c r="E133">
        <f t="shared" ref="E133:G138" si="341">(E132+7000)*1.00721-(0.00146*(E132+7000))</f>
        <v>102333.3937580904</v>
      </c>
      <c r="F133">
        <f t="shared" si="341"/>
        <v>196828.69061420529</v>
      </c>
      <c r="G133">
        <f t="shared" si="341"/>
        <v>298054.36728511751</v>
      </c>
      <c r="H133">
        <f t="shared" ref="H133:J137" si="342">(H132+7000)*1.00721-(0.00125*(H132+7000))</f>
        <v>407053.09194741055</v>
      </c>
      <c r="I133">
        <f t="shared" si="342"/>
        <v>524465.39562939748</v>
      </c>
      <c r="J133">
        <f t="shared" si="342"/>
        <v>650555.83430545614</v>
      </c>
      <c r="K133">
        <f t="shared" ref="K133:L138" si="343">(K132+7000)*1.00721-(0.00104*(K132+7000))</f>
        <v>787237.68415526114</v>
      </c>
      <c r="L133">
        <f t="shared" si="343"/>
        <v>934990.20763906441</v>
      </c>
      <c r="M133">
        <f t="shared" ref="M133:AB137" si="344">(M132+7000)*1.00721-(0.000833*(M132+7000))</f>
        <v>1095607.0802948163</v>
      </c>
      <c r="N133">
        <f t="shared" si="344"/>
        <v>1270015.8683934198</v>
      </c>
      <c r="O133">
        <f t="shared" si="344"/>
        <v>1458249.3162234544</v>
      </c>
      <c r="P133">
        <f t="shared" si="344"/>
        <v>1661403.2471019293</v>
      </c>
      <c r="Q133">
        <f t="shared" si="344"/>
        <v>1880660.3457055863</v>
      </c>
      <c r="R133">
        <f t="shared" si="344"/>
        <v>2117297.0432098606</v>
      </c>
      <c r="S133">
        <f t="shared" si="344"/>
        <v>2372690.9481841899</v>
      </c>
      <c r="T133">
        <f t="shared" si="344"/>
        <v>2648328.8665035078</v>
      </c>
      <c r="U133">
        <f t="shared" si="344"/>
        <v>2945815.4569647955</v>
      </c>
      <c r="V133">
        <f t="shared" si="344"/>
        <v>3266882.5729983696</v>
      </c>
      <c r="W133">
        <f t="shared" si="344"/>
        <v>3613399.3448578119</v>
      </c>
      <c r="X133">
        <f t="shared" si="344"/>
        <v>3987383.0609831703</v>
      </c>
      <c r="Y133">
        <f t="shared" si="344"/>
        <v>4391010.9118846171</v>
      </c>
      <c r="Z133">
        <f t="shared" si="344"/>
        <v>4826632.6649149312</v>
      </c>
      <c r="AA133">
        <f t="shared" si="344"/>
        <v>5296784.3437185353</v>
      </c>
      <c r="AB133">
        <f t="shared" si="344"/>
        <v>5804202.9919935772</v>
      </c>
      <c r="AC133">
        <f t="shared" ref="AC133:AC143" si="345">(AC132+7000)*1.00721-(0.000623*(AC132+7000))</f>
        <v>6362412.0993655184</v>
      </c>
      <c r="AD133">
        <f t="shared" ref="AD133:AD143" si="346">(AD132+7000)*1.00721-(0.000623*(AD132+7000))</f>
        <v>6971633.1435714876</v>
      </c>
      <c r="AE133">
        <f t="shared" ref="AE133:AE143" si="347">(AE132+7000)*1.00721-(0.000623*(AE132+7000))</f>
        <v>7630792.9283252517</v>
      </c>
      <c r="AI133">
        <f t="shared" si="339"/>
        <v>14151.773888699998</v>
      </c>
      <c r="AJ133">
        <f t="shared" ref="AJ133:AJ143" si="348">(AJ132+7000)*1.00721-0</f>
        <v>103468.55811874616</v>
      </c>
      <c r="AK133">
        <f t="shared" ref="AK133:AK143" si="349">(AK132+7000)*1.00721-0</f>
        <v>200826.95767049075</v>
      </c>
      <c r="AL133">
        <f t="shared" ref="AL133:AL143" si="350">(AL132+7000)*1.00721-0</f>
        <v>306950.99745750008</v>
      </c>
      <c r="AM133">
        <f t="shared" ref="AM133:AM143" si="351">(AM132+7000)*1.00721-0</f>
        <v>422629.88980339351</v>
      </c>
      <c r="AN133">
        <f t="shared" ref="AN133:AN143" si="352">(AN132+7000)*1.00721-0</f>
        <v>548723.90357472782</v>
      </c>
      <c r="AO133">
        <f t="shared" ref="AO133:AO143" si="353">(AO132+7000)*1.00721-0</f>
        <v>686170.76173985878</v>
      </c>
      <c r="AP133">
        <f t="shared" ref="AP133:AP143" si="354">(AP132+7000)*1.00721-0</f>
        <v>835992.61493048479</v>
      </c>
      <c r="AQ133">
        <f t="shared" ref="AQ133:AQ143" si="355">(AQ132+7000)*1.00721-0</f>
        <v>999303.64286613779</v>
      </c>
      <c r="AR133">
        <f t="shared" ref="AR133:AR143" si="356">(AR132+7000)*1.00721-0</f>
        <v>1177318.3401711131</v>
      </c>
      <c r="AS133">
        <f t="shared" ref="AS133:AS143" si="357">(AS132+7000)*1.00721-0</f>
        <v>1371360.5482029426</v>
      </c>
      <c r="AT133">
        <f t="shared" ref="AT133:AT143" si="358">(AT132+7000)*1.00721-0</f>
        <v>1582873.3000593903</v>
      </c>
      <c r="AU133">
        <f t="shared" ref="AU133:AU143" si="359">(AU132+7000)*1.00721-0</f>
        <v>1813429.5519782952</v>
      </c>
      <c r="AV133">
        <f t="shared" ref="AV133:AV143" si="360">(AV132+7000)*1.00721-0</f>
        <v>2064743.8809364398</v>
      </c>
      <c r="AW133">
        <f t="shared" ref="AW133:AW143" si="361">(AW132+7000)*1.00721-0</f>
        <v>2338685.2354389317</v>
      </c>
      <c r="AX133">
        <f t="shared" ref="AX133:AX143" si="362">(AX132+7000)*1.00721-0</f>
        <v>2637290.8343228614</v>
      </c>
      <c r="AY133">
        <f t="shared" ref="AY133:AY143" si="363">(AY132+7000)*1.00721-0</f>
        <v>2962781.3169364291</v>
      </c>
      <c r="AZ133">
        <f t="shared" ref="AZ133:AZ143" si="364">(AZ132+7000)*1.00721-0</f>
        <v>3317577.2573608239</v>
      </c>
      <c r="BA133">
        <f t="shared" ref="BA133:BA143" si="365">(BA132+7000)*1.00721-0</f>
        <v>3704317.1654861229</v>
      </c>
      <c r="BB133">
        <f t="shared" ref="BB133:BB143" si="366">(BB132+7000)*1.00721-0</f>
        <v>4125877.1088097603</v>
      </c>
      <c r="BC133">
        <f t="shared" ref="BC133:BC143" si="367">(BC132+7000)*1.00721-0</f>
        <v>4585392.1008789297</v>
      </c>
      <c r="BD133">
        <f t="shared" ref="BD133:BD143" si="368">(BD132+7000)*1.00721-0</f>
        <v>5086279.4154362911</v>
      </c>
      <c r="BE133">
        <f t="shared" ref="BE133:BE143" si="369">(BE132+7000)*1.00721-0</f>
        <v>5632263.9996492006</v>
      </c>
      <c r="BF133">
        <f t="shared" ref="BF133:BF143" si="370">(BF132+7000)*1.00721-0</f>
        <v>6227406.1754129799</v>
      </c>
      <c r="BG133">
        <f t="shared" ref="BG133:BG143" si="371">(BG132+7000)*1.00721-0</f>
        <v>6876131.8347343886</v>
      </c>
      <c r="BH133">
        <f t="shared" ref="BH133:BH143" si="372">(BH132+7000)*1.00721-0</f>
        <v>7583265.3537492361</v>
      </c>
      <c r="BI133">
        <f t="shared" ref="BI133:BI143" si="373">(BI132+7000)*1.00721-0</f>
        <v>8354065.4701457173</v>
      </c>
      <c r="BJ133">
        <f t="shared" ref="BJ133:BJ143" si="374">(BJ132+7000)*1.00721-0</f>
        <v>9194264.3908029497</v>
      </c>
    </row>
    <row r="134" spans="1:62" x14ac:dyDescent="0.3">
      <c r="A134">
        <f>0.0175/12</f>
        <v>1.4583333333333334E-3</v>
      </c>
      <c r="B134">
        <v>1.75</v>
      </c>
      <c r="D134">
        <f t="shared" si="337"/>
        <v>21242.427080765621</v>
      </c>
      <c r="E134">
        <f t="shared" si="341"/>
        <v>109962.06077219942</v>
      </c>
      <c r="F134">
        <f t="shared" si="341"/>
        <v>205000.70558523698</v>
      </c>
      <c r="G134">
        <f t="shared" si="341"/>
        <v>306808.42989700689</v>
      </c>
      <c r="H134">
        <f t="shared" si="342"/>
        <v>416520.84837541712</v>
      </c>
      <c r="I134">
        <f t="shared" si="342"/>
        <v>534632.92938734859</v>
      </c>
      <c r="J134">
        <f t="shared" si="342"/>
        <v>661474.86707791663</v>
      </c>
      <c r="K134">
        <f t="shared" si="343"/>
        <v>799138.13066649903</v>
      </c>
      <c r="L134">
        <f t="shared" si="343"/>
        <v>947802.28722019738</v>
      </c>
      <c r="M134">
        <f t="shared" si="344"/>
        <v>1109638.4056458564</v>
      </c>
      <c r="N134">
        <f t="shared" si="344"/>
        <v>1285159.3985861645</v>
      </c>
      <c r="O134">
        <f t="shared" si="344"/>
        <v>1474593.2111130112</v>
      </c>
      <c r="P134">
        <f t="shared" si="344"/>
        <v>1679042.6546086983</v>
      </c>
      <c r="Q134">
        <f t="shared" si="344"/>
        <v>1899697.9557301507</v>
      </c>
      <c r="R134">
        <f t="shared" si="344"/>
        <v>2137843.68545441</v>
      </c>
      <c r="S134">
        <f t="shared" si="344"/>
        <v>2394866.2373607606</v>
      </c>
      <c r="T134">
        <f t="shared" si="344"/>
        <v>2672261.8986852006</v>
      </c>
      <c r="U134">
        <f t="shared" si="344"/>
        <v>2971645.5611338597</v>
      </c>
      <c r="V134">
        <f t="shared" si="344"/>
        <v>3294760.1221663803</v>
      </c>
      <c r="W134">
        <f t="shared" si="344"/>
        <v>3643486.6314799702</v>
      </c>
      <c r="X134">
        <f t="shared" si="344"/>
        <v>4019855.2417630595</v>
      </c>
      <c r="Y134">
        <f t="shared" si="344"/>
        <v>4426057.0274697049</v>
      </c>
      <c r="Z134">
        <f t="shared" si="344"/>
        <v>4864456.7404190935</v>
      </c>
      <c r="AA134">
        <f t="shared" si="344"/>
        <v>5337606.5764784282</v>
      </c>
      <c r="AB134">
        <f t="shared" si="344"/>
        <v>5848261.0334735205</v>
      </c>
      <c r="AC134">
        <f t="shared" si="345"/>
        <v>6411367.4168640384</v>
      </c>
      <c r="AD134">
        <f t="shared" si="346"/>
        <v>7024601.4000881929</v>
      </c>
      <c r="AE134">
        <f t="shared" si="347"/>
        <v>7688103.0703441296</v>
      </c>
      <c r="AI134">
        <f t="shared" si="339"/>
        <v>21304.278178437522</v>
      </c>
      <c r="AJ134">
        <f t="shared" si="348"/>
        <v>111265.03642278232</v>
      </c>
      <c r="AK134">
        <f t="shared" si="349"/>
        <v>209325.39003529499</v>
      </c>
      <c r="AL134">
        <f t="shared" si="350"/>
        <v>316214.58414916863</v>
      </c>
      <c r="AM134">
        <f t="shared" si="351"/>
        <v>432727.52130887593</v>
      </c>
      <c r="AN134">
        <f t="shared" si="352"/>
        <v>559730.67291950155</v>
      </c>
      <c r="AO134">
        <f t="shared" si="353"/>
        <v>698168.52293200314</v>
      </c>
      <c r="AP134">
        <f t="shared" si="354"/>
        <v>849070.59168413351</v>
      </c>
      <c r="AQ134">
        <f t="shared" si="355"/>
        <v>1013559.0921312026</v>
      </c>
      <c r="AR134">
        <f t="shared" si="356"/>
        <v>1192857.2754037469</v>
      </c>
      <c r="AS134">
        <f t="shared" si="357"/>
        <v>1388298.5277554856</v>
      </c>
      <c r="AT134">
        <f t="shared" si="358"/>
        <v>1601336.2865528183</v>
      </c>
      <c r="AU134">
        <f t="shared" si="359"/>
        <v>1833554.8490480585</v>
      </c>
      <c r="AV134">
        <f t="shared" si="360"/>
        <v>2086681.1543179913</v>
      </c>
      <c r="AW134">
        <f t="shared" si="361"/>
        <v>2362597.6259864462</v>
      </c>
      <c r="AX134">
        <f t="shared" si="362"/>
        <v>2663356.1712383293</v>
      </c>
      <c r="AY134">
        <f t="shared" si="363"/>
        <v>2991193.4402315407</v>
      </c>
      <c r="AZ134">
        <f t="shared" si="364"/>
        <v>3348547.4593863953</v>
      </c>
      <c r="BA134">
        <f t="shared" si="365"/>
        <v>3738075.7622492774</v>
      </c>
      <c r="BB134">
        <f t="shared" si="366"/>
        <v>4162675.1527642785</v>
      </c>
      <c r="BC134">
        <f t="shared" si="367"/>
        <v>4625503.2479262669</v>
      </c>
      <c r="BD134">
        <f t="shared" si="368"/>
        <v>5130001.9600215862</v>
      </c>
      <c r="BE134">
        <f t="shared" si="369"/>
        <v>5679923.0930866711</v>
      </c>
      <c r="BF134">
        <f t="shared" si="370"/>
        <v>6279356.2439377075</v>
      </c>
      <c r="BG134">
        <f t="shared" si="371"/>
        <v>6932759.2152628228</v>
      </c>
      <c r="BH134">
        <f t="shared" si="372"/>
        <v>7644991.1669497676</v>
      </c>
      <c r="BI134">
        <f t="shared" si="373"/>
        <v>8421348.7521854676</v>
      </c>
      <c r="BJ134">
        <f t="shared" si="374"/>
        <v>9267605.5070606377</v>
      </c>
    </row>
    <row r="135" spans="1:62" x14ac:dyDescent="0.3">
      <c r="A135">
        <f>0.015/12</f>
        <v>1.25E-3</v>
      </c>
      <c r="B135">
        <v>1.5</v>
      </c>
      <c r="D135">
        <f t="shared" si="337"/>
        <v>28404.821036480022</v>
      </c>
      <c r="E135">
        <f t="shared" si="341"/>
        <v>117634.59262163956</v>
      </c>
      <c r="F135">
        <f t="shared" si="341"/>
        <v>213219.70964235207</v>
      </c>
      <c r="G135">
        <f t="shared" si="341"/>
        <v>315612.82836891466</v>
      </c>
      <c r="H135">
        <f t="shared" si="342"/>
        <v>426045.03263173456</v>
      </c>
      <c r="I135">
        <f t="shared" si="342"/>
        <v>544861.06164649723</v>
      </c>
      <c r="J135">
        <f t="shared" si="342"/>
        <v>672458.97728570097</v>
      </c>
      <c r="K135">
        <f t="shared" si="343"/>
        <v>811112.00293271127</v>
      </c>
      <c r="L135">
        <f t="shared" si="343"/>
        <v>960693.41733234597</v>
      </c>
      <c r="M135">
        <f t="shared" si="344"/>
        <v>1123759.2087586599</v>
      </c>
      <c r="N135">
        <f t="shared" si="344"/>
        <v>1300399.4990709485</v>
      </c>
      <c r="O135">
        <f t="shared" si="344"/>
        <v>1491041.3310202789</v>
      </c>
      <c r="P135">
        <f t="shared" si="344"/>
        <v>1696794.5486171378</v>
      </c>
      <c r="Q135">
        <f t="shared" si="344"/>
        <v>1918856.9685938417</v>
      </c>
      <c r="R135">
        <f t="shared" si="344"/>
        <v>2158521.353636553</v>
      </c>
      <c r="S135">
        <f t="shared" si="344"/>
        <v>2417182.9383564102</v>
      </c>
      <c r="T135">
        <f t="shared" si="344"/>
        <v>2696347.5518131158</v>
      </c>
      <c r="U135">
        <f t="shared" si="344"/>
        <v>2997640.3838772103</v>
      </c>
      <c r="V135">
        <f t="shared" si="344"/>
        <v>3322815.446465435</v>
      </c>
      <c r="W135">
        <f t="shared" si="344"/>
        <v>3673765.7847289178</v>
      </c>
      <c r="X135">
        <f t="shared" si="344"/>
        <v>4052534.4976397823</v>
      </c>
      <c r="Y135">
        <f t="shared" si="344"/>
        <v>4461326.6321338788</v>
      </c>
      <c r="Z135">
        <f t="shared" si="344"/>
        <v>4902522.020052745</v>
      </c>
      <c r="AA135">
        <f t="shared" si="344"/>
        <v>5378689.1326166308</v>
      </c>
      <c r="AB135">
        <f t="shared" si="344"/>
        <v>5892600.0330839809</v>
      </c>
      <c r="AC135">
        <f t="shared" si="345"/>
        <v>6460645.2030389216</v>
      </c>
      <c r="AD135">
        <f t="shared" si="346"/>
        <v>7077918.5585105736</v>
      </c>
      <c r="AE135">
        <f t="shared" si="347"/>
        <v>7745790.714268486</v>
      </c>
      <c r="AI135">
        <f t="shared" si="339"/>
        <v>28508.352024104053</v>
      </c>
      <c r="AJ135">
        <f t="shared" si="348"/>
        <v>119117.72733539056</v>
      </c>
      <c r="AK135">
        <f t="shared" si="349"/>
        <v>217885.09609744945</v>
      </c>
      <c r="AL135">
        <f t="shared" si="350"/>
        <v>325544.96130088414</v>
      </c>
      <c r="AM135">
        <f t="shared" si="351"/>
        <v>442897.9567375129</v>
      </c>
      <c r="AN135">
        <f t="shared" si="352"/>
        <v>570816.80107125116</v>
      </c>
      <c r="AO135">
        <f t="shared" si="353"/>
        <v>710252.78798234288</v>
      </c>
      <c r="AP135">
        <f t="shared" si="354"/>
        <v>862242.86065017607</v>
      </c>
      <c r="AQ135">
        <f t="shared" si="355"/>
        <v>1027917.3231854684</v>
      </c>
      <c r="AR135">
        <f t="shared" si="356"/>
        <v>1208508.2463594079</v>
      </c>
      <c r="AS135">
        <f t="shared" si="357"/>
        <v>1405358.6301406026</v>
      </c>
      <c r="AT135">
        <f t="shared" si="358"/>
        <v>1619932.3911788641</v>
      </c>
      <c r="AU135">
        <f t="shared" si="359"/>
        <v>1853825.249509695</v>
      </c>
      <c r="AV135">
        <f t="shared" si="360"/>
        <v>2108776.5954406238</v>
      </c>
      <c r="AW135">
        <f t="shared" si="361"/>
        <v>2386682.4248698084</v>
      </c>
      <c r="AX135">
        <f t="shared" si="362"/>
        <v>2689609.4392329575</v>
      </c>
      <c r="AY135">
        <f t="shared" si="363"/>
        <v>3019810.4149356098</v>
      </c>
      <c r="AZ135">
        <f t="shared" si="364"/>
        <v>3379740.9565685708</v>
      </c>
      <c r="BA135">
        <f t="shared" si="365"/>
        <v>3772077.7584950947</v>
      </c>
      <c r="BB135">
        <f t="shared" si="366"/>
        <v>4199738.5106157083</v>
      </c>
      <c r="BC135">
        <f t="shared" si="367"/>
        <v>4665903.5963438153</v>
      </c>
      <c r="BD135">
        <f t="shared" si="368"/>
        <v>5174039.7441533413</v>
      </c>
      <c r="BE135">
        <f t="shared" si="369"/>
        <v>5727925.8085878259</v>
      </c>
      <c r="BF135">
        <f t="shared" si="370"/>
        <v>6331680.8724564984</v>
      </c>
      <c r="BG135">
        <f t="shared" si="371"/>
        <v>6989794.8792048674</v>
      </c>
      <c r="BH135">
        <f t="shared" si="372"/>
        <v>7707162.0232634749</v>
      </c>
      <c r="BI135">
        <f t="shared" si="373"/>
        <v>8489117.1466887239</v>
      </c>
      <c r="BJ135">
        <f t="shared" si="374"/>
        <v>9341475.4127665441</v>
      </c>
    </row>
    <row r="136" spans="1:62" x14ac:dyDescent="0.3">
      <c r="A136">
        <f>0.0125/12</f>
        <v>1.0416666666666667E-3</v>
      </c>
      <c r="B136">
        <v>1.25</v>
      </c>
      <c r="D136">
        <f t="shared" si="337"/>
        <v>35608.398757439776</v>
      </c>
      <c r="E136">
        <f t="shared" si="341"/>
        <v>125351.24152921398</v>
      </c>
      <c r="F136">
        <f t="shared" si="341"/>
        <v>221485.97297279557</v>
      </c>
      <c r="G136">
        <f t="shared" si="341"/>
        <v>324467.85213203589</v>
      </c>
      <c r="H136">
        <f t="shared" si="342"/>
        <v>435625.98102621967</v>
      </c>
      <c r="I136">
        <f t="shared" si="342"/>
        <v>555150.15357391036</v>
      </c>
      <c r="J136">
        <f t="shared" si="342"/>
        <v>683508.55279032374</v>
      </c>
      <c r="K136">
        <f t="shared" si="343"/>
        <v>823159.75399080606</v>
      </c>
      <c r="L136">
        <f t="shared" si="343"/>
        <v>973664.08571728645</v>
      </c>
      <c r="M136">
        <f t="shared" si="344"/>
        <v>1137970.0602329138</v>
      </c>
      <c r="N136">
        <f t="shared" si="344"/>
        <v>1315736.7856765238</v>
      </c>
      <c r="O136">
        <f t="shared" si="344"/>
        <v>1507594.340588195</v>
      </c>
      <c r="P136">
        <f t="shared" si="344"/>
        <v>1714659.6464536691</v>
      </c>
      <c r="Q136">
        <f t="shared" si="344"/>
        <v>1938138.1584825644</v>
      </c>
      <c r="R136">
        <f t="shared" si="344"/>
        <v>2179330.8833086933</v>
      </c>
      <c r="S136">
        <f t="shared" si="344"/>
        <v>2439641.9529543091</v>
      </c>
      <c r="T136">
        <f t="shared" si="344"/>
        <v>2720586.799151028</v>
      </c>
      <c r="U136">
        <f t="shared" si="344"/>
        <v>3023800.9756051949</v>
      </c>
      <c r="V136">
        <f t="shared" si="344"/>
        <v>3351049.6795675447</v>
      </c>
      <c r="W136">
        <f t="shared" si="344"/>
        <v>3704238.0281381337</v>
      </c>
      <c r="X136">
        <f t="shared" si="344"/>
        <v>4085422.149131231</v>
      </c>
      <c r="Y136">
        <f t="shared" si="344"/>
        <v>4496821.1510669962</v>
      </c>
      <c r="Z136">
        <f t="shared" si="344"/>
        <v>4940830.0419746218</v>
      </c>
      <c r="AA136">
        <f t="shared" si="344"/>
        <v>5420033.6722153267</v>
      </c>
      <c r="AB136">
        <f t="shared" si="344"/>
        <v>5937221.7824949576</v>
      </c>
      <c r="AC136">
        <f t="shared" si="345"/>
        <v>6510247.5819913391</v>
      </c>
      <c r="AD136">
        <f t="shared" si="346"/>
        <v>7131586.917055482</v>
      </c>
      <c r="AE136">
        <f t="shared" si="347"/>
        <v>7803858.346703372</v>
      </c>
      <c r="AI136">
        <f t="shared" si="339"/>
        <v>35764.367242197841</v>
      </c>
      <c r="AJ136">
        <f t="shared" si="348"/>
        <v>127027.03614947872</v>
      </c>
      <c r="AK136">
        <f t="shared" si="349"/>
        <v>226506.51764031206</v>
      </c>
      <c r="AL136">
        <f t="shared" si="350"/>
        <v>334942.61047186347</v>
      </c>
      <c r="AM136">
        <f t="shared" si="351"/>
        <v>453141.72100559034</v>
      </c>
      <c r="AN136">
        <f t="shared" si="352"/>
        <v>581982.8602069749</v>
      </c>
      <c r="AO136">
        <f t="shared" si="353"/>
        <v>722424.18058369553</v>
      </c>
      <c r="AP136">
        <f t="shared" si="354"/>
        <v>875510.10167546372</v>
      </c>
      <c r="AQ136">
        <f t="shared" si="355"/>
        <v>1042379.0770856356</v>
      </c>
      <c r="AR136">
        <f t="shared" si="356"/>
        <v>1224272.0608156591</v>
      </c>
      <c r="AS136">
        <f t="shared" si="357"/>
        <v>1422541.7358639163</v>
      </c>
      <c r="AT136">
        <f t="shared" si="358"/>
        <v>1638662.5737192635</v>
      </c>
      <c r="AU136">
        <f t="shared" si="359"/>
        <v>1874241.7995586598</v>
      </c>
      <c r="AV136">
        <f t="shared" si="360"/>
        <v>2131031.3446937506</v>
      </c>
      <c r="AW136">
        <f t="shared" si="361"/>
        <v>2410940.8751531197</v>
      </c>
      <c r="AX136">
        <f t="shared" si="362"/>
        <v>2716051.9932898269</v>
      </c>
      <c r="AY136">
        <f t="shared" si="363"/>
        <v>3048633.7180272955</v>
      </c>
      <c r="AZ136">
        <f t="shared" si="364"/>
        <v>3411159.3588654301</v>
      </c>
      <c r="BA136">
        <f t="shared" si="365"/>
        <v>3806324.9091338441</v>
      </c>
      <c r="BB136">
        <f t="shared" si="366"/>
        <v>4237069.095277247</v>
      </c>
      <c r="BC136">
        <f t="shared" si="367"/>
        <v>4706595.2312734537</v>
      </c>
      <c r="BD136">
        <f t="shared" si="368"/>
        <v>5218395.0407086862</v>
      </c>
      <c r="BE136">
        <f t="shared" si="369"/>
        <v>5776274.623667744</v>
      </c>
      <c r="BF136">
        <f t="shared" si="370"/>
        <v>6384382.7615469098</v>
      </c>
      <c r="BG136">
        <f t="shared" si="371"/>
        <v>7047241.7702839337</v>
      </c>
      <c r="BH136">
        <f t="shared" si="372"/>
        <v>7769781.1314512044</v>
      </c>
      <c r="BI136">
        <f t="shared" si="373"/>
        <v>8557374.1513163485</v>
      </c>
      <c r="BJ136">
        <f t="shared" si="374"/>
        <v>9415877.9204925895</v>
      </c>
    </row>
    <row r="137" spans="1:62" x14ac:dyDescent="0.3">
      <c r="A137">
        <f>0.01/12</f>
        <v>8.3333333333333339E-4</v>
      </c>
      <c r="B137">
        <v>1</v>
      </c>
      <c r="D137">
        <f t="shared" si="337"/>
        <v>42853.397050295047</v>
      </c>
      <c r="E137">
        <f t="shared" si="341"/>
        <v>133112.26116800692</v>
      </c>
      <c r="F137">
        <f t="shared" si="341"/>
        <v>229799.76731738911</v>
      </c>
      <c r="G137">
        <f t="shared" si="341"/>
        <v>333373.79228179506</v>
      </c>
      <c r="H137">
        <f t="shared" si="342"/>
        <v>445264.03187313589</v>
      </c>
      <c r="I137">
        <f t="shared" si="342"/>
        <v>565500.56848921091</v>
      </c>
      <c r="J137">
        <f t="shared" si="342"/>
        <v>694623.98376495403</v>
      </c>
      <c r="K137">
        <f t="shared" si="343"/>
        <v>835281.83967292926</v>
      </c>
      <c r="L137">
        <f t="shared" si="343"/>
        <v>986714.78312616213</v>
      </c>
      <c r="M137">
        <f t="shared" si="344"/>
        <v>1152271.5343070191</v>
      </c>
      <c r="N137">
        <f t="shared" si="344"/>
        <v>1331171.8781587831</v>
      </c>
      <c r="O137">
        <f t="shared" si="344"/>
        <v>1524252.9086981257</v>
      </c>
      <c r="P137">
        <f t="shared" si="344"/>
        <v>1732638.6700191039</v>
      </c>
      <c r="Q137">
        <f t="shared" si="344"/>
        <v>1957542.3045192074</v>
      </c>
      <c r="R137">
        <f t="shared" si="344"/>
        <v>2200273.1153515526</v>
      </c>
      <c r="S137">
        <f t="shared" si="344"/>
        <v>2462244.1886882987</v>
      </c>
      <c r="T137">
        <f t="shared" si="344"/>
        <v>2744980.620169214</v>
      </c>
      <c r="U137">
        <f t="shared" si="344"/>
        <v>3050128.3934266288</v>
      </c>
      <c r="V137">
        <f t="shared" si="344"/>
        <v>3379463.9623741466</v>
      </c>
      <c r="W137">
        <f t="shared" si="344"/>
        <v>3734904.5930435699</v>
      </c>
      <c r="X137">
        <f t="shared" si="344"/>
        <v>4118519.5251762406</v>
      </c>
      <c r="Y137">
        <f t="shared" si="344"/>
        <v>4532542.0185473496</v>
      </c>
      <c r="Z137">
        <f t="shared" si="344"/>
        <v>4979382.3541522939</v>
      </c>
      <c r="AA137">
        <f t="shared" si="344"/>
        <v>5461641.8659430435</v>
      </c>
      <c r="AB137">
        <f t="shared" si="344"/>
        <v>5982128.0848019281</v>
      </c>
      <c r="AC137">
        <f t="shared" si="345"/>
        <v>6560176.691813915</v>
      </c>
      <c r="AD137">
        <f t="shared" si="346"/>
        <v>7185608.7890781267</v>
      </c>
      <c r="AE137">
        <f t="shared" si="347"/>
        <v>7862308.4706331072</v>
      </c>
      <c r="AI137">
        <f t="shared" si="339"/>
        <v>43072.698330014086</v>
      </c>
      <c r="AJ137">
        <f t="shared" si="348"/>
        <v>134993.37108011646</v>
      </c>
      <c r="AK137">
        <f t="shared" si="349"/>
        <v>235190.09963249869</v>
      </c>
      <c r="AL137">
        <f t="shared" si="350"/>
        <v>344408.01669336559</v>
      </c>
      <c r="AM137">
        <f t="shared" si="351"/>
        <v>463459.3428140406</v>
      </c>
      <c r="AN137">
        <f t="shared" si="352"/>
        <v>593229.42662906717</v>
      </c>
      <c r="AO137">
        <f t="shared" si="353"/>
        <v>734683.32892570389</v>
      </c>
      <c r="AP137">
        <f t="shared" si="354"/>
        <v>888872.99950854375</v>
      </c>
      <c r="AQ137">
        <f t="shared" si="355"/>
        <v>1056945.100231423</v>
      </c>
      <c r="AR137">
        <f t="shared" si="356"/>
        <v>1240149.5323741399</v>
      </c>
      <c r="AS137">
        <f t="shared" si="357"/>
        <v>1439848.731779495</v>
      </c>
      <c r="AT137">
        <f t="shared" si="358"/>
        <v>1657527.8008757792</v>
      </c>
      <c r="AU137">
        <f t="shared" si="359"/>
        <v>1894805.5529334776</v>
      </c>
      <c r="AV137">
        <f t="shared" si="360"/>
        <v>2153446.5506889923</v>
      </c>
      <c r="AW137">
        <f t="shared" si="361"/>
        <v>2435374.2288629734</v>
      </c>
      <c r="AX137">
        <f t="shared" si="362"/>
        <v>2742685.1981614465</v>
      </c>
      <c r="AY137">
        <f t="shared" si="363"/>
        <v>3077664.8371342723</v>
      </c>
      <c r="AZ137">
        <f t="shared" si="364"/>
        <v>3442804.2878428497</v>
      </c>
      <c r="BA137">
        <f t="shared" si="365"/>
        <v>3840818.9817286991</v>
      </c>
      <c r="BB137">
        <f t="shared" si="366"/>
        <v>4274668.8334541954</v>
      </c>
      <c r="BC137">
        <f t="shared" si="367"/>
        <v>4747580.2528909352</v>
      </c>
      <c r="BD137">
        <f t="shared" si="368"/>
        <v>5263070.1389521956</v>
      </c>
      <c r="BE137">
        <f t="shared" si="369"/>
        <v>5824972.033704388</v>
      </c>
      <c r="BF137">
        <f t="shared" si="370"/>
        <v>6437464.6312576625</v>
      </c>
      <c r="BG137">
        <f t="shared" si="371"/>
        <v>7105102.8534476804</v>
      </c>
      <c r="BH137">
        <f t="shared" si="372"/>
        <v>7832851.7234089673</v>
      </c>
      <c r="BI137">
        <f t="shared" si="373"/>
        <v>8626123.2889473382</v>
      </c>
      <c r="BJ137">
        <f t="shared" si="374"/>
        <v>9490816.8702993412</v>
      </c>
    </row>
    <row r="138" spans="1:62" x14ac:dyDescent="0.3">
      <c r="D138">
        <f t="shared" si="337"/>
        <v>50140.054083334246</v>
      </c>
      <c r="E138">
        <f t="shared" si="341"/>
        <v>140917.90666972296</v>
      </c>
      <c r="F138">
        <f t="shared" si="341"/>
        <v>238161.36597946408</v>
      </c>
      <c r="G138">
        <f t="shared" si="341"/>
        <v>342330.94158741541</v>
      </c>
      <c r="H138">
        <f t="shared" ref="H138:I143" si="375">(H137+7000)*1.00721-(0.00125*(H137+7000))</f>
        <v>454959.52550309978</v>
      </c>
      <c r="I138">
        <f t="shared" si="375"/>
        <v>575912.67187740665</v>
      </c>
      <c r="J138">
        <f t="shared" ref="J138:J143" si="376">(J137+7000)*1.00721-(0.00104*(J137+7000))</f>
        <v>705953.00374478381</v>
      </c>
      <c r="K138">
        <f t="shared" si="343"/>
        <v>847478.71862371115</v>
      </c>
      <c r="L138">
        <f t="shared" si="343"/>
        <v>999846.00333805056</v>
      </c>
      <c r="M138">
        <f t="shared" ref="M138:AA143" si="377">(M137+7000)*1.00721-(0.000833*(M137+7000))</f>
        <v>1166664.2088812948</v>
      </c>
      <c r="N138">
        <f t="shared" si="377"/>
        <v>1346705.4002258016</v>
      </c>
      <c r="O138">
        <f t="shared" si="377"/>
        <v>1541017.7084968935</v>
      </c>
      <c r="P138">
        <f t="shared" si="377"/>
        <v>1750732.3458178155</v>
      </c>
      <c r="Q138">
        <f t="shared" si="377"/>
        <v>1977070.1907951264</v>
      </c>
      <c r="R138">
        <f t="shared" si="377"/>
        <v>2221348.8960081493</v>
      </c>
      <c r="S138">
        <f t="shared" si="377"/>
        <v>2484990.5588795636</v>
      </c>
      <c r="T138">
        <f t="shared" si="377"/>
        <v>2769530.0005840329</v>
      </c>
      <c r="U138">
        <f t="shared" si="377"/>
        <v>3076623.7011915101</v>
      </c>
      <c r="V138">
        <f t="shared" si="377"/>
        <v>3408059.4430622063</v>
      </c>
      <c r="W138">
        <f t="shared" si="377"/>
        <v>3765766.7186334082</v>
      </c>
      <c r="X138">
        <f t="shared" si="377"/>
        <v>4151827.9631882892</v>
      </c>
      <c r="Y138">
        <f t="shared" si="377"/>
        <v>4568490.6779996259</v>
      </c>
      <c r="Z138">
        <f t="shared" si="377"/>
        <v>5018180.5144247226</v>
      </c>
      <c r="AA138">
        <f t="shared" si="377"/>
        <v>5503515.3951221621</v>
      </c>
      <c r="AB138">
        <f t="shared" ref="AB138:AB143" si="378">(AB137+7000)*1.00721-(0.000623*(AB137+7000))</f>
        <v>6028578.4714965178</v>
      </c>
      <c r="AC138">
        <f t="shared" si="345"/>
        <v>6610434.6846828926</v>
      </c>
      <c r="AD138">
        <f t="shared" si="346"/>
        <v>7239986.5031717839</v>
      </c>
      <c r="AE138">
        <f t="shared" si="347"/>
        <v>7921143.6055291668</v>
      </c>
      <c r="AI138">
        <f t="shared" si="339"/>
        <v>50433.722484973485</v>
      </c>
      <c r="AJ138">
        <f t="shared" si="348"/>
        <v>143017.14328560408</v>
      </c>
      <c r="AK138">
        <f t="shared" si="349"/>
        <v>243936.29025084898</v>
      </c>
      <c r="AL138">
        <f t="shared" si="350"/>
        <v>353941.66849372472</v>
      </c>
      <c r="AM138">
        <f t="shared" si="351"/>
        <v>473851.35467572982</v>
      </c>
      <c r="AN138">
        <f t="shared" si="352"/>
        <v>604557.08079506271</v>
      </c>
      <c r="AO138">
        <f t="shared" si="353"/>
        <v>747030.86572725815</v>
      </c>
      <c r="AP138">
        <f t="shared" si="354"/>
        <v>902332.24383500032</v>
      </c>
      <c r="AQ138">
        <f t="shared" si="355"/>
        <v>1071616.1444040916</v>
      </c>
      <c r="AR138">
        <f t="shared" si="356"/>
        <v>1256141.4805025572</v>
      </c>
      <c r="AS138">
        <f t="shared" si="357"/>
        <v>1457280.5111356252</v>
      </c>
      <c r="AT138">
        <f t="shared" si="358"/>
        <v>1676529.0463200936</v>
      </c>
      <c r="AU138">
        <f t="shared" si="359"/>
        <v>1915517.5709701278</v>
      </c>
      <c r="AV138">
        <f t="shared" si="360"/>
        <v>2176023.3703194596</v>
      </c>
      <c r="AW138">
        <f t="shared" si="361"/>
        <v>2459983.7470530751</v>
      </c>
      <c r="AX138">
        <f t="shared" si="362"/>
        <v>2769510.4284401904</v>
      </c>
      <c r="AY138">
        <f t="shared" si="363"/>
        <v>3106905.2706100103</v>
      </c>
      <c r="AZ138">
        <f t="shared" si="364"/>
        <v>3474677.3767581964</v>
      </c>
      <c r="BA138">
        <f t="shared" si="365"/>
        <v>3875561.7565869628</v>
      </c>
      <c r="BB138">
        <f t="shared" si="366"/>
        <v>4312539.6657434003</v>
      </c>
      <c r="BC138">
        <f t="shared" si="367"/>
        <v>4788860.7765142787</v>
      </c>
      <c r="BD138">
        <f t="shared" si="368"/>
        <v>5308067.3446540404</v>
      </c>
      <c r="BE138">
        <f t="shared" si="369"/>
        <v>5874020.5520673962</v>
      </c>
      <c r="BF138">
        <f t="shared" si="370"/>
        <v>6490929.22124903</v>
      </c>
      <c r="BG138">
        <f t="shared" si="371"/>
        <v>7163381.1150210379</v>
      </c>
      <c r="BH138">
        <f t="shared" si="372"/>
        <v>7896377.0543347457</v>
      </c>
      <c r="BI138">
        <f t="shared" si="373"/>
        <v>8695368.1078606471</v>
      </c>
      <c r="BJ138">
        <f t="shared" si="374"/>
        <v>9566296.1299341992</v>
      </c>
    </row>
    <row r="139" spans="1:62" x14ac:dyDescent="0.3">
      <c r="D139">
        <f t="shared" si="337"/>
        <v>57468.609394313411</v>
      </c>
      <c r="E139">
        <f t="shared" ref="E139:F143" si="379">(E138+7000)*1.00721-(0.00146*(E138+7000))</f>
        <v>148768.43463307386</v>
      </c>
      <c r="F139">
        <f t="shared" si="379"/>
        <v>246571.04383384599</v>
      </c>
      <c r="G139">
        <f>(G138+7000)*1.00721-(0.00125*(G138+7000))</f>
        <v>351412.95399927639</v>
      </c>
      <c r="H139">
        <f t="shared" si="375"/>
        <v>464712.80427509826</v>
      </c>
      <c r="I139">
        <f t="shared" si="375"/>
        <v>586386.83140179596</v>
      </c>
      <c r="J139">
        <f t="shared" si="376"/>
        <v>717351.92377788911</v>
      </c>
      <c r="K139">
        <f>(K138+7000)*1.00721-(0.00104*(K138+7000))</f>
        <v>859750.85231761937</v>
      </c>
      <c r="L139">
        <f>(L138+7000)*1.00721-(0.000833*(L138+7000))</f>
        <v>1013266.6603013373</v>
      </c>
      <c r="M139">
        <f t="shared" si="377"/>
        <v>1181148.6655413306</v>
      </c>
      <c r="N139">
        <f t="shared" si="377"/>
        <v>1362337.9795630414</v>
      </c>
      <c r="O139">
        <f t="shared" si="377"/>
        <v>1557889.4174239782</v>
      </c>
      <c r="P139">
        <f t="shared" si="377"/>
        <v>1768941.4049870956</v>
      </c>
      <c r="Q139">
        <f t="shared" si="377"/>
        <v>1996722.6064018267</v>
      </c>
      <c r="R139">
        <f t="shared" si="377"/>
        <v>2242559.0769179934</v>
      </c>
      <c r="S139">
        <f t="shared" si="377"/>
        <v>2507881.9826735384</v>
      </c>
      <c r="T139">
        <f t="shared" si="377"/>
        <v>2794235.9323977572</v>
      </c>
      <c r="U139">
        <f t="shared" si="377"/>
        <v>3103287.9695340078</v>
      </c>
      <c r="V139">
        <f t="shared" si="377"/>
        <v>3436837.2771306136</v>
      </c>
      <c r="W139">
        <f t="shared" si="377"/>
        <v>3796825.6519981329</v>
      </c>
      <c r="X139">
        <f t="shared" si="377"/>
        <v>4185348.8091095407</v>
      </c>
      <c r="Y139">
        <f t="shared" si="377"/>
        <v>4604668.5820532292</v>
      </c>
      <c r="Z139">
        <f t="shared" si="377"/>
        <v>5057226.0905652093</v>
      </c>
      <c r="AA139">
        <f t="shared" si="377"/>
        <v>5545655.9517968558</v>
      </c>
      <c r="AB139">
        <f t="shared" si="378"/>
        <v>6075334.8268882651</v>
      </c>
      <c r="AC139">
        <f t="shared" si="345"/>
        <v>6661023.7269508978</v>
      </c>
      <c r="AD139">
        <f t="shared" si="346"/>
        <v>7294722.4032681761</v>
      </c>
      <c r="AE139">
        <f t="shared" si="347"/>
        <v>7980366.2874587877</v>
      </c>
      <c r="AI139">
        <f t="shared" si="339"/>
        <v>57847.819624090138</v>
      </c>
      <c r="AJ139">
        <f t="shared" si="348"/>
        <v>151098.76688869327</v>
      </c>
      <c r="AK139">
        <f t="shared" si="349"/>
        <v>252745.54090355759</v>
      </c>
      <c r="AL139">
        <f t="shared" si="350"/>
        <v>363544.05792356445</v>
      </c>
      <c r="AM139">
        <f t="shared" si="351"/>
        <v>484318.29294294177</v>
      </c>
      <c r="AN139">
        <f t="shared" si="352"/>
        <v>615966.40734759509</v>
      </c>
      <c r="AO139">
        <f t="shared" si="353"/>
        <v>759467.4282691516</v>
      </c>
      <c r="AP139">
        <f t="shared" si="354"/>
        <v>915888.52931305056</v>
      </c>
      <c r="AQ139">
        <f t="shared" si="355"/>
        <v>1086392.966805245</v>
      </c>
      <c r="AR139">
        <f t="shared" si="356"/>
        <v>1272248.7305769806</v>
      </c>
      <c r="AS139">
        <f t="shared" si="357"/>
        <v>1474837.973620913</v>
      </c>
      <c r="AT139">
        <f t="shared" si="358"/>
        <v>1695667.2907440613</v>
      </c>
      <c r="AU139">
        <f t="shared" si="359"/>
        <v>1936378.9226568223</v>
      </c>
      <c r="AV139">
        <f t="shared" si="360"/>
        <v>2198762.9688194627</v>
      </c>
      <c r="AW139">
        <f t="shared" si="361"/>
        <v>2484770.6998693277</v>
      </c>
      <c r="AX139">
        <f t="shared" si="362"/>
        <v>2796529.0686292439</v>
      </c>
      <c r="AY139">
        <f t="shared" si="363"/>
        <v>3136356.527611108</v>
      </c>
      <c r="AZ139">
        <f t="shared" si="364"/>
        <v>3506780.2706446229</v>
      </c>
      <c r="BA139">
        <f t="shared" si="365"/>
        <v>3910555.0268519544</v>
      </c>
      <c r="BB139">
        <f t="shared" si="366"/>
        <v>4350683.5467334101</v>
      </c>
      <c r="BC139">
        <f t="shared" si="367"/>
        <v>4830438.9327129461</v>
      </c>
      <c r="BD139">
        <f t="shared" si="368"/>
        <v>5353388.9802089958</v>
      </c>
      <c r="BE139">
        <f t="shared" si="369"/>
        <v>5923422.7102478016</v>
      </c>
      <c r="BF139">
        <f t="shared" si="370"/>
        <v>6544779.2909342349</v>
      </c>
      <c r="BG139">
        <f t="shared" si="371"/>
        <v>7222079.5628603389</v>
      </c>
      <c r="BH139">
        <f t="shared" si="372"/>
        <v>7960360.4028964983</v>
      </c>
      <c r="BI139">
        <f t="shared" si="373"/>
        <v>8765112.1819183212</v>
      </c>
      <c r="BJ139">
        <f t="shared" si="374"/>
        <v>9642319.5950310249</v>
      </c>
    </row>
    <row r="140" spans="1:62" x14ac:dyDescent="0.3">
      <c r="D140">
        <f t="shared" si="337"/>
        <v>64839.303898330712</v>
      </c>
      <c r="E140">
        <f t="shared" si="379"/>
        <v>156664.10313221402</v>
      </c>
      <c r="F140">
        <f t="shared" si="379"/>
        <v>255029.07733589059</v>
      </c>
      <c r="G140">
        <f>(G139+7000)*1.00721-(0.00125*(G139+7000))</f>
        <v>360549.09520511207</v>
      </c>
      <c r="H140">
        <f t="shared" si="375"/>
        <v>474524.21258857782</v>
      </c>
      <c r="I140">
        <f t="shared" si="375"/>
        <v>596923.41691695072</v>
      </c>
      <c r="J140">
        <f t="shared" si="376"/>
        <v>728821.17514759861</v>
      </c>
      <c r="K140">
        <f>(K139+7000)*1.00721-(0.00104*(K139+7000))</f>
        <v>872098.70507641905</v>
      </c>
      <c r="L140">
        <f>(L139+7000)*1.00721-(0.000833*(L139+7000))</f>
        <v>1026772.9007940788</v>
      </c>
      <c r="M140">
        <f t="shared" si="377"/>
        <v>1195725.4895814876</v>
      </c>
      <c r="N140">
        <f t="shared" si="377"/>
        <v>1378070.2478587148</v>
      </c>
      <c r="O140">
        <f t="shared" si="377"/>
        <v>1574868.7172388907</v>
      </c>
      <c r="P140">
        <f t="shared" si="377"/>
        <v>1787266.583326698</v>
      </c>
      <c r="Q140">
        <f t="shared" si="377"/>
        <v>2016500.345462851</v>
      </c>
      <c r="R140">
        <f t="shared" si="377"/>
        <v>2263904.5151514988</v>
      </c>
      <c r="S140">
        <f t="shared" si="377"/>
        <v>2530919.3850770472</v>
      </c>
      <c r="T140">
        <f t="shared" si="377"/>
        <v>2819099.4139386574</v>
      </c>
      <c r="U140">
        <f t="shared" si="377"/>
        <v>3130122.2759157261</v>
      </c>
      <c r="V140">
        <f t="shared" si="377"/>
        <v>3465798.6274468754</v>
      </c>
      <c r="W140">
        <f t="shared" si="377"/>
        <v>3828082.6481809248</v>
      </c>
      <c r="X140">
        <f t="shared" si="377"/>
        <v>4219083.4174652314</v>
      </c>
      <c r="Y140">
        <f t="shared" si="377"/>
        <v>4641077.1926009823</v>
      </c>
      <c r="Z140">
        <f t="shared" si="377"/>
        <v>5096520.6603447432</v>
      </c>
      <c r="AA140">
        <f t="shared" si="377"/>
        <v>5588065.2388014644</v>
      </c>
      <c r="AB140">
        <f t="shared" si="378"/>
        <v>6122399.1663929773</v>
      </c>
      <c r="AC140">
        <f t="shared" si="345"/>
        <v>6711945.999240323</v>
      </c>
      <c r="AD140">
        <f t="shared" si="346"/>
        <v>7349818.8487385027</v>
      </c>
      <c r="AE140">
        <f t="shared" si="347"/>
        <v>8039979.0691942777</v>
      </c>
      <c r="AI140">
        <f t="shared" si="339"/>
        <v>65315.372403579822</v>
      </c>
      <c r="AJ140">
        <f t="shared" si="348"/>
        <v>159238.65899796074</v>
      </c>
      <c r="AK140">
        <f t="shared" si="349"/>
        <v>261618.30625347223</v>
      </c>
      <c r="AL140">
        <f t="shared" si="350"/>
        <v>373215.68058119336</v>
      </c>
      <c r="AM140">
        <f t="shared" si="351"/>
        <v>494860.69783506036</v>
      </c>
      <c r="AN140">
        <f t="shared" si="352"/>
        <v>627457.99514457118</v>
      </c>
      <c r="AO140">
        <f t="shared" si="353"/>
        <v>771993.65842697211</v>
      </c>
      <c r="AP140">
        <f t="shared" si="354"/>
        <v>929542.55560939759</v>
      </c>
      <c r="AQ140">
        <f t="shared" si="355"/>
        <v>1101276.3300959107</v>
      </c>
      <c r="AR140">
        <f t="shared" si="356"/>
        <v>1288472.1139244405</v>
      </c>
      <c r="AS140">
        <f t="shared" si="357"/>
        <v>1492522.0254107197</v>
      </c>
      <c r="AT140">
        <f t="shared" si="358"/>
        <v>1714943.5219103259</v>
      </c>
      <c r="AU140">
        <f t="shared" si="359"/>
        <v>1957390.6846891779</v>
      </c>
      <c r="AV140">
        <f t="shared" si="360"/>
        <v>2221666.5198246511</v>
      </c>
      <c r="AW140">
        <f t="shared" si="361"/>
        <v>2509736.3666153853</v>
      </c>
      <c r="AX140">
        <f t="shared" si="362"/>
        <v>2823742.5132140606</v>
      </c>
      <c r="AY140">
        <f t="shared" si="363"/>
        <v>3166020.1281751841</v>
      </c>
      <c r="AZ140">
        <f t="shared" si="364"/>
        <v>3539114.6263959706</v>
      </c>
      <c r="BA140">
        <f t="shared" si="365"/>
        <v>3945800.5985955568</v>
      </c>
      <c r="BB140">
        <f t="shared" si="366"/>
        <v>4389102.445105358</v>
      </c>
      <c r="BC140">
        <f t="shared" si="367"/>
        <v>4872316.8674178058</v>
      </c>
      <c r="BD140">
        <f t="shared" si="368"/>
        <v>5399037.3847563025</v>
      </c>
      <c r="BE140">
        <f t="shared" si="369"/>
        <v>5973181.0579886883</v>
      </c>
      <c r="BF140">
        <f t="shared" si="370"/>
        <v>6599017.6196218701</v>
      </c>
      <c r="BG140">
        <f t="shared" si="371"/>
        <v>7281201.2265085615</v>
      </c>
      <c r="BH140">
        <f t="shared" si="372"/>
        <v>8024805.0714013819</v>
      </c>
      <c r="BI140">
        <f t="shared" si="373"/>
        <v>8835359.1107499525</v>
      </c>
      <c r="BJ140">
        <f t="shared" si="374"/>
        <v>9718891.1893111989</v>
      </c>
    </row>
    <row r="141" spans="1:62" x14ac:dyDescent="0.3">
      <c r="D141">
        <f t="shared" si="337"/>
        <v>72252.379895746111</v>
      </c>
      <c r="E141">
        <f t="shared" si="379"/>
        <v>164605.17172522424</v>
      </c>
      <c r="F141">
        <f t="shared" si="379"/>
        <v>263535.74453057192</v>
      </c>
      <c r="G141">
        <f>(G140+7000)*1.00721-(0.00125*(G140+7000))</f>
        <v>369739.68781253451</v>
      </c>
      <c r="H141">
        <f t="shared" si="375"/>
        <v>484394.09689560573</v>
      </c>
      <c r="I141">
        <f t="shared" si="375"/>
        <v>607522.80048177578</v>
      </c>
      <c r="J141">
        <f t="shared" si="376"/>
        <v>740361.19179825915</v>
      </c>
      <c r="K141">
        <f>(K140+7000)*1.00721-(0.00104*(K140+7000))</f>
        <v>884522.74408674054</v>
      </c>
      <c r="L141">
        <f>(L140+7000)*1.00721-(0.000833*(L140+7000))</f>
        <v>1040365.2705824426</v>
      </c>
      <c r="M141">
        <f t="shared" si="377"/>
        <v>1210395.2700285488</v>
      </c>
      <c r="N141">
        <f t="shared" si="377"/>
        <v>1393902.8408293098</v>
      </c>
      <c r="O141">
        <f t="shared" si="377"/>
        <v>1591956.2940487228</v>
      </c>
      <c r="P141">
        <f t="shared" si="377"/>
        <v>1805708.6213285723</v>
      </c>
      <c r="Q141">
        <f t="shared" si="377"/>
        <v>2036404.2071658676</v>
      </c>
      <c r="R141">
        <f t="shared" si="377"/>
        <v>2285386.0732446196</v>
      </c>
      <c r="S141">
        <f t="shared" si="377"/>
        <v>2554103.6969956835</v>
      </c>
      <c r="T141">
        <f t="shared" si="377"/>
        <v>2844121.4499013443</v>
      </c>
      <c r="U141">
        <f t="shared" si="377"/>
        <v>3157127.7046692404</v>
      </c>
      <c r="V141">
        <f t="shared" si="377"/>
        <v>3494944.6642941041</v>
      </c>
      <c r="W141">
        <f t="shared" si="377"/>
        <v>3859538.970228374</v>
      </c>
      <c r="X141">
        <f t="shared" si="377"/>
        <v>4253033.1514184065</v>
      </c>
      <c r="Y141">
        <f t="shared" si="377"/>
        <v>4677717.9808581984</v>
      </c>
      <c r="Z141">
        <f t="shared" si="377"/>
        <v>5136065.8115957612</v>
      </c>
      <c r="AA141">
        <f t="shared" si="377"/>
        <v>5630744.9698293004</v>
      </c>
      <c r="AB141">
        <f t="shared" si="378"/>
        <v>6169773.5187020078</v>
      </c>
      <c r="AC141">
        <f t="shared" si="345"/>
        <v>6763203.6965373186</v>
      </c>
      <c r="AD141">
        <f t="shared" si="346"/>
        <v>7405278.2144951429</v>
      </c>
      <c r="AE141">
        <f t="shared" si="347"/>
        <v>8099984.5203230605</v>
      </c>
      <c r="AI141">
        <f t="shared" si="339"/>
        <v>72836.766238609634</v>
      </c>
      <c r="AJ141">
        <f t="shared" si="348"/>
        <v>167437.23972933603</v>
      </c>
      <c r="AK141">
        <f t="shared" si="349"/>
        <v>270555.04424155975</v>
      </c>
      <c r="AL141">
        <f t="shared" si="350"/>
        <v>382957.03563818376</v>
      </c>
      <c r="AM141">
        <f t="shared" si="351"/>
        <v>505479.11346645112</v>
      </c>
      <c r="AN141">
        <f t="shared" si="352"/>
        <v>639032.43728956347</v>
      </c>
      <c r="AO141">
        <f t="shared" si="353"/>
        <v>784610.20270423056</v>
      </c>
      <c r="AP141">
        <f t="shared" si="354"/>
        <v>943295.02743534127</v>
      </c>
      <c r="AQ141">
        <f t="shared" si="355"/>
        <v>1116267.0024359021</v>
      </c>
      <c r="AR141">
        <f t="shared" si="356"/>
        <v>1304812.4678658356</v>
      </c>
      <c r="AS141">
        <f t="shared" si="357"/>
        <v>1510333.579213931</v>
      </c>
      <c r="AT141">
        <f t="shared" si="358"/>
        <v>1734358.7347032991</v>
      </c>
      <c r="AU141">
        <f t="shared" si="359"/>
        <v>1978553.9415257866</v>
      </c>
      <c r="AV141">
        <f t="shared" si="360"/>
        <v>2244735.2054325868</v>
      </c>
      <c r="AW141">
        <f t="shared" si="361"/>
        <v>2534882.0358186821</v>
      </c>
      <c r="AX141">
        <f t="shared" si="362"/>
        <v>2851152.1667343336</v>
      </c>
      <c r="AY141">
        <f t="shared" si="363"/>
        <v>3195897.6032993272</v>
      </c>
      <c r="AZ141">
        <f t="shared" si="364"/>
        <v>3571682.1128522852</v>
      </c>
      <c r="BA141">
        <f t="shared" si="365"/>
        <v>3981300.2909114305</v>
      </c>
      <c r="BB141">
        <f t="shared" si="366"/>
        <v>4427798.3437345671</v>
      </c>
      <c r="BC141">
        <f t="shared" si="367"/>
        <v>4914496.7420318881</v>
      </c>
      <c r="BD141">
        <f t="shared" si="368"/>
        <v>5445014.9143003952</v>
      </c>
      <c r="BE141">
        <f t="shared" si="369"/>
        <v>6023298.1634167861</v>
      </c>
      <c r="BF141">
        <f t="shared" si="370"/>
        <v>6653647.0066593438</v>
      </c>
      <c r="BG141">
        <f t="shared" si="371"/>
        <v>7340749.1573516876</v>
      </c>
      <c r="BH141">
        <f t="shared" si="372"/>
        <v>8089714.3859661855</v>
      </c>
      <c r="BI141">
        <f t="shared" si="373"/>
        <v>8906112.5199384596</v>
      </c>
      <c r="BJ141">
        <f t="shared" si="374"/>
        <v>9796014.8647861313</v>
      </c>
    </row>
    <row r="142" spans="1:62" x14ac:dyDescent="0.3">
      <c r="D142">
        <f t="shared" si="337"/>
        <v>79708.081080146643</v>
      </c>
      <c r="E142">
        <f t="shared" si="379"/>
        <v>172591.90146264425</v>
      </c>
      <c r="F142">
        <f t="shared" si="379"/>
        <v>272091.32506162266</v>
      </c>
      <c r="G142">
        <f>(G141+7000)*1.00721-(0.00125*(G141+7000))</f>
        <v>378985.05635189719</v>
      </c>
      <c r="H142">
        <f t="shared" si="375"/>
        <v>494322.80571310356</v>
      </c>
      <c r="I142">
        <f t="shared" si="375"/>
        <v>618185.3563726471</v>
      </c>
      <c r="J142">
        <f t="shared" si="376"/>
        <v>751972.4103516544</v>
      </c>
      <c r="K142">
        <f>(K141+7000)*1.00721-(0.00104*(K141+7000))</f>
        <v>897023.4394177557</v>
      </c>
      <c r="L142">
        <f>(L141+7000)*1.00721-(0.000833*(L141+7000))</f>
        <v>1054044.3189129469</v>
      </c>
      <c r="M142">
        <f t="shared" si="377"/>
        <v>1225158.5996655207</v>
      </c>
      <c r="N142">
        <f t="shared" si="377"/>
        <v>1409836.3982452783</v>
      </c>
      <c r="O142">
        <f t="shared" si="377"/>
        <v>1609152.8383358715</v>
      </c>
      <c r="P142">
        <f t="shared" si="377"/>
        <v>1824268.2642067843</v>
      </c>
      <c r="Q142">
        <f t="shared" si="377"/>
        <v>2056434.9957949643</v>
      </c>
      <c r="R142">
        <f t="shared" si="377"/>
        <v>2307004.6192337004</v>
      </c>
      <c r="S142">
        <f t="shared" si="377"/>
        <v>2577435.8552714246</v>
      </c>
      <c r="T142">
        <f t="shared" si="377"/>
        <v>2869303.051387365</v>
      </c>
      <c r="U142">
        <f t="shared" si="377"/>
        <v>3184305.3470419161</v>
      </c>
      <c r="V142">
        <f t="shared" si="377"/>
        <v>3524276.5654183077</v>
      </c>
      <c r="W142">
        <f t="shared" si="377"/>
        <v>3891195.8892415198</v>
      </c>
      <c r="X142">
        <f t="shared" si="377"/>
        <v>4287199.3828250011</v>
      </c>
      <c r="Y142">
        <f t="shared" si="377"/>
        <v>4714592.4274221305</v>
      </c>
      <c r="Z142">
        <f t="shared" si="377"/>
        <v>5175863.1422763076</v>
      </c>
      <c r="AA142">
        <f t="shared" si="377"/>
        <v>5673696.8695019018</v>
      </c>
      <c r="AB142">
        <f t="shared" si="378"/>
        <v>6217459.9258696977</v>
      </c>
      <c r="AC142">
        <f t="shared" si="345"/>
        <v>6814799.0282864096</v>
      </c>
      <c r="AD142">
        <f t="shared" si="346"/>
        <v>7461102.8910940224</v>
      </c>
      <c r="AE142">
        <f t="shared" si="347"/>
        <v>8160385.2273584278</v>
      </c>
      <c r="AI142">
        <f t="shared" si="339"/>
        <v>80412.38932319</v>
      </c>
      <c r="AJ142">
        <f t="shared" si="348"/>
        <v>175694.93222778453</v>
      </c>
      <c r="AK142">
        <f t="shared" si="349"/>
        <v>279556.21611054137</v>
      </c>
      <c r="AL142">
        <f t="shared" si="350"/>
        <v>392768.62586513505</v>
      </c>
      <c r="AM142">
        <f t="shared" si="351"/>
        <v>516174.0878745442</v>
      </c>
      <c r="AN142">
        <f t="shared" si="352"/>
        <v>650690.33116242115</v>
      </c>
      <c r="AO142">
        <f t="shared" si="353"/>
        <v>797317.71226572804</v>
      </c>
      <c r="AP142">
        <f t="shared" si="354"/>
        <v>957146.65458315006</v>
      </c>
      <c r="AQ142">
        <f t="shared" si="355"/>
        <v>1131365.757523465</v>
      </c>
      <c r="AR142">
        <f t="shared" si="356"/>
        <v>1321270.6357591483</v>
      </c>
      <c r="AS142">
        <f t="shared" si="357"/>
        <v>1528273.5543200634</v>
      </c>
      <c r="AT142">
        <f t="shared" si="358"/>
        <v>1753913.9311805097</v>
      </c>
      <c r="AU142">
        <f t="shared" si="359"/>
        <v>1999869.7854441875</v>
      </c>
      <c r="AV142">
        <f t="shared" si="360"/>
        <v>2267970.2162637557</v>
      </c>
      <c r="AW142">
        <f t="shared" si="361"/>
        <v>2560209.0052969344</v>
      </c>
      <c r="AX142">
        <f t="shared" si="362"/>
        <v>2878759.443856488</v>
      </c>
      <c r="AY142">
        <f t="shared" si="363"/>
        <v>3225990.495019115</v>
      </c>
      <c r="AZ142">
        <f t="shared" si="364"/>
        <v>3604484.4108859501</v>
      </c>
      <c r="BA142">
        <f t="shared" si="365"/>
        <v>4017055.9360089018</v>
      </c>
      <c r="BB142">
        <f t="shared" si="366"/>
        <v>4466773.2397928927</v>
      </c>
      <c r="BC142">
        <f t="shared" si="367"/>
        <v>4956980.7335419375</v>
      </c>
      <c r="BD142">
        <f t="shared" si="368"/>
        <v>5491323.9418325005</v>
      </c>
      <c r="BE142">
        <f t="shared" si="369"/>
        <v>6073776.6131750206</v>
      </c>
      <c r="BF142">
        <f t="shared" si="370"/>
        <v>6708670.2715773573</v>
      </c>
      <c r="BG142">
        <f t="shared" si="371"/>
        <v>7400726.4287761925</v>
      </c>
      <c r="BH142">
        <f t="shared" si="372"/>
        <v>8155091.6966890013</v>
      </c>
      <c r="BI142">
        <f t="shared" si="373"/>
        <v>8977376.0612072162</v>
      </c>
      <c r="BJ142">
        <f t="shared" si="374"/>
        <v>9873694.6019612383</v>
      </c>
    </row>
    <row r="143" spans="1:62" x14ac:dyDescent="0.3">
      <c r="D143">
        <f t="shared" si="337"/>
        <v>87206.65254635748</v>
      </c>
      <c r="E143">
        <f t="shared" si="379"/>
        <v>180624.55489605447</v>
      </c>
      <c r="F143">
        <f t="shared" si="379"/>
        <v>280696.10018072696</v>
      </c>
      <c r="G143">
        <f>(G142+7000)*1.00721-(0.00125*(G142+7000))</f>
        <v>388285.52728775446</v>
      </c>
      <c r="H143">
        <f t="shared" si="375"/>
        <v>504310.68963515363</v>
      </c>
      <c r="I143">
        <f t="shared" si="375"/>
        <v>628911.46109662799</v>
      </c>
      <c r="J143">
        <f t="shared" si="376"/>
        <v>763655.27012352413</v>
      </c>
      <c r="K143">
        <f>(K142+7000)*1.00721-(0.00104*(K142+7000))</f>
        <v>909601.26403896313</v>
      </c>
      <c r="L143">
        <f>(L142+7000)*1.00721-(0.000833*(L142+7000))</f>
        <v>1067810.5985346548</v>
      </c>
      <c r="M143">
        <f t="shared" si="377"/>
        <v>1240016.0750555878</v>
      </c>
      <c r="N143">
        <f t="shared" si="377"/>
        <v>1425871.5639568884</v>
      </c>
      <c r="O143">
        <f t="shared" si="377"/>
        <v>1626459.0449859393</v>
      </c>
      <c r="P143">
        <f t="shared" si="377"/>
        <v>1842946.2619276308</v>
      </c>
      <c r="Q143">
        <f t="shared" si="377"/>
        <v>2076593.5207631486</v>
      </c>
      <c r="R143">
        <f t="shared" si="377"/>
        <v>2328761.0266905539</v>
      </c>
      <c r="S143">
        <f t="shared" si="377"/>
        <v>2600916.8027204904</v>
      </c>
      <c r="T143">
        <f t="shared" si="377"/>
        <v>2894645.235946062</v>
      </c>
      <c r="U143">
        <f t="shared" si="377"/>
        <v>3211656.3012400023</v>
      </c>
      <c r="V143">
        <f t="shared" si="377"/>
        <v>3553795.5160759799</v>
      </c>
      <c r="W143" s="3">
        <f t="shared" si="377"/>
        <v>3923054.6844272125</v>
      </c>
      <c r="X143">
        <f t="shared" si="377"/>
        <v>4321583.4922892759</v>
      </c>
      <c r="Y143">
        <f t="shared" si="377"/>
        <v>4751702.0223318003</v>
      </c>
      <c r="Z143">
        <f t="shared" si="377"/>
        <v>5215914.2605346031</v>
      </c>
      <c r="AA143">
        <f t="shared" si="377"/>
        <v>5716922.6734387157</v>
      </c>
      <c r="AB143" s="3">
        <f t="shared" si="378"/>
        <v>6265460.4434014009</v>
      </c>
      <c r="AC143">
        <f t="shared" si="345"/>
        <v>6866734.2184857316</v>
      </c>
      <c r="AD143">
        <f t="shared" si="346"/>
        <v>7517295.2848376585</v>
      </c>
      <c r="AE143">
        <f t="shared" si="347"/>
        <v>8221183.7938510375</v>
      </c>
      <c r="AI143">
        <f t="shared" si="339"/>
        <v>88042.632650210187</v>
      </c>
      <c r="AJ143">
        <f t="shared" si="348"/>
        <v>184012.16268914685</v>
      </c>
      <c r="AK143">
        <f t="shared" si="349"/>
        <v>288622.28642869834</v>
      </c>
      <c r="AL143">
        <f t="shared" si="350"/>
        <v>402650.95765762264</v>
      </c>
      <c r="AM143">
        <f t="shared" si="351"/>
        <v>526946.17304811964</v>
      </c>
      <c r="AN143">
        <f t="shared" si="352"/>
        <v>662432.2784501022</v>
      </c>
      <c r="AO143">
        <f t="shared" si="353"/>
        <v>810116.84297116392</v>
      </c>
      <c r="AP143">
        <f t="shared" si="354"/>
        <v>971098.15196269448</v>
      </c>
      <c r="AQ143">
        <f t="shared" si="355"/>
        <v>1146573.3746352091</v>
      </c>
      <c r="AR143">
        <f t="shared" si="356"/>
        <v>1337847.4670429716</v>
      </c>
      <c r="AS143">
        <f t="shared" si="357"/>
        <v>1546342.876646711</v>
      </c>
      <c r="AT143">
        <f t="shared" si="358"/>
        <v>1773610.120624321</v>
      </c>
      <c r="AU143">
        <f t="shared" si="359"/>
        <v>2021339.31659724</v>
      </c>
      <c r="AV143">
        <f t="shared" si="360"/>
        <v>2291372.7515230174</v>
      </c>
      <c r="AW143">
        <f t="shared" si="361"/>
        <v>2585718.5822251253</v>
      </c>
      <c r="AX143">
        <f t="shared" si="362"/>
        <v>2906565.7694466929</v>
      </c>
      <c r="AY143">
        <f t="shared" si="363"/>
        <v>3256300.3564882027</v>
      </c>
      <c r="AZ143">
        <f t="shared" si="364"/>
        <v>3637523.2134884377</v>
      </c>
      <c r="BA143">
        <f t="shared" si="365"/>
        <v>4053069.3793075257</v>
      </c>
      <c r="BB143" s="3">
        <f t="shared" si="366"/>
        <v>4506029.1448517991</v>
      </c>
      <c r="BC143">
        <f t="shared" si="367"/>
        <v>4999771.0346307745</v>
      </c>
      <c r="BD143">
        <f t="shared" si="368"/>
        <v>5537966.8574531125</v>
      </c>
      <c r="BE143">
        <f t="shared" si="369"/>
        <v>6124619.0125560118</v>
      </c>
      <c r="BF143">
        <f t="shared" si="370"/>
        <v>6764090.2542354297</v>
      </c>
      <c r="BG143" s="3">
        <f t="shared" si="371"/>
        <v>7461136.1363276681</v>
      </c>
      <c r="BH143">
        <f t="shared" si="372"/>
        <v>8220940.3778221281</v>
      </c>
      <c r="BI143">
        <f t="shared" si="373"/>
        <v>9049153.4126085192</v>
      </c>
      <c r="BJ143">
        <f t="shared" si="374"/>
        <v>9951934.4100413788</v>
      </c>
    </row>
    <row r="146" spans="1:62" x14ac:dyDescent="0.3">
      <c r="D146" t="s">
        <v>64</v>
      </c>
      <c r="AI146" t="s">
        <v>64</v>
      </c>
      <c r="AJ146" t="s">
        <v>66</v>
      </c>
    </row>
    <row r="147" spans="1:62" x14ac:dyDescent="0.3">
      <c r="D147" t="s">
        <v>65</v>
      </c>
      <c r="AI147" t="s">
        <v>65</v>
      </c>
    </row>
    <row r="148" spans="1:62" x14ac:dyDescent="0.3">
      <c r="D148" t="s">
        <v>78</v>
      </c>
      <c r="AI148" t="s">
        <v>78</v>
      </c>
    </row>
    <row r="149" spans="1:62" x14ac:dyDescent="0.3">
      <c r="D149" t="s">
        <v>15</v>
      </c>
      <c r="E149" t="s">
        <v>16</v>
      </c>
      <c r="F149" t="s">
        <v>17</v>
      </c>
      <c r="G149" t="s">
        <v>18</v>
      </c>
      <c r="H149" t="s">
        <v>19</v>
      </c>
      <c r="I149" t="s">
        <v>20</v>
      </c>
      <c r="J149" t="s">
        <v>21</v>
      </c>
      <c r="K149" t="s">
        <v>22</v>
      </c>
      <c r="L149" t="s">
        <v>23</v>
      </c>
      <c r="M149" t="s">
        <v>24</v>
      </c>
      <c r="N149" t="s">
        <v>25</v>
      </c>
      <c r="O149" t="s">
        <v>26</v>
      </c>
      <c r="P149" t="s">
        <v>27</v>
      </c>
      <c r="Q149" t="s">
        <v>28</v>
      </c>
      <c r="R149" t="s">
        <v>29</v>
      </c>
      <c r="S149" t="s">
        <v>30</v>
      </c>
      <c r="T149" t="s">
        <v>31</v>
      </c>
      <c r="U149" t="s">
        <v>32</v>
      </c>
      <c r="V149" t="s">
        <v>33</v>
      </c>
      <c r="W149" t="s">
        <v>34</v>
      </c>
      <c r="X149" t="s">
        <v>35</v>
      </c>
      <c r="Y149" t="s">
        <v>36</v>
      </c>
      <c r="Z149" t="s">
        <v>37</v>
      </c>
      <c r="AA149" t="s">
        <v>38</v>
      </c>
      <c r="AB149" t="s">
        <v>39</v>
      </c>
      <c r="AC149" t="s">
        <v>67</v>
      </c>
      <c r="AD149" t="s">
        <v>68</v>
      </c>
      <c r="AE149" t="s">
        <v>69</v>
      </c>
      <c r="AI149" t="s">
        <v>15</v>
      </c>
      <c r="AJ149" t="s">
        <v>16</v>
      </c>
      <c r="AK149" t="s">
        <v>17</v>
      </c>
      <c r="AL149" t="s">
        <v>18</v>
      </c>
      <c r="AM149" t="s">
        <v>19</v>
      </c>
      <c r="AN149" t="s">
        <v>20</v>
      </c>
      <c r="AO149" t="s">
        <v>21</v>
      </c>
      <c r="AP149" t="s">
        <v>22</v>
      </c>
      <c r="AQ149" t="s">
        <v>23</v>
      </c>
      <c r="AR149" t="s">
        <v>24</v>
      </c>
      <c r="AS149" t="s">
        <v>25</v>
      </c>
      <c r="AT149" t="s">
        <v>26</v>
      </c>
      <c r="AU149" t="s">
        <v>27</v>
      </c>
      <c r="AV149" t="s">
        <v>28</v>
      </c>
      <c r="AW149" t="s">
        <v>29</v>
      </c>
      <c r="AX149" t="s">
        <v>30</v>
      </c>
      <c r="AY149" t="s">
        <v>31</v>
      </c>
      <c r="AZ149" t="s">
        <v>32</v>
      </c>
      <c r="BA149" t="s">
        <v>33</v>
      </c>
      <c r="BB149" t="s">
        <v>34</v>
      </c>
      <c r="BC149" t="s">
        <v>35</v>
      </c>
      <c r="BD149" t="s">
        <v>36</v>
      </c>
      <c r="BE149" t="s">
        <v>37</v>
      </c>
      <c r="BF149" t="s">
        <v>38</v>
      </c>
      <c r="BG149" t="s">
        <v>39</v>
      </c>
      <c r="BH149" t="s">
        <v>67</v>
      </c>
      <c r="BI149" t="s">
        <v>68</v>
      </c>
      <c r="BJ149" t="s">
        <v>69</v>
      </c>
    </row>
    <row r="150" spans="1:62" x14ac:dyDescent="0.3">
      <c r="D150">
        <v>0</v>
      </c>
      <c r="AI150">
        <v>0</v>
      </c>
    </row>
    <row r="151" spans="1:62" x14ac:dyDescent="0.3">
      <c r="D151">
        <f t="shared" ref="D151:D162" si="380">(D150+7000)*1.00798-(0.00146*(D150+7000))</f>
        <v>7045.64</v>
      </c>
      <c r="E151">
        <f>(D162+7000)*1.00798-(0.00146*(D162+7000))</f>
        <v>95263.524188744501</v>
      </c>
      <c r="F151">
        <f>(E162+7000)*1.00798-(0.00146*(E162+7000))</f>
        <v>190636.54635218123</v>
      </c>
      <c r="G151">
        <f>(F162+7000)*1.00798-(0.00146*(F162+7000))</f>
        <v>293745.04232479201</v>
      </c>
      <c r="H151">
        <f>(G162+7000)*1.00798-(0.00125*(G162+7000))</f>
        <v>405701.68787514773</v>
      </c>
      <c r="I151">
        <f>(H162+7000)*1.00798-(0.00125*(H162+7000))</f>
        <v>527473.35672060284</v>
      </c>
      <c r="J151">
        <f>(I162+7000)*1.00798-(0.00125*(I162+7000))</f>
        <v>659451.61250179319</v>
      </c>
      <c r="K151">
        <f>(J162+7000)*1.00798-(0.00104*(J162+7000))</f>
        <v>803945.95002059906</v>
      </c>
      <c r="L151">
        <f>(K162+7000)*1.00798-(0.00104*(K162+7000))</f>
        <v>961401.56036017544</v>
      </c>
      <c r="M151">
        <f t="shared" ref="M151:Z151" si="381">(L162+7000)*1.00798-(0.000833*(L162+7000))</f>
        <v>1134746.0781091882</v>
      </c>
      <c r="N151">
        <f t="shared" si="381"/>
        <v>1323990.9515125914</v>
      </c>
      <c r="O151">
        <f t="shared" si="381"/>
        <v>1530119.6611528979</v>
      </c>
      <c r="P151">
        <f t="shared" si="381"/>
        <v>1754638.5301391447</v>
      </c>
      <c r="Q151">
        <f t="shared" si="381"/>
        <v>1999188.2710210751</v>
      </c>
      <c r="R151">
        <f t="shared" si="381"/>
        <v>2265555.975595084</v>
      </c>
      <c r="S151">
        <f t="shared" si="381"/>
        <v>2555688.1744031878</v>
      </c>
      <c r="T151">
        <f t="shared" si="381"/>
        <v>2871705.0613596807</v>
      </c>
      <c r="U151">
        <f t="shared" si="381"/>
        <v>3215915.9874545322</v>
      </c>
      <c r="V151">
        <f t="shared" si="381"/>
        <v>3590836.3367565828</v>
      </c>
      <c r="W151">
        <f t="shared" si="381"/>
        <v>3999205.9080410153</v>
      </c>
      <c r="X151">
        <f t="shared" si="381"/>
        <v>4444008.9363681814</v>
      </c>
      <c r="Y151">
        <f t="shared" si="381"/>
        <v>4928495.9009251324</v>
      </c>
      <c r="Z151">
        <f t="shared" si="381"/>
        <v>5456207.278494617</v>
      </c>
      <c r="AA151">
        <f>(Z162+7000)*1.00798-(0.000623*(Z162+7000))</f>
        <v>6032256.9384994134</v>
      </c>
      <c r="AB151">
        <f>(AA162+7000)*1.00798-(0.000623*(AA162+7000))</f>
        <v>6675022.2219745331</v>
      </c>
      <c r="AC151">
        <f>(AB162+7000)*1.00798-(0.000623*(AB162+7000))</f>
        <v>7376886.7851713728</v>
      </c>
      <c r="AD151">
        <f>(AC162+7000)*1.00798-(0.000623*(AC162+7000))</f>
        <v>8143284.5321190078</v>
      </c>
      <c r="AE151">
        <f>(AD162+7000)*1.00798-(0.000623*(AD162+7000))</f>
        <v>8980148.9890608005</v>
      </c>
      <c r="AI151">
        <f t="shared" ref="AI151:AI162" si="382">(AI150+7000)*1.00798-0</f>
        <v>7055.8600000000006</v>
      </c>
      <c r="AJ151">
        <f t="shared" ref="AJ151:BJ151" si="383">(AI162+7000)*1.00798-0</f>
        <v>96249.135919507025</v>
      </c>
      <c r="AK151">
        <f t="shared" si="383"/>
        <v>194368.58384651921</v>
      </c>
      <c r="AL151">
        <f t="shared" si="383"/>
        <v>302307.50594856183</v>
      </c>
      <c r="AM151">
        <f t="shared" si="383"/>
        <v>421048.6031591522</v>
      </c>
      <c r="AN151">
        <f t="shared" si="383"/>
        <v>551672.92191458354</v>
      </c>
      <c r="AO151">
        <f t="shared" si="383"/>
        <v>695369.69625093136</v>
      </c>
      <c r="AP151">
        <f t="shared" si="383"/>
        <v>853447.1748660123</v>
      </c>
      <c r="AQ151">
        <f t="shared" si="383"/>
        <v>1027344.5317183756</v>
      </c>
      <c r="AR151">
        <f t="shared" si="383"/>
        <v>1218644.9686001749</v>
      </c>
      <c r="AS151">
        <f t="shared" si="383"/>
        <v>1429090.1289727762</v>
      </c>
      <c r="AT151">
        <f t="shared" si="383"/>
        <v>1660595.9542920056</v>
      </c>
      <c r="AU151">
        <f t="shared" si="383"/>
        <v>1915270.1271826797</v>
      </c>
      <c r="AV151">
        <f t="shared" si="383"/>
        <v>2195431.2602691292</v>
      </c>
      <c r="AW151">
        <f t="shared" si="383"/>
        <v>2503630.0053612646</v>
      </c>
      <c r="AX151">
        <f t="shared" si="383"/>
        <v>2842672.2751791007</v>
      </c>
      <c r="AY151">
        <f t="shared" si="383"/>
        <v>3215644.7890317026</v>
      </c>
      <c r="AZ151">
        <f t="shared" si="383"/>
        <v>3625943.1750243111</v>
      </c>
      <c r="BA151">
        <f t="shared" si="383"/>
        <v>4077302.8846426704</v>
      </c>
      <c r="BB151">
        <f t="shared" si="383"/>
        <v>4573833.2011680696</v>
      </c>
      <c r="BC151">
        <f t="shared" si="383"/>
        <v>5120054.6515435856</v>
      </c>
      <c r="BD151">
        <f t="shared" si="383"/>
        <v>5720940.1622978337</v>
      </c>
      <c r="BE151">
        <f t="shared" si="383"/>
        <v>6381960.3342192592</v>
      </c>
      <c r="BF151">
        <f t="shared" si="383"/>
        <v>7109133.2479720991</v>
      </c>
      <c r="BG151">
        <f t="shared" si="383"/>
        <v>7909079.2540958738</v>
      </c>
      <c r="BH151">
        <f t="shared" si="383"/>
        <v>8789081.2462092377</v>
      </c>
      <c r="BI151">
        <f t="shared" si="383"/>
        <v>9757150.966159394</v>
      </c>
      <c r="BJ151">
        <f t="shared" si="383"/>
        <v>10822101.944774508</v>
      </c>
    </row>
    <row r="152" spans="1:62" x14ac:dyDescent="0.3">
      <c r="D152">
        <f t="shared" si="380"/>
        <v>14137.2175728</v>
      </c>
      <c r="E152">
        <f t="shared" ref="E152:G157" si="384">(E151+7000)*1.00798-(0.00146*(E151+7000))</f>
        <v>102930.28236645513</v>
      </c>
      <c r="F152">
        <f t="shared" si="384"/>
        <v>198925.1366343975</v>
      </c>
      <c r="G152">
        <f t="shared" si="384"/>
        <v>302705.90000074968</v>
      </c>
      <c r="H152">
        <f t="shared" ref="H152:J154" si="385">(H151+7000)*1.00798-(0.00125*(H151+7000))</f>
        <v>415479.17023454752</v>
      </c>
      <c r="I152">
        <f t="shared" si="385"/>
        <v>538070.36241133255</v>
      </c>
      <c r="J152">
        <f t="shared" si="385"/>
        <v>670936.83185393037</v>
      </c>
      <c r="K152">
        <f>(K151+7000)*1.00798-(0.00104*(K151+7000))</f>
        <v>816573.9149137421</v>
      </c>
      <c r="L152">
        <f>(L151+7000)*1.00798-(0.00104*(L151+7000))</f>
        <v>975122.26718907512</v>
      </c>
      <c r="M152">
        <f t="shared" ref="M152:M162" si="386">(M151+7000)*1.00798-(0.000833*(M151+7000))</f>
        <v>1149906.1373294347</v>
      </c>
      <c r="N152">
        <f t="shared" ref="N152:N162" si="387">(N151+7000)*1.00798-(0.000833*(N151+7000))</f>
        <v>1340503.5438430521</v>
      </c>
      <c r="O152">
        <f t="shared" ref="O152:O162" si="388">(O151+7000)*1.00798-(0.000833*(O151+7000))</f>
        <v>1548105.4553711577</v>
      </c>
      <c r="P152">
        <f t="shared" ref="P152:P162" si="389">(P151+7000)*1.00798-(0.000833*(P151+7000))</f>
        <v>1774228.9607140492</v>
      </c>
      <c r="Q152">
        <f t="shared" ref="Q152:Q162" si="390">(Q151+7000)*1.00798-(0.000833*(Q151+7000))</f>
        <v>2020526.4985940629</v>
      </c>
      <c r="R152">
        <f t="shared" ref="R152:R162" si="391">(R151+7000)*1.00798-(0.000833*(R151+7000))</f>
        <v>2288797.9331526621</v>
      </c>
      <c r="S152">
        <f t="shared" ref="S152:S162" si="392">(S151+7000)*1.00798-(0.000833*(S151+7000))</f>
        <v>2581003.7067856477</v>
      </c>
      <c r="T152">
        <f t="shared" ref="T152:T162" si="393">(T151+7000)*1.00798-(0.000833*(T151+7000))</f>
        <v>2899279.1664332189</v>
      </c>
      <c r="U152">
        <f t="shared" ref="U152:U162" si="394">(U151+7000)*1.00798-(0.000833*(U151+7000))</f>
        <v>3245950.16801687</v>
      </c>
      <c r="V152">
        <f t="shared" ref="V152:V162" si="395">(V151+7000)*1.00798-(0.000833*(V151+7000))</f>
        <v>3623550.0730553824</v>
      </c>
      <c r="W152">
        <f t="shared" ref="W152:W162" si="396">(W151+7000)*1.00798-(0.000833*(W151+7000))</f>
        <v>4034838.2616657848</v>
      </c>
      <c r="X152">
        <f t="shared" ref="X152:X162" si="397">(X151+7000)*1.00798-(0.000833*(X151+7000))</f>
        <v>4482820.2972364053</v>
      </c>
      <c r="Y152">
        <f t="shared" ref="Y152:Y162" si="398">(Y151+7000)*1.00798-(0.000833*(Y151+7000))</f>
        <v>4970769.8901290447</v>
      </c>
      <c r="Z152">
        <f t="shared" ref="Z152:Z162" si="399">(Z151+7000)*1.00798-(0.000833*(Z151+7000))</f>
        <v>5502252.8209140189</v>
      </c>
      <c r="AA152">
        <f t="shared" ref="AA152:AA162" si="400">(AA151+7000)*1.00798-(0.000623*(AA151+7000))</f>
        <v>6083687.7517959541</v>
      </c>
      <c r="AB152">
        <f t="shared" ref="AB152:AB162" si="401">(AB151+7000)*1.00798-(0.000623*(AB151+7000))</f>
        <v>6731181.8594616009</v>
      </c>
      <c r="AC152">
        <f t="shared" ref="AC152:AC162" si="402">(AC151+7000)*1.00798-(0.000623*(AC151+7000))</f>
        <v>7438210.0402498795</v>
      </c>
      <c r="AD152">
        <f t="shared" ref="AD152:AD162" si="403">(AD151+7000)*1.00798-(0.000623*(AD151+7000))</f>
        <v>8210246.1754218079</v>
      </c>
      <c r="AE152">
        <f t="shared" ref="AE152:AE162" si="404">(AE151+7000)*1.00798-(0.000623*(AE151+7000))</f>
        <v>9053267.4441733211</v>
      </c>
      <c r="AI152">
        <f t="shared" si="382"/>
        <v>14168.025762800002</v>
      </c>
      <c r="AJ152">
        <f t="shared" ref="AJ152:AJ162" si="405">(AJ151+7000)*1.00798-0</f>
        <v>104073.0640241447</v>
      </c>
      <c r="AK152">
        <f t="shared" ref="AK152:AK162" si="406">(AK151+7000)*1.00798-0</f>
        <v>202975.50514561444</v>
      </c>
      <c r="AL152">
        <f t="shared" ref="AL152:AL162" si="407">(AL151+7000)*1.00798-0</f>
        <v>311775.77984603139</v>
      </c>
      <c r="AM152">
        <f t="shared" ref="AM152:AM162" si="408">(AM151+7000)*1.00798-0</f>
        <v>431464.4310123623</v>
      </c>
      <c r="AN152">
        <f t="shared" ref="AN152:AN162" si="409">(AN151+7000)*1.00798-0</f>
        <v>563131.13183146191</v>
      </c>
      <c r="AO152">
        <f t="shared" ref="AO152:AO162" si="410">(AO151+7000)*1.00798-0</f>
        <v>707974.60642701387</v>
      </c>
      <c r="AP152">
        <f t="shared" ref="AP152:AP162" si="411">(AP151+7000)*1.00798-0</f>
        <v>867313.54332144314</v>
      </c>
      <c r="AQ152">
        <f t="shared" ref="AQ152:AQ162" si="412">(AQ151+7000)*1.00798-0</f>
        <v>1042598.6010814884</v>
      </c>
      <c r="AR152">
        <f t="shared" ref="AR152:AR162" si="413">(AR151+7000)*1.00798-0</f>
        <v>1235425.6154496043</v>
      </c>
      <c r="AS152">
        <f t="shared" ref="AS152:AS162" si="414">(AS151+7000)*1.00798-0</f>
        <v>1447550.1282019792</v>
      </c>
      <c r="AT152">
        <f t="shared" ref="AT152:AT162" si="415">(AT151+7000)*1.00798-0</f>
        <v>1680903.370007256</v>
      </c>
      <c r="AU152">
        <f t="shared" ref="AU152:AU162" si="416">(AU151+7000)*1.00798-0</f>
        <v>1937609.8427975976</v>
      </c>
      <c r="AV152">
        <f t="shared" ref="AV152:AV162" si="417">(AV151+7000)*1.00798-0</f>
        <v>2220006.6617260771</v>
      </c>
      <c r="AW152">
        <f t="shared" ref="AW152:AW162" si="418">(AW151+7000)*1.00798-0</f>
        <v>2530664.8328040475</v>
      </c>
      <c r="AX152">
        <f t="shared" ref="AX152:AX162" si="419">(AX151+7000)*1.00798-0</f>
        <v>2872412.6599350302</v>
      </c>
      <c r="AY152">
        <f t="shared" ref="AY152:AY162" si="420">(AY151+7000)*1.00798-0</f>
        <v>3248361.4944481757</v>
      </c>
      <c r="AZ152">
        <f t="shared" ref="AZ152:AZ162" si="421">(AZ151+7000)*1.00798-0</f>
        <v>3661934.0615610052</v>
      </c>
      <c r="BA152">
        <f t="shared" ref="BA152:BA162" si="422">(BA151+7000)*1.00798-0</f>
        <v>4116895.6216621194</v>
      </c>
      <c r="BB152">
        <f t="shared" ref="BB152:BB162" si="423">(BB151+7000)*1.00798-0</f>
        <v>4617388.2501133913</v>
      </c>
      <c r="BC152">
        <f t="shared" ref="BC152:BC162" si="424">(BC151+7000)*1.00798-0</f>
        <v>5167968.5476629036</v>
      </c>
      <c r="BD152">
        <f t="shared" ref="BD152:BD162" si="425">(BD151+7000)*1.00798-0</f>
        <v>5773649.1247929707</v>
      </c>
      <c r="BE152">
        <f t="shared" ref="BE152:BE162" si="426">(BE151+7000)*1.00798-0</f>
        <v>6439944.2376863295</v>
      </c>
      <c r="BF152">
        <f t="shared" ref="BF152:BF162" si="427">(BF151+7000)*1.00798-0</f>
        <v>7172919.9912909176</v>
      </c>
      <c r="BG152">
        <f t="shared" ref="BG152:BG162" si="428">(BG151+7000)*1.00798-0</f>
        <v>7979249.5665435595</v>
      </c>
      <c r="BH152">
        <f t="shared" ref="BH152:BH162" si="429">(BH151+7000)*1.00798-0</f>
        <v>8866273.9745539874</v>
      </c>
      <c r="BI152">
        <f t="shared" ref="BI152:BI162" si="430">(BI151+7000)*1.00798-0</f>
        <v>9842068.8908693474</v>
      </c>
      <c r="BJ152">
        <f t="shared" ref="BJ152:BJ162" si="431">(BJ151+7000)*1.00798-0</f>
        <v>10915518.178293809</v>
      </c>
    </row>
    <row r="153" spans="1:62" x14ac:dyDescent="0.3">
      <c r="A153">
        <f>0.0175/12</f>
        <v>1.4583333333333334E-3</v>
      </c>
      <c r="B153">
        <v>1.75</v>
      </c>
      <c r="D153">
        <f t="shared" si="380"/>
        <v>21275.032231374658</v>
      </c>
      <c r="E153">
        <f t="shared" si="384"/>
        <v>110647.02780748442</v>
      </c>
      <c r="F153">
        <f t="shared" si="384"/>
        <v>207267.76852525378</v>
      </c>
      <c r="G153">
        <f t="shared" si="384"/>
        <v>311725.18246875459</v>
      </c>
      <c r="H153">
        <f t="shared" si="385"/>
        <v>425322.45505022607</v>
      </c>
      <c r="I153">
        <f t="shared" si="385"/>
        <v>548738.68595036084</v>
      </c>
      <c r="J153">
        <f t="shared" si="385"/>
        <v>682499.34673230746</v>
      </c>
      <c r="K153">
        <f>(K152+7000)*1.00798-(0.00104*(K152+7000))</f>
        <v>829289.5178832435</v>
      </c>
      <c r="L153">
        <f>(L152+7000)*1.00798-(0.00104*(L152+7000))</f>
        <v>988938.19572336739</v>
      </c>
      <c r="M153">
        <f t="shared" si="386"/>
        <v>1165174.5454929282</v>
      </c>
      <c r="N153">
        <f t="shared" si="387"/>
        <v>1357134.1516708985</v>
      </c>
      <c r="O153">
        <f t="shared" si="388"/>
        <v>1566219.7940606955</v>
      </c>
      <c r="P153">
        <f t="shared" si="389"/>
        <v>1793959.4040962728</v>
      </c>
      <c r="Q153">
        <f t="shared" si="390"/>
        <v>2042017.2304795147</v>
      </c>
      <c r="R153">
        <f t="shared" si="391"/>
        <v>2312206.0009809048</v>
      </c>
      <c r="S153">
        <f t="shared" si="392"/>
        <v>2606500.1692780447</v>
      </c>
      <c r="T153">
        <f t="shared" si="393"/>
        <v>2927050.3436357174</v>
      </c>
      <c r="U153">
        <f t="shared" si="394"/>
        <v>3276199.002867687</v>
      </c>
      <c r="V153">
        <f t="shared" si="395"/>
        <v>3656497.6144275093</v>
      </c>
      <c r="W153">
        <f t="shared" si="396"/>
        <v>4070725.2797219106</v>
      </c>
      <c r="X153">
        <f t="shared" si="397"/>
        <v>4521909.0429007541</v>
      </c>
      <c r="Y153">
        <f t="shared" si="398"/>
        <v>5013346.0115337968</v>
      </c>
      <c r="Z153">
        <f t="shared" si="399"/>
        <v>5548627.4508250915</v>
      </c>
      <c r="AA153">
        <f t="shared" si="400"/>
        <v>6135496.941585918</v>
      </c>
      <c r="AB153">
        <f t="shared" si="401"/>
        <v>6787754.6634016605</v>
      </c>
      <c r="AC153">
        <f t="shared" si="402"/>
        <v>7499984.4505159985</v>
      </c>
      <c r="AD153">
        <f t="shared" si="403"/>
        <v>8277700.4555343864</v>
      </c>
      <c r="AE153">
        <f t="shared" si="404"/>
        <v>9126923.8317601047</v>
      </c>
      <c r="AI153">
        <f t="shared" si="382"/>
        <v>21336.946608387148</v>
      </c>
      <c r="AJ153">
        <f t="shared" si="405"/>
        <v>111959.42707505738</v>
      </c>
      <c r="AK153">
        <f t="shared" si="406"/>
        <v>211651.10967667645</v>
      </c>
      <c r="AL153">
        <f t="shared" si="407"/>
        <v>321319.61056920275</v>
      </c>
      <c r="AM153">
        <f t="shared" si="408"/>
        <v>441963.37717184098</v>
      </c>
      <c r="AN153">
        <f t="shared" si="409"/>
        <v>574680.77826347703</v>
      </c>
      <c r="AO153">
        <f t="shared" si="410"/>
        <v>720680.10378630157</v>
      </c>
      <c r="AP153">
        <f t="shared" si="411"/>
        <v>881290.56539714837</v>
      </c>
      <c r="AQ153">
        <f t="shared" si="412"/>
        <v>1057974.3979181189</v>
      </c>
      <c r="AR153">
        <f t="shared" si="413"/>
        <v>1252340.1718608923</v>
      </c>
      <c r="AS153">
        <f t="shared" si="414"/>
        <v>1466157.4382250311</v>
      </c>
      <c r="AT153">
        <f t="shared" si="415"/>
        <v>1701372.8388999142</v>
      </c>
      <c r="AU153">
        <f t="shared" si="416"/>
        <v>1960127.8293431227</v>
      </c>
      <c r="AV153">
        <f t="shared" si="417"/>
        <v>2244778.1748866513</v>
      </c>
      <c r="AW153">
        <f t="shared" si="418"/>
        <v>2557915.3981698239</v>
      </c>
      <c r="AX153">
        <f t="shared" si="419"/>
        <v>2902390.3729613121</v>
      </c>
      <c r="AY153">
        <f t="shared" si="420"/>
        <v>3281339.2791738724</v>
      </c>
      <c r="AZ153">
        <f t="shared" si="421"/>
        <v>3698212.1553722625</v>
      </c>
      <c r="BA153">
        <f t="shared" si="422"/>
        <v>4156804.3087229836</v>
      </c>
      <c r="BB153">
        <f t="shared" si="423"/>
        <v>4661290.868349297</v>
      </c>
      <c r="BC153">
        <f t="shared" si="424"/>
        <v>5216264.7966732541</v>
      </c>
      <c r="BD153">
        <f t="shared" si="425"/>
        <v>5826778.7048088191</v>
      </c>
      <c r="BE153">
        <f t="shared" si="426"/>
        <v>6498390.8527030675</v>
      </c>
      <c r="BF153">
        <f t="shared" si="427"/>
        <v>7237215.7528214194</v>
      </c>
      <c r="BG153">
        <f t="shared" si="428"/>
        <v>8049979.8380845776</v>
      </c>
      <c r="BH153">
        <f t="shared" si="429"/>
        <v>8944082.7008709293</v>
      </c>
      <c r="BI153">
        <f t="shared" si="430"/>
        <v>9927664.4606184866</v>
      </c>
      <c r="BJ153">
        <f t="shared" si="431"/>
        <v>11009679.873356596</v>
      </c>
    </row>
    <row r="154" spans="1:62" x14ac:dyDescent="0.3">
      <c r="A154">
        <f>0.015/12</f>
        <v>1.25E-3</v>
      </c>
      <c r="B154">
        <v>1.5</v>
      </c>
      <c r="D154">
        <f t="shared" si="380"/>
        <v>28459.385441523224</v>
      </c>
      <c r="E154">
        <f t="shared" si="384"/>
        <v>118414.08642878923</v>
      </c>
      <c r="F154">
        <f t="shared" si="384"/>
        <v>215664.79437603848</v>
      </c>
      <c r="G154">
        <f t="shared" si="384"/>
        <v>320803.2706584509</v>
      </c>
      <c r="H154">
        <f t="shared" si="385"/>
        <v>435231.98517271411</v>
      </c>
      <c r="I154">
        <f t="shared" si="385"/>
        <v>559478.80730680679</v>
      </c>
      <c r="J154">
        <f t="shared" si="385"/>
        <v>694139.67733581585</v>
      </c>
      <c r="K154">
        <f t="shared" ref="K154:K162" si="432">(K153+7000)*1.00798-(0.00104*(K153+7000))</f>
        <v>842093.36713735329</v>
      </c>
      <c r="L154">
        <f t="shared" ref="L154:L162" si="433">(L153+7000)*1.00798-(0.000833*(L153+7000))</f>
        <v>1003056.1660082024</v>
      </c>
      <c r="M154">
        <f t="shared" si="386"/>
        <v>1180552.0769695663</v>
      </c>
      <c r="N154">
        <f t="shared" si="387"/>
        <v>1373883.6184528908</v>
      </c>
      <c r="O154">
        <f t="shared" si="388"/>
        <v>1584463.5959288476</v>
      </c>
      <c r="P154">
        <f t="shared" si="389"/>
        <v>1813830.8609573492</v>
      </c>
      <c r="Q154">
        <f t="shared" si="390"/>
        <v>2063661.556625752</v>
      </c>
      <c r="R154">
        <f t="shared" si="391"/>
        <v>2335781.3662699154</v>
      </c>
      <c r="S154">
        <f t="shared" si="392"/>
        <v>2632178.8549878751</v>
      </c>
      <c r="T154">
        <f t="shared" si="393"/>
        <v>2955020.0014416822</v>
      </c>
      <c r="U154">
        <f t="shared" si="394"/>
        <v>3306664.0261411825</v>
      </c>
      <c r="V154">
        <f t="shared" si="395"/>
        <v>3689680.6318778228</v>
      </c>
      <c r="W154">
        <f t="shared" si="396"/>
        <v>4106868.7822960834</v>
      </c>
      <c r="X154">
        <f t="shared" si="397"/>
        <v>4561277.1558303665</v>
      </c>
      <c r="Y154">
        <f t="shared" si="398"/>
        <v>5056226.4244782291</v>
      </c>
      <c r="Z154">
        <f t="shared" si="399"/>
        <v>5595333.520216139</v>
      </c>
      <c r="AA154">
        <f t="shared" si="400"/>
        <v>6187687.291585166</v>
      </c>
      <c r="AB154">
        <f t="shared" si="401"/>
        <v>6844743.6734603075</v>
      </c>
      <c r="AC154">
        <f t="shared" si="402"/>
        <v>7562213.3351184456</v>
      </c>
      <c r="AD154">
        <f t="shared" si="403"/>
        <v>8345650.9967857534</v>
      </c>
      <c r="AE154">
        <f t="shared" si="404"/>
        <v>9201122.109390365</v>
      </c>
      <c r="AI154">
        <f t="shared" si="382"/>
        <v>28563.075442322082</v>
      </c>
      <c r="AJ154">
        <f t="shared" si="405"/>
        <v>119908.72330311635</v>
      </c>
      <c r="AK154">
        <f t="shared" si="406"/>
        <v>220395.94553189634</v>
      </c>
      <c r="AL154">
        <f t="shared" si="407"/>
        <v>330939.60106154502</v>
      </c>
      <c r="AM154">
        <f t="shared" si="408"/>
        <v>452546.10492167232</v>
      </c>
      <c r="AN154">
        <f t="shared" si="409"/>
        <v>586322.59087401966</v>
      </c>
      <c r="AO154">
        <f t="shared" si="410"/>
        <v>733486.99101451633</v>
      </c>
      <c r="AP154">
        <f t="shared" si="411"/>
        <v>895379.12410901766</v>
      </c>
      <c r="AQ154">
        <f t="shared" si="412"/>
        <v>1073472.8936135056</v>
      </c>
      <c r="AR154">
        <f t="shared" si="413"/>
        <v>1269389.7064323423</v>
      </c>
      <c r="AS154">
        <f t="shared" si="414"/>
        <v>1484913.234582067</v>
      </c>
      <c r="AT154">
        <f t="shared" si="415"/>
        <v>1722005.6541543356</v>
      </c>
      <c r="AU154">
        <f t="shared" si="416"/>
        <v>1982825.5094212811</v>
      </c>
      <c r="AV154">
        <f t="shared" si="417"/>
        <v>2269747.3647222472</v>
      </c>
      <c r="AW154">
        <f t="shared" si="418"/>
        <v>2585383.4230472194</v>
      </c>
      <c r="AX154">
        <f t="shared" si="419"/>
        <v>2932607.3081375435</v>
      </c>
      <c r="AY154">
        <f t="shared" si="420"/>
        <v>3314580.2266216804</v>
      </c>
      <c r="AZ154">
        <f t="shared" si="421"/>
        <v>3734779.7483721334</v>
      </c>
      <c r="BA154">
        <f t="shared" si="422"/>
        <v>4197031.4671065938</v>
      </c>
      <c r="BB154">
        <f t="shared" si="423"/>
        <v>4705543.8294787249</v>
      </c>
      <c r="BC154">
        <f t="shared" si="424"/>
        <v>5264946.4497507075</v>
      </c>
      <c r="BD154">
        <f t="shared" si="425"/>
        <v>5880332.2588731945</v>
      </c>
      <c r="BE154">
        <f t="shared" si="426"/>
        <v>6557303.8717076387</v>
      </c>
      <c r="BF154">
        <f t="shared" si="427"/>
        <v>7302024.5945289349</v>
      </c>
      <c r="BG154">
        <f t="shared" si="428"/>
        <v>8121274.5371924937</v>
      </c>
      <c r="BH154">
        <f t="shared" si="429"/>
        <v>9022512.3408238795</v>
      </c>
      <c r="BI154">
        <f t="shared" si="430"/>
        <v>10013943.083014224</v>
      </c>
      <c r="BJ154">
        <f t="shared" si="431"/>
        <v>11104592.978745982</v>
      </c>
    </row>
    <row r="155" spans="1:62" x14ac:dyDescent="0.3">
      <c r="A155">
        <f>0.0125/12</f>
        <v>1.0416666666666667E-3</v>
      </c>
      <c r="B155">
        <v>1.25</v>
      </c>
      <c r="D155">
        <f t="shared" si="380"/>
        <v>35690.580634601953</v>
      </c>
      <c r="E155">
        <f t="shared" si="384"/>
        <v>126231.78627230496</v>
      </c>
      <c r="F155">
        <f t="shared" si="384"/>
        <v>224116.56883537027</v>
      </c>
      <c r="G155">
        <f t="shared" si="384"/>
        <v>329940.54798314406</v>
      </c>
      <c r="H155">
        <f t="shared" ref="H155:I162" si="434">(H154+7000)*1.00798-(0.00125*(H154+7000))</f>
        <v>445208.20643292653</v>
      </c>
      <c r="I155">
        <f t="shared" si="434"/>
        <v>570291.20967998158</v>
      </c>
      <c r="J155">
        <f t="shared" ref="J155:J162" si="435">(J154+7000)*1.00798-(0.00104*(J154+7000))</f>
        <v>706005.5866965265</v>
      </c>
      <c r="K155">
        <f t="shared" si="432"/>
        <v>854986.07510528667</v>
      </c>
      <c r="L155">
        <f t="shared" si="433"/>
        <v>1017275.0374266631</v>
      </c>
      <c r="M155">
        <f t="shared" si="386"/>
        <v>1196039.5116636679</v>
      </c>
      <c r="N155">
        <f t="shared" si="387"/>
        <v>1390752.7936739738</v>
      </c>
      <c r="O155">
        <f t="shared" si="388"/>
        <v>1602837.7862489512</v>
      </c>
      <c r="P155">
        <f t="shared" si="389"/>
        <v>1833844.3391206115</v>
      </c>
      <c r="Q155">
        <f t="shared" si="390"/>
        <v>2085460.5747709563</v>
      </c>
      <c r="R155">
        <f t="shared" si="391"/>
        <v>2359525.2246946464</v>
      </c>
      <c r="S155">
        <f t="shared" si="392"/>
        <v>2658041.0662644734</v>
      </c>
      <c r="T155">
        <f t="shared" si="393"/>
        <v>2983189.5583919859</v>
      </c>
      <c r="U155">
        <f t="shared" si="394"/>
        <v>3337346.7829360138</v>
      </c>
      <c r="V155">
        <f t="shared" si="395"/>
        <v>3723100.8083538543</v>
      </c>
      <c r="W155">
        <f t="shared" si="396"/>
        <v>4143270.6024831538</v>
      </c>
      <c r="X155">
        <f t="shared" si="397"/>
        <v>4600926.6326630861</v>
      </c>
      <c r="Y155">
        <f t="shared" si="398"/>
        <v>5099413.3037339756</v>
      </c>
      <c r="Z155">
        <f t="shared" si="399"/>
        <v>5642373.3978851242</v>
      </c>
      <c r="AA155">
        <f t="shared" si="400"/>
        <v>6240261.6059893584</v>
      </c>
      <c r="AB155">
        <f t="shared" si="401"/>
        <v>6902151.9516659556</v>
      </c>
      <c r="AC155">
        <f t="shared" si="402"/>
        <v>7624900.0376249133</v>
      </c>
      <c r="AD155">
        <f t="shared" si="403"/>
        <v>8414101.4501691069</v>
      </c>
      <c r="AE155">
        <f t="shared" si="404"/>
        <v>9275866.2637491506</v>
      </c>
      <c r="AI155">
        <f t="shared" si="382"/>
        <v>35846.868784351813</v>
      </c>
      <c r="AJ155">
        <f t="shared" si="405"/>
        <v>127921.45491507523</v>
      </c>
      <c r="AK155">
        <f t="shared" si="406"/>
        <v>229210.5651772409</v>
      </c>
      <c r="AL155">
        <f t="shared" si="407"/>
        <v>340636.35907801619</v>
      </c>
      <c r="AM155">
        <f t="shared" si="408"/>
        <v>463213.28283894731</v>
      </c>
      <c r="AN155">
        <f t="shared" si="409"/>
        <v>598057.30514919444</v>
      </c>
      <c r="AO155">
        <f t="shared" si="410"/>
        <v>746396.07720281219</v>
      </c>
      <c r="AP155">
        <f t="shared" si="411"/>
        <v>909580.10951940774</v>
      </c>
      <c r="AQ155">
        <f t="shared" si="412"/>
        <v>1089095.0673045416</v>
      </c>
      <c r="AR155">
        <f t="shared" si="413"/>
        <v>1286575.2962896726</v>
      </c>
      <c r="AS155">
        <f t="shared" si="414"/>
        <v>1503818.702194032</v>
      </c>
      <c r="AT155">
        <f t="shared" si="415"/>
        <v>1742803.1192744875</v>
      </c>
      <c r="AU155">
        <f t="shared" si="416"/>
        <v>2005704.316986463</v>
      </c>
      <c r="AV155">
        <f t="shared" si="417"/>
        <v>2294915.808692731</v>
      </c>
      <c r="AW155">
        <f t="shared" si="418"/>
        <v>2613070.6427631364</v>
      </c>
      <c r="AX155">
        <f t="shared" si="419"/>
        <v>2963065.3744564815</v>
      </c>
      <c r="AY155">
        <f t="shared" si="420"/>
        <v>3348086.4368301216</v>
      </c>
      <c r="AZ155">
        <f t="shared" si="421"/>
        <v>3771639.1507641436</v>
      </c>
      <c r="BA155">
        <f t="shared" si="422"/>
        <v>4237579.6382141048</v>
      </c>
      <c r="BB155">
        <f t="shared" si="423"/>
        <v>4750149.9292379655</v>
      </c>
      <c r="BC155">
        <f t="shared" si="424"/>
        <v>5314016.5824197186</v>
      </c>
      <c r="BD155">
        <f t="shared" si="425"/>
        <v>5934313.1702990029</v>
      </c>
      <c r="BE155">
        <f t="shared" si="426"/>
        <v>6616687.0166038666</v>
      </c>
      <c r="BF155">
        <f t="shared" si="427"/>
        <v>7367350.6107932767</v>
      </c>
      <c r="BG155">
        <f t="shared" si="428"/>
        <v>8193138.1679992909</v>
      </c>
      <c r="BH155">
        <f t="shared" si="429"/>
        <v>9101567.8493036553</v>
      </c>
      <c r="BI155">
        <f t="shared" si="430"/>
        <v>10100910.208816677</v>
      </c>
      <c r="BJ155">
        <f t="shared" si="431"/>
        <v>11200263.490716375</v>
      </c>
    </row>
    <row r="156" spans="1:62" x14ac:dyDescent="0.3">
      <c r="A156">
        <f>0.01/12</f>
        <v>8.3333333333333339E-4</v>
      </c>
      <c r="B156">
        <v>1</v>
      </c>
      <c r="D156">
        <f t="shared" si="380"/>
        <v>42968.923220339566</v>
      </c>
      <c r="E156">
        <f t="shared" si="384"/>
        <v>134100.45751880039</v>
      </c>
      <c r="F156">
        <f t="shared" si="384"/>
        <v>232623.4488641769</v>
      </c>
      <c r="G156">
        <f t="shared" si="384"/>
        <v>339137.40035599418</v>
      </c>
      <c r="H156">
        <f t="shared" si="434"/>
        <v>455251.56766222016</v>
      </c>
      <c r="I156">
        <f t="shared" si="434"/>
        <v>581176.37952112802</v>
      </c>
      <c r="J156">
        <f t="shared" si="435"/>
        <v>717953.84546820051</v>
      </c>
      <c r="K156">
        <f t="shared" si="432"/>
        <v>867968.25846651744</v>
      </c>
      <c r="L156">
        <f t="shared" si="433"/>
        <v>1031595.5311191516</v>
      </c>
      <c r="M156">
        <f t="shared" si="386"/>
        <v>1211637.6350535282</v>
      </c>
      <c r="N156">
        <f t="shared" si="387"/>
        <v>1407742.5328903617</v>
      </c>
      <c r="O156">
        <f t="shared" si="388"/>
        <v>1621343.2969072727</v>
      </c>
      <c r="P156">
        <f t="shared" si="389"/>
        <v>1854000.8536123068</v>
      </c>
      <c r="Q156">
        <f t="shared" si="390"/>
        <v>2107415.3904988444</v>
      </c>
      <c r="R156">
        <f t="shared" si="391"/>
        <v>2383438.7804755396</v>
      </c>
      <c r="S156">
        <f t="shared" si="392"/>
        <v>2684088.1147650657</v>
      </c>
      <c r="T156">
        <f t="shared" si="393"/>
        <v>3011560.4431658136</v>
      </c>
      <c r="U156">
        <f t="shared" si="394"/>
        <v>3368248.8293936579</v>
      </c>
      <c r="V156">
        <f t="shared" si="395"/>
        <v>3756759.8388311598</v>
      </c>
      <c r="W156">
        <f t="shared" si="396"/>
        <v>4179932.5864791013</v>
      </c>
      <c r="X156">
        <f t="shared" si="397"/>
        <v>4640859.4843067294</v>
      </c>
      <c r="Y156">
        <f t="shared" si="398"/>
        <v>5142908.8396157632</v>
      </c>
      <c r="Z156">
        <f t="shared" si="399"/>
        <v>5689749.4695598101</v>
      </c>
      <c r="AA156">
        <f t="shared" si="400"/>
        <v>6293222.7096246229</v>
      </c>
      <c r="AB156">
        <f t="shared" si="401"/>
        <v>6959982.5825743629</v>
      </c>
      <c r="AC156">
        <f t="shared" si="402"/>
        <v>7688047.9262017198</v>
      </c>
      <c r="AD156">
        <f t="shared" si="403"/>
        <v>8483055.4935380016</v>
      </c>
      <c r="AE156">
        <f t="shared" si="404"/>
        <v>9351160.3108515535</v>
      </c>
      <c r="AI156">
        <f t="shared" si="382"/>
        <v>43188.786797250941</v>
      </c>
      <c r="AJ156">
        <f t="shared" si="405"/>
        <v>135998.12812529752</v>
      </c>
      <c r="AK156">
        <f t="shared" si="406"/>
        <v>238095.52548735531</v>
      </c>
      <c r="AL156">
        <f t="shared" si="407"/>
        <v>350410.49722345878</v>
      </c>
      <c r="AM156">
        <f t="shared" si="408"/>
        <v>473965.58483600215</v>
      </c>
      <c r="AN156">
        <f t="shared" si="409"/>
        <v>609885.66244428512</v>
      </c>
      <c r="AO156">
        <f t="shared" si="410"/>
        <v>759408.17789889069</v>
      </c>
      <c r="AP156">
        <f t="shared" si="411"/>
        <v>923894.41879337269</v>
      </c>
      <c r="AQ156">
        <f t="shared" si="412"/>
        <v>1104841.9059416319</v>
      </c>
      <c r="AR156">
        <f t="shared" si="413"/>
        <v>1303898.0271540643</v>
      </c>
      <c r="AS156">
        <f t="shared" si="414"/>
        <v>1522875.0354375406</v>
      </c>
      <c r="AT156">
        <f t="shared" si="415"/>
        <v>1763766.5481662981</v>
      </c>
      <c r="AU156">
        <f t="shared" si="416"/>
        <v>2028765.6974360151</v>
      </c>
      <c r="AV156">
        <f t="shared" si="417"/>
        <v>2320285.096846099</v>
      </c>
      <c r="AW156">
        <f t="shared" si="418"/>
        <v>2640978.8064923864</v>
      </c>
      <c r="AX156">
        <f t="shared" si="419"/>
        <v>2993766.4961446445</v>
      </c>
      <c r="AY156">
        <f t="shared" si="420"/>
        <v>3381860.026596026</v>
      </c>
      <c r="AZ156">
        <f t="shared" si="421"/>
        <v>3808792.6911872416</v>
      </c>
      <c r="BA156">
        <f t="shared" si="422"/>
        <v>4278451.3837270541</v>
      </c>
      <c r="BB156">
        <f t="shared" si="423"/>
        <v>4795111.9856732851</v>
      </c>
      <c r="BC156">
        <f t="shared" si="424"/>
        <v>5363478.294747428</v>
      </c>
      <c r="BD156">
        <f t="shared" si="425"/>
        <v>5988724.8493979899</v>
      </c>
      <c r="BE156">
        <f t="shared" si="426"/>
        <v>6676544.0389963659</v>
      </c>
      <c r="BF156">
        <f t="shared" si="427"/>
        <v>7433197.9286674075</v>
      </c>
      <c r="BG156">
        <f t="shared" si="428"/>
        <v>8265575.2705799257</v>
      </c>
      <c r="BH156">
        <f t="shared" si="429"/>
        <v>9181254.2207410987</v>
      </c>
      <c r="BI156">
        <f t="shared" si="430"/>
        <v>10188571.332283035</v>
      </c>
      <c r="BJ156">
        <f t="shared" si="431"/>
        <v>11296697.453372294</v>
      </c>
    </row>
    <row r="157" spans="1:62" x14ac:dyDescent="0.3">
      <c r="D157">
        <f t="shared" si="380"/>
        <v>50294.720599736189</v>
      </c>
      <c r="E157">
        <f t="shared" si="384"/>
        <v>142020.43250182297</v>
      </c>
      <c r="F157">
        <f t="shared" si="384"/>
        <v>241185.79375077135</v>
      </c>
      <c r="G157">
        <f t="shared" si="384"/>
        <v>348394.21620631532</v>
      </c>
      <c r="H157">
        <f t="shared" si="434"/>
        <v>465362.52071258693</v>
      </c>
      <c r="I157">
        <f t="shared" si="434"/>
        <v>592134.80655530526</v>
      </c>
      <c r="J157">
        <f t="shared" si="435"/>
        <v>729985.02515574999</v>
      </c>
      <c r="K157">
        <f t="shared" si="432"/>
        <v>881040.53818027512</v>
      </c>
      <c r="L157">
        <f t="shared" si="433"/>
        <v>1046018.3733800603</v>
      </c>
      <c r="M157">
        <f t="shared" si="386"/>
        <v>1227347.2382312559</v>
      </c>
      <c r="N157">
        <f t="shared" si="387"/>
        <v>1424853.6977729294</v>
      </c>
      <c r="O157">
        <f t="shared" si="388"/>
        <v>1639981.0664502692</v>
      </c>
      <c r="P157">
        <f t="shared" si="389"/>
        <v>1874301.4267130741</v>
      </c>
      <c r="Q157">
        <f t="shared" si="390"/>
        <v>2129527.1172947399</v>
      </c>
      <c r="R157">
        <f t="shared" si="391"/>
        <v>2407523.2464395985</v>
      </c>
      <c r="S157">
        <f t="shared" si="392"/>
        <v>2710321.321521292</v>
      </c>
      <c r="T157">
        <f t="shared" si="393"/>
        <v>3040134.0946531198</v>
      </c>
      <c r="U157">
        <f t="shared" si="394"/>
        <v>3399371.7327773347</v>
      </c>
      <c r="V157">
        <f t="shared" si="395"/>
        <v>3790659.4303992861</v>
      </c>
      <c r="W157">
        <f t="shared" si="396"/>
        <v>4216856.5936746681</v>
      </c>
      <c r="X157">
        <f t="shared" si="397"/>
        <v>4681077.73604107</v>
      </c>
      <c r="Y157">
        <f t="shared" si="398"/>
        <v>5186715.2380924979</v>
      </c>
      <c r="Z157">
        <f t="shared" si="399"/>
        <v>5737464.1380187552</v>
      </c>
      <c r="AA157">
        <f t="shared" si="400"/>
        <v>6346573.4480993319</v>
      </c>
      <c r="AB157">
        <f t="shared" si="401"/>
        <v>7018238.6734343627</v>
      </c>
      <c r="AC157">
        <f t="shared" si="402"/>
        <v>7751660.3937947871</v>
      </c>
      <c r="AD157">
        <f t="shared" si="403"/>
        <v>8552516.8318039607</v>
      </c>
      <c r="AE157">
        <f t="shared" si="404"/>
        <v>9427008.2962584905</v>
      </c>
      <c r="AI157">
        <f t="shared" si="382"/>
        <v>50589.29331589301</v>
      </c>
      <c r="AJ157">
        <f t="shared" si="405"/>
        <v>144139.2531877374</v>
      </c>
      <c r="AK157">
        <f t="shared" si="406"/>
        <v>247051.38778074444</v>
      </c>
      <c r="AL157">
        <f t="shared" si="407"/>
        <v>360262.632991302</v>
      </c>
      <c r="AM157">
        <f t="shared" si="408"/>
        <v>484803.69020299352</v>
      </c>
      <c r="AN157">
        <f t="shared" si="409"/>
        <v>621808.4100305906</v>
      </c>
      <c r="AO157">
        <f t="shared" si="410"/>
        <v>772524.1151585239</v>
      </c>
      <c r="AP157">
        <f t="shared" si="411"/>
        <v>938322.95625534386</v>
      </c>
      <c r="AQ157">
        <f t="shared" si="412"/>
        <v>1120714.4043510463</v>
      </c>
      <c r="AR157">
        <f t="shared" si="413"/>
        <v>1321358.9934107538</v>
      </c>
      <c r="AS157">
        <f t="shared" si="414"/>
        <v>1542083.4382203324</v>
      </c>
      <c r="AT157">
        <f t="shared" si="415"/>
        <v>1784897.2652206654</v>
      </c>
      <c r="AU157">
        <f t="shared" si="416"/>
        <v>2052011.1077015547</v>
      </c>
      <c r="AV157">
        <f t="shared" si="417"/>
        <v>2345856.8319189311</v>
      </c>
      <c r="AW157">
        <f t="shared" si="418"/>
        <v>2669109.6773681957</v>
      </c>
      <c r="AX157">
        <f t="shared" si="419"/>
        <v>3024712.612783879</v>
      </c>
      <c r="AY157">
        <f t="shared" si="420"/>
        <v>3415903.1296082628</v>
      </c>
      <c r="AZ157">
        <f t="shared" si="421"/>
        <v>3846242.716862916</v>
      </c>
      <c r="BA157">
        <f t="shared" si="422"/>
        <v>4319649.2857691962</v>
      </c>
      <c r="BB157">
        <f t="shared" si="423"/>
        <v>4840432.8393189581</v>
      </c>
      <c r="BC157">
        <f t="shared" si="424"/>
        <v>5413334.7115395134</v>
      </c>
      <c r="BD157">
        <f t="shared" si="425"/>
        <v>6043570.7336961869</v>
      </c>
      <c r="BE157">
        <f t="shared" si="426"/>
        <v>6736878.7204275578</v>
      </c>
      <c r="BF157">
        <f t="shared" si="427"/>
        <v>7499570.7081381744</v>
      </c>
      <c r="BG157">
        <f t="shared" si="428"/>
        <v>8338590.4212391544</v>
      </c>
      <c r="BH157">
        <f t="shared" si="429"/>
        <v>9261576.4894226138</v>
      </c>
      <c r="BI157">
        <f t="shared" si="430"/>
        <v>10276931.991514655</v>
      </c>
      <c r="BJ157">
        <f t="shared" si="431"/>
        <v>11393900.959050206</v>
      </c>
    </row>
    <row r="158" spans="1:62" x14ac:dyDescent="0.3">
      <c r="D158">
        <f t="shared" si="380"/>
        <v>57668.282178046473</v>
      </c>
      <c r="E158">
        <f t="shared" ref="E158:F162" si="436">(E157+7000)*1.00798-(0.00146*(E157+7000))</f>
        <v>149992.04572173487</v>
      </c>
      <c r="F158">
        <f t="shared" si="436"/>
        <v>249803.96512602642</v>
      </c>
      <c r="G158">
        <f>(G157+7000)*1.00798-(0.00125*(G157+7000))</f>
        <v>357786.01928138389</v>
      </c>
      <c r="H158">
        <f t="shared" si="434"/>
        <v>475541.5204769827</v>
      </c>
      <c r="I158">
        <f t="shared" si="434"/>
        <v>603166.98380342254</v>
      </c>
      <c r="J158">
        <f t="shared" si="435"/>
        <v>742099.70123033097</v>
      </c>
      <c r="K158">
        <f t="shared" si="432"/>
        <v>894203.53951524629</v>
      </c>
      <c r="L158">
        <f t="shared" si="433"/>
        <v>1060544.2956946078</v>
      </c>
      <c r="M158">
        <f t="shared" si="386"/>
        <v>1243169.1179428948</v>
      </c>
      <c r="N158">
        <f t="shared" si="387"/>
        <v>1442087.1561509126</v>
      </c>
      <c r="O158">
        <f t="shared" si="388"/>
        <v>1658752.0401321894</v>
      </c>
      <c r="P158">
        <f t="shared" si="389"/>
        <v>1894747.0880097926</v>
      </c>
      <c r="Q158">
        <f t="shared" si="390"/>
        <v>2151796.8766020457</v>
      </c>
      <c r="R158">
        <f t="shared" si="391"/>
        <v>2431779.8440819024</v>
      </c>
      <c r="S158">
        <f t="shared" si="392"/>
        <v>2736742.0170062049</v>
      </c>
      <c r="T158">
        <f t="shared" si="393"/>
        <v>3068911.9620276061</v>
      </c>
      <c r="U158">
        <f t="shared" si="394"/>
        <v>3430717.0715514948</v>
      </c>
      <c r="V158">
        <f t="shared" si="395"/>
        <v>3824801.3023483502</v>
      </c>
      <c r="W158">
        <f t="shared" si="396"/>
        <v>4254044.4967496619</v>
      </c>
      <c r="X158">
        <f t="shared" si="397"/>
        <v>4721583.4276205562</v>
      </c>
      <c r="Y158">
        <f t="shared" si="398"/>
        <v>5230834.7208991451</v>
      </c>
      <c r="Z158">
        <f t="shared" si="399"/>
        <v>5785519.8232131759</v>
      </c>
      <c r="AA158">
        <f t="shared" si="400"/>
        <v>6400316.6879569991</v>
      </c>
      <c r="AB158">
        <f t="shared" si="401"/>
        <v>7076923.3543548202</v>
      </c>
      <c r="AC158">
        <f t="shared" si="402"/>
        <v>7815740.8583119353</v>
      </c>
      <c r="AD158">
        <f t="shared" si="403"/>
        <v>8622489.1971355435</v>
      </c>
      <c r="AE158">
        <f t="shared" si="404"/>
        <v>9503414.295294065</v>
      </c>
      <c r="AI158">
        <f t="shared" si="382"/>
        <v>58048.85587655384</v>
      </c>
      <c r="AJ158">
        <f t="shared" si="405"/>
        <v>152345.34442817557</v>
      </c>
      <c r="AK158">
        <f t="shared" si="406"/>
        <v>256078.71785523481</v>
      </c>
      <c r="AL158">
        <f t="shared" si="407"/>
        <v>370193.38880257262</v>
      </c>
      <c r="AM158">
        <f t="shared" si="408"/>
        <v>495728.28365081345</v>
      </c>
      <c r="AN158">
        <f t="shared" si="409"/>
        <v>633826.30114263482</v>
      </c>
      <c r="AO158">
        <f t="shared" si="410"/>
        <v>785744.71759748901</v>
      </c>
      <c r="AP158">
        <f t="shared" si="411"/>
        <v>952866.63344626164</v>
      </c>
      <c r="AQ158">
        <f t="shared" si="412"/>
        <v>1136713.5652977678</v>
      </c>
      <c r="AR158">
        <f t="shared" si="413"/>
        <v>1338959.2981781717</v>
      </c>
      <c r="AS158">
        <f t="shared" si="414"/>
        <v>1561445.1240573309</v>
      </c>
      <c r="AT158">
        <f t="shared" si="415"/>
        <v>1806196.6053971264</v>
      </c>
      <c r="AU158">
        <f t="shared" si="416"/>
        <v>2075442.0163410134</v>
      </c>
      <c r="AV158">
        <f t="shared" si="417"/>
        <v>2371632.6294376445</v>
      </c>
      <c r="AW158">
        <f t="shared" si="418"/>
        <v>2697465.0325935944</v>
      </c>
      <c r="AX158">
        <f t="shared" si="419"/>
        <v>3055905.6794338948</v>
      </c>
      <c r="AY158">
        <f t="shared" si="420"/>
        <v>3450217.8965825369</v>
      </c>
      <c r="AZ158">
        <f t="shared" si="421"/>
        <v>3883991.5937434826</v>
      </c>
      <c r="BA158">
        <f t="shared" si="422"/>
        <v>4361175.9470696347</v>
      </c>
      <c r="BB158">
        <f t="shared" si="423"/>
        <v>4886115.3533767238</v>
      </c>
      <c r="BC158">
        <f t="shared" si="424"/>
        <v>5463588.9825375993</v>
      </c>
      <c r="BD158">
        <f t="shared" si="425"/>
        <v>6098854.2881510835</v>
      </c>
      <c r="BE158">
        <f t="shared" si="426"/>
        <v>6797694.8726165704</v>
      </c>
      <c r="BF158">
        <f t="shared" si="427"/>
        <v>7566473.1423891177</v>
      </c>
      <c r="BG158">
        <f t="shared" si="428"/>
        <v>8412188.2328006439</v>
      </c>
      <c r="BH158">
        <f t="shared" si="429"/>
        <v>9342539.7298082076</v>
      </c>
      <c r="BI158">
        <f t="shared" si="430"/>
        <v>10365997.768806944</v>
      </c>
      <c r="BJ158">
        <f t="shared" si="431"/>
        <v>11491880.148703428</v>
      </c>
    </row>
    <row r="159" spans="1:62" x14ac:dyDescent="0.3">
      <c r="D159">
        <f t="shared" si="380"/>
        <v>65089.919377847342</v>
      </c>
      <c r="E159">
        <f t="shared" si="436"/>
        <v>158015.6338598406</v>
      </c>
      <c r="F159">
        <f t="shared" si="436"/>
        <v>258478.32697864814</v>
      </c>
      <c r="G159">
        <f>(G158+7000)*1.00798-(0.00125*(G158+7000))</f>
        <v>367241.02919114765</v>
      </c>
      <c r="H159">
        <f t="shared" si="434"/>
        <v>485789.02490979282</v>
      </c>
      <c r="I159">
        <f t="shared" si="434"/>
        <v>614273.40760441963</v>
      </c>
      <c r="J159">
        <f t="shared" si="435"/>
        <v>754298.45315686963</v>
      </c>
      <c r="K159">
        <f t="shared" si="432"/>
        <v>907457.8920794822</v>
      </c>
      <c r="L159">
        <f t="shared" si="433"/>
        <v>1075174.0347759372</v>
      </c>
      <c r="M159">
        <f t="shared" si="386"/>
        <v>1259104.0766288328</v>
      </c>
      <c r="N159">
        <f t="shared" si="387"/>
        <v>1459443.7820559235</v>
      </c>
      <c r="O159">
        <f t="shared" si="388"/>
        <v>1677657.1699630143</v>
      </c>
      <c r="P159">
        <f t="shared" si="389"/>
        <v>1915338.8744477988</v>
      </c>
      <c r="Q159">
        <f t="shared" si="390"/>
        <v>2174225.7978791208</v>
      </c>
      <c r="R159">
        <f t="shared" si="391"/>
        <v>2456209.8036275562</v>
      </c>
      <c r="S159">
        <f t="shared" si="392"/>
        <v>2763351.5412017484</v>
      </c>
      <c r="T159">
        <f t="shared" si="393"/>
        <v>3097895.5048202178</v>
      </c>
      <c r="U159">
        <f t="shared" si="394"/>
        <v>3462286.4354618737</v>
      </c>
      <c r="V159">
        <f t="shared" si="395"/>
        <v>3859187.1862562345</v>
      </c>
      <c r="W159">
        <f t="shared" si="396"/>
        <v>4291498.1817679321</v>
      </c>
      <c r="X159">
        <f t="shared" si="397"/>
        <v>4762378.6133777611</v>
      </c>
      <c r="Y159">
        <f t="shared" si="398"/>
        <v>5275269.5256494116</v>
      </c>
      <c r="Z159">
        <f t="shared" si="399"/>
        <v>5833918.9623896815</v>
      </c>
      <c r="AA159">
        <f t="shared" si="400"/>
        <v>6454455.3168302998</v>
      </c>
      <c r="AB159">
        <f t="shared" si="401"/>
        <v>7136039.7784728091</v>
      </c>
      <c r="AC159">
        <f t="shared" si="402"/>
        <v>7880292.7628065376</v>
      </c>
      <c r="AD159">
        <f t="shared" si="403"/>
        <v>8692976.3491588719</v>
      </c>
      <c r="AE159">
        <f t="shared" si="404"/>
        <v>9580382.4132645447</v>
      </c>
      <c r="AI159">
        <f t="shared" si="382"/>
        <v>65567.94574644875</v>
      </c>
      <c r="AJ159">
        <f t="shared" si="405"/>
        <v>160616.92027671242</v>
      </c>
      <c r="AK159">
        <f t="shared" si="406"/>
        <v>265178.08602371963</v>
      </c>
      <c r="AL159">
        <f t="shared" si="407"/>
        <v>380203.39204521716</v>
      </c>
      <c r="AM159">
        <f t="shared" si="408"/>
        <v>506740.05535434699</v>
      </c>
      <c r="AN159">
        <f t="shared" si="409"/>
        <v>645940.09502575314</v>
      </c>
      <c r="AO159">
        <f t="shared" si="410"/>
        <v>799070.82044391707</v>
      </c>
      <c r="AP159">
        <f t="shared" si="411"/>
        <v>967526.36918116291</v>
      </c>
      <c r="AQ159">
        <f t="shared" si="412"/>
        <v>1152840.399548844</v>
      </c>
      <c r="AR159">
        <f t="shared" si="413"/>
        <v>1356700.0533776337</v>
      </c>
      <c r="AS159">
        <f t="shared" si="414"/>
        <v>1580961.3161473086</v>
      </c>
      <c r="AT159">
        <f t="shared" si="415"/>
        <v>1827665.9143081957</v>
      </c>
      <c r="AU159">
        <f t="shared" si="416"/>
        <v>2099059.9036314148</v>
      </c>
      <c r="AV159">
        <f t="shared" si="417"/>
        <v>2397614.1178205572</v>
      </c>
      <c r="AW159">
        <f t="shared" si="418"/>
        <v>2726046.6635536915</v>
      </c>
      <c r="AX159">
        <f t="shared" si="419"/>
        <v>3087347.6667557778</v>
      </c>
      <c r="AY159">
        <f t="shared" si="420"/>
        <v>3484806.495397266</v>
      </c>
      <c r="AZ159">
        <f t="shared" si="421"/>
        <v>3922041.7066615559</v>
      </c>
      <c r="BA159">
        <f t="shared" si="422"/>
        <v>4403033.9911272507</v>
      </c>
      <c r="BB159">
        <f t="shared" si="423"/>
        <v>4932162.4138966706</v>
      </c>
      <c r="BC159">
        <f t="shared" si="424"/>
        <v>5514244.2826182498</v>
      </c>
      <c r="BD159">
        <f t="shared" si="425"/>
        <v>6154579.0053705294</v>
      </c>
      <c r="BE159">
        <f t="shared" si="426"/>
        <v>6858996.3377000513</v>
      </c>
      <c r="BF159">
        <f t="shared" si="427"/>
        <v>7633909.4580653841</v>
      </c>
      <c r="BG159">
        <f t="shared" si="428"/>
        <v>8486373.3548983932</v>
      </c>
      <c r="BH159">
        <f t="shared" si="429"/>
        <v>9424149.0568520781</v>
      </c>
      <c r="BI159">
        <f t="shared" si="430"/>
        <v>10455774.291002024</v>
      </c>
      <c r="BJ159">
        <f t="shared" si="431"/>
        <v>11590641.212290082</v>
      </c>
    </row>
    <row r="160" spans="1:62" x14ac:dyDescent="0.3">
      <c r="D160">
        <f t="shared" si="380"/>
        <v>72559.945652190916</v>
      </c>
      <c r="E160">
        <f t="shared" si="436"/>
        <v>166091.53579260677</v>
      </c>
      <c r="F160">
        <f t="shared" si="436"/>
        <v>267209.24567054899</v>
      </c>
      <c r="G160">
        <f>(G159+7000)*1.00798-(0.00125*(G159+7000))</f>
        <v>376759.67131760408</v>
      </c>
      <c r="H160">
        <f t="shared" si="434"/>
        <v>496105.4950474358</v>
      </c>
      <c r="I160">
        <f t="shared" si="434"/>
        <v>625454.57763759734</v>
      </c>
      <c r="J160">
        <f t="shared" si="435"/>
        <v>766581.86442177836</v>
      </c>
      <c r="K160">
        <f t="shared" si="432"/>
        <v>920804.22985051386</v>
      </c>
      <c r="L160">
        <f t="shared" si="433"/>
        <v>1089908.3326024809</v>
      </c>
      <c r="M160">
        <f t="shared" si="386"/>
        <v>1275152.9224644993</v>
      </c>
      <c r="N160">
        <f t="shared" si="387"/>
        <v>1476924.4557662774</v>
      </c>
      <c r="O160">
        <f t="shared" si="388"/>
        <v>1696697.4147567402</v>
      </c>
      <c r="P160">
        <f t="shared" si="389"/>
        <v>1936077.8303834775</v>
      </c>
      <c r="Q160">
        <f t="shared" si="390"/>
        <v>2196815.018656563</v>
      </c>
      <c r="R160">
        <f t="shared" si="391"/>
        <v>2480814.3640940827</v>
      </c>
      <c r="S160">
        <f t="shared" si="392"/>
        <v>2790151.2436667178</v>
      </c>
      <c r="T160">
        <f t="shared" si="393"/>
        <v>3127086.1929931683</v>
      </c>
      <c r="U160">
        <f t="shared" si="394"/>
        <v>3494081.42561612</v>
      </c>
      <c r="V160">
        <f t="shared" si="395"/>
        <v>3893818.8260764084</v>
      </c>
      <c r="W160">
        <f t="shared" si="396"/>
        <v>4329219.5482730279</v>
      </c>
      <c r="X160">
        <f t="shared" si="397"/>
        <v>4803465.3623275729</v>
      </c>
      <c r="Y160">
        <f t="shared" si="398"/>
        <v>5320021.9059492284</v>
      </c>
      <c r="Z160">
        <f t="shared" si="399"/>
        <v>5882664.0102138808</v>
      </c>
      <c r="AA160">
        <f t="shared" si="400"/>
        <v>6508992.2435962213</v>
      </c>
      <c r="AB160">
        <f t="shared" si="401"/>
        <v>7195591.1221230347</v>
      </c>
      <c r="AC160">
        <f t="shared" si="402"/>
        <v>7945319.5756625058</v>
      </c>
      <c r="AD160">
        <f t="shared" si="403"/>
        <v>8763982.0751596335</v>
      </c>
      <c r="AE160">
        <f t="shared" si="404"/>
        <v>9657916.7856789324</v>
      </c>
      <c r="AI160">
        <f t="shared" si="382"/>
        <v>73147.037953505424</v>
      </c>
      <c r="AJ160">
        <f t="shared" si="405"/>
        <v>168954.50330052059</v>
      </c>
      <c r="AK160">
        <f t="shared" si="406"/>
        <v>274350.06715018896</v>
      </c>
      <c r="AL160">
        <f t="shared" si="407"/>
        <v>390293.27511373803</v>
      </c>
      <c r="AM160">
        <f t="shared" si="408"/>
        <v>517839.70099607471</v>
      </c>
      <c r="AN160">
        <f t="shared" si="409"/>
        <v>658150.5569840587</v>
      </c>
      <c r="AO160">
        <f t="shared" si="410"/>
        <v>812503.26559105958</v>
      </c>
      <c r="AP160">
        <f t="shared" si="411"/>
        <v>982303.08960722864</v>
      </c>
      <c r="AQ160">
        <f t="shared" si="412"/>
        <v>1169095.925937244</v>
      </c>
      <c r="AR160">
        <f t="shared" si="413"/>
        <v>1374582.3798035872</v>
      </c>
      <c r="AS160">
        <f t="shared" si="414"/>
        <v>1600633.2474501643</v>
      </c>
      <c r="AT160">
        <f t="shared" si="415"/>
        <v>1849306.5483043753</v>
      </c>
      <c r="AU160">
        <f t="shared" si="416"/>
        <v>2122866.2616623938</v>
      </c>
      <c r="AV160">
        <f t="shared" si="417"/>
        <v>2423802.9384807656</v>
      </c>
      <c r="AW160">
        <f t="shared" si="418"/>
        <v>2754856.3759288504</v>
      </c>
      <c r="AX160">
        <f t="shared" si="419"/>
        <v>3119040.5611364893</v>
      </c>
      <c r="AY160">
        <f t="shared" si="420"/>
        <v>3519671.1112305364</v>
      </c>
      <c r="AZ160">
        <f t="shared" si="421"/>
        <v>3960395.4594807154</v>
      </c>
      <c r="BA160">
        <f t="shared" si="422"/>
        <v>4445226.062376447</v>
      </c>
      <c r="BB160">
        <f t="shared" si="423"/>
        <v>4978576.9299595663</v>
      </c>
      <c r="BC160">
        <f t="shared" si="424"/>
        <v>5565303.811993544</v>
      </c>
      <c r="BD160">
        <f t="shared" si="425"/>
        <v>6210748.4058333868</v>
      </c>
      <c r="BE160">
        <f t="shared" si="426"/>
        <v>6920786.988474898</v>
      </c>
      <c r="BF160">
        <f t="shared" si="427"/>
        <v>7701883.9155407464</v>
      </c>
      <c r="BG160">
        <f t="shared" si="428"/>
        <v>8561150.4742704835</v>
      </c>
      <c r="BH160">
        <f t="shared" si="429"/>
        <v>9506409.6263257582</v>
      </c>
      <c r="BI160">
        <f t="shared" si="430"/>
        <v>10546267.229844222</v>
      </c>
      <c r="BJ160">
        <f t="shared" si="431"/>
        <v>11690190.389164157</v>
      </c>
    </row>
    <row r="161" spans="4:62" x14ac:dyDescent="0.3">
      <c r="D161">
        <f t="shared" si="380"/>
        <v>80078.676497843218</v>
      </c>
      <c r="E161">
        <f t="shared" si="436"/>
        <v>174220.09260597458</v>
      </c>
      <c r="F161">
        <f t="shared" si="436"/>
        <v>275997.08995232102</v>
      </c>
      <c r="G161">
        <f>(G160+7000)*1.00798-(0.00125*(G160+7000))</f>
        <v>386342.37390557159</v>
      </c>
      <c r="H161">
        <f t="shared" si="434"/>
        <v>506491.39502910513</v>
      </c>
      <c r="I161">
        <f t="shared" si="434"/>
        <v>636710.99694509851</v>
      </c>
      <c r="J161">
        <f t="shared" si="435"/>
        <v>778950.52256086562</v>
      </c>
      <c r="K161">
        <f t="shared" si="432"/>
        <v>934243.19120567653</v>
      </c>
      <c r="L161">
        <f t="shared" si="433"/>
        <v>1104747.9364555909</v>
      </c>
      <c r="M161">
        <f t="shared" si="386"/>
        <v>1291316.469401353</v>
      </c>
      <c r="N161">
        <f t="shared" si="387"/>
        <v>1494530.0638516392</v>
      </c>
      <c r="O161">
        <f t="shared" si="388"/>
        <v>1715873.7401800067</v>
      </c>
      <c r="P161">
        <f t="shared" si="389"/>
        <v>1956965.0076372286</v>
      </c>
      <c r="Q161">
        <f t="shared" si="390"/>
        <v>2219565.6845949017</v>
      </c>
      <c r="R161">
        <f t="shared" si="391"/>
        <v>2505594.7733542635</v>
      </c>
      <c r="S161">
        <f t="shared" si="392"/>
        <v>2817142.4836052042</v>
      </c>
      <c r="T161">
        <f t="shared" si="393"/>
        <v>3156485.5070144907</v>
      </c>
      <c r="U161">
        <f t="shared" si="394"/>
        <v>3526103.6545649986</v>
      </c>
      <c r="V161">
        <f t="shared" si="395"/>
        <v>3928697.9782263772</v>
      </c>
      <c r="W161">
        <f t="shared" si="396"/>
        <v>4367210.5093845353</v>
      </c>
      <c r="X161">
        <f t="shared" si="397"/>
        <v>4844845.7582721282</v>
      </c>
      <c r="Y161">
        <f t="shared" si="398"/>
        <v>5365094.1315110484</v>
      </c>
      <c r="Z161">
        <f t="shared" si="399"/>
        <v>5931757.43889488</v>
      </c>
      <c r="AA161">
        <f t="shared" si="400"/>
        <v>6563930.3985323589</v>
      </c>
      <c r="AB161">
        <f t="shared" si="401"/>
        <v>7255580.5850084946</v>
      </c>
      <c r="AC161">
        <f t="shared" si="402"/>
        <v>8010824.790780656</v>
      </c>
      <c r="AD161">
        <f t="shared" si="403"/>
        <v>8835510.1902865842</v>
      </c>
      <c r="AE161">
        <f t="shared" si="404"/>
        <v>9736021.5784711726</v>
      </c>
      <c r="AI161">
        <f t="shared" si="382"/>
        <v>80786.611316374401</v>
      </c>
      <c r="AJ161">
        <f t="shared" si="405"/>
        <v>177358.62023685875</v>
      </c>
      <c r="AK161">
        <f t="shared" si="406"/>
        <v>283595.24068604747</v>
      </c>
      <c r="AL161">
        <f t="shared" si="407"/>
        <v>400463.67544914567</v>
      </c>
      <c r="AM161">
        <f t="shared" si="408"/>
        <v>529027.92181002349</v>
      </c>
      <c r="AN161">
        <f t="shared" si="409"/>
        <v>670458.45842879161</v>
      </c>
      <c r="AO161">
        <f t="shared" si="410"/>
        <v>826042.90165047627</v>
      </c>
      <c r="AP161">
        <f t="shared" si="411"/>
        <v>997197.72826229443</v>
      </c>
      <c r="AQ161">
        <f t="shared" si="412"/>
        <v>1185481.1714262234</v>
      </c>
      <c r="AR161">
        <f t="shared" si="413"/>
        <v>1392607.40719442</v>
      </c>
      <c r="AS161">
        <f t="shared" si="414"/>
        <v>1620462.1607648167</v>
      </c>
      <c r="AT161">
        <f t="shared" si="415"/>
        <v>1871119.8745598444</v>
      </c>
      <c r="AU161">
        <f t="shared" si="416"/>
        <v>2146862.5944304601</v>
      </c>
      <c r="AV161">
        <f t="shared" si="417"/>
        <v>2450200.7459298423</v>
      </c>
      <c r="AW161">
        <f t="shared" si="418"/>
        <v>2783895.9898087629</v>
      </c>
      <c r="AX161">
        <f t="shared" si="419"/>
        <v>3150986.3648143588</v>
      </c>
      <c r="AY161">
        <f t="shared" si="420"/>
        <v>3554813.9466981562</v>
      </c>
      <c r="AZ161">
        <f t="shared" si="421"/>
        <v>3999055.2752473718</v>
      </c>
      <c r="BA161">
        <f t="shared" si="422"/>
        <v>4487754.8263542112</v>
      </c>
      <c r="BB161">
        <f t="shared" si="423"/>
        <v>5025361.8338606441</v>
      </c>
      <c r="BC161">
        <f t="shared" si="424"/>
        <v>5616770.7964132531</v>
      </c>
      <c r="BD161">
        <f t="shared" si="425"/>
        <v>6267366.0381119382</v>
      </c>
      <c r="BE161">
        <f t="shared" si="426"/>
        <v>6983070.7286429284</v>
      </c>
      <c r="BF161">
        <f t="shared" si="427"/>
        <v>7770400.8091867622</v>
      </c>
      <c r="BG161">
        <f t="shared" si="428"/>
        <v>8636524.3150551636</v>
      </c>
      <c r="BH161">
        <f t="shared" si="429"/>
        <v>9589326.6351438388</v>
      </c>
      <c r="BI161">
        <f t="shared" si="430"/>
        <v>10637482.30233838</v>
      </c>
      <c r="BJ161">
        <f t="shared" si="431"/>
        <v>11790533.968469689</v>
      </c>
    </row>
    <row r="162" spans="4:62" x14ac:dyDescent="0.3">
      <c r="D162">
        <f t="shared" si="380"/>
        <v>87646.42946860916</v>
      </c>
      <c r="E162">
        <f t="shared" si="436"/>
        <v>182401.64760976555</v>
      </c>
      <c r="F162">
        <f t="shared" si="436"/>
        <v>284842.23097881017</v>
      </c>
      <c r="G162">
        <f>(G161+7000)*1.00798-(0.00125*(G161+7000))</f>
        <v>395989.56808195612</v>
      </c>
      <c r="H162">
        <f t="shared" si="434"/>
        <v>516947.19211765105</v>
      </c>
      <c r="I162">
        <f t="shared" si="434"/>
        <v>648043.17195453902</v>
      </c>
      <c r="J162">
        <f t="shared" si="435"/>
        <v>791405.01918743807</v>
      </c>
      <c r="K162">
        <f t="shared" si="432"/>
        <v>947775.41895264399</v>
      </c>
      <c r="L162">
        <f t="shared" si="433"/>
        <v>1119693.5989574392</v>
      </c>
      <c r="M162">
        <f t="shared" si="386"/>
        <v>1307595.5372081646</v>
      </c>
      <c r="N162">
        <f t="shared" si="387"/>
        <v>1512261.4992179868</v>
      </c>
      <c r="O162">
        <f t="shared" si="388"/>
        <v>1735187.1188010734</v>
      </c>
      <c r="P162">
        <f t="shared" si="389"/>
        <v>1978001.4655468119</v>
      </c>
      <c r="Q162">
        <f t="shared" si="390"/>
        <v>2242478.9495427017</v>
      </c>
      <c r="R162">
        <f t="shared" si="391"/>
        <v>2530552.2881994266</v>
      </c>
      <c r="S162">
        <f t="shared" si="392"/>
        <v>2844326.6299355309</v>
      </c>
      <c r="T162">
        <f t="shared" si="393"/>
        <v>3186094.9379331237</v>
      </c>
      <c r="U162">
        <f t="shared" si="394"/>
        <v>3558354.7463841746</v>
      </c>
      <c r="V162">
        <f t="shared" si="395"/>
        <v>3963826.4116767612</v>
      </c>
      <c r="W162" s="3">
        <f t="shared" si="396"/>
        <v>4405472.9918951066</v>
      </c>
      <c r="X162">
        <f t="shared" si="397"/>
        <v>4886521.8999065002</v>
      </c>
      <c r="Y162">
        <f t="shared" si="398"/>
        <v>5410488.4882689584</v>
      </c>
      <c r="Z162">
        <f t="shared" si="399"/>
        <v>5981201.7383106621</v>
      </c>
      <c r="AA162">
        <f t="shared" si="400"/>
        <v>6619272.7334743617</v>
      </c>
      <c r="AB162" s="3">
        <f t="shared" si="401"/>
        <v>7316011.390372403</v>
      </c>
      <c r="AC162">
        <f t="shared" si="402"/>
        <v>8076811.9277664293</v>
      </c>
      <c r="AD162">
        <f t="shared" si="403"/>
        <v>8907564.537756525</v>
      </c>
      <c r="AE162">
        <f t="shared" si="404"/>
        <v>9814700.9882239867</v>
      </c>
      <c r="AI162">
        <f t="shared" si="382"/>
        <v>88487.148474679081</v>
      </c>
      <c r="AJ162">
        <f t="shared" si="405"/>
        <v>185829.80202634892</v>
      </c>
      <c r="AK162">
        <f t="shared" si="406"/>
        <v>292914.19070672215</v>
      </c>
      <c r="AL162">
        <f t="shared" si="407"/>
        <v>410715.23557922989</v>
      </c>
      <c r="AM162">
        <f t="shared" si="408"/>
        <v>540305.42462606751</v>
      </c>
      <c r="AN162">
        <f t="shared" si="409"/>
        <v>682864.57692705339</v>
      </c>
      <c r="AO162">
        <f t="shared" si="410"/>
        <v>839690.58400564711</v>
      </c>
      <c r="AP162">
        <f t="shared" si="411"/>
        <v>1012211.2261338276</v>
      </c>
      <c r="AQ162">
        <f t="shared" si="412"/>
        <v>1201997.1711742047</v>
      </c>
      <c r="AR162">
        <f t="shared" si="413"/>
        <v>1410776.2743038316</v>
      </c>
      <c r="AS162">
        <f t="shared" si="414"/>
        <v>1640449.30880772</v>
      </c>
      <c r="AT162">
        <f t="shared" si="415"/>
        <v>1893107.2711588321</v>
      </c>
      <c r="AU162">
        <f t="shared" si="416"/>
        <v>2171050.4179340154</v>
      </c>
      <c r="AV162">
        <f t="shared" si="417"/>
        <v>2476809.2078823629</v>
      </c>
      <c r="AW162">
        <f t="shared" si="418"/>
        <v>2813167.3398074373</v>
      </c>
      <c r="AX162">
        <f t="shared" si="419"/>
        <v>3183187.0960055776</v>
      </c>
      <c r="AY162">
        <f t="shared" si="420"/>
        <v>3590237.2219928079</v>
      </c>
      <c r="AZ162">
        <f t="shared" si="421"/>
        <v>4038023.5963438461</v>
      </c>
      <c r="BA162">
        <f t="shared" si="422"/>
        <v>4530622.9698685184</v>
      </c>
      <c r="BB162" s="3">
        <f t="shared" si="423"/>
        <v>5072520.0812948523</v>
      </c>
      <c r="BC162">
        <f t="shared" si="424"/>
        <v>5668648.4873686312</v>
      </c>
      <c r="BD162">
        <f t="shared" si="425"/>
        <v>6324435.4790960718</v>
      </c>
      <c r="BE162">
        <f t="shared" si="426"/>
        <v>7045851.4930574996</v>
      </c>
      <c r="BF162">
        <f t="shared" si="427"/>
        <v>7839464.4676440731</v>
      </c>
      <c r="BG162" s="3">
        <f t="shared" si="428"/>
        <v>8712499.639089305</v>
      </c>
      <c r="BH162">
        <f t="shared" si="429"/>
        <v>9672905.3216922879</v>
      </c>
      <c r="BI162">
        <f t="shared" si="430"/>
        <v>10729425.271111041</v>
      </c>
      <c r="BJ162">
        <f t="shared" si="431"/>
        <v>11891678.289538078</v>
      </c>
    </row>
    <row r="170" spans="4:62" x14ac:dyDescent="0.3">
      <c r="AD170" s="4"/>
      <c r="AE170" s="4"/>
      <c r="AF170" s="4"/>
      <c r="AG170" s="4"/>
      <c r="AH170" s="4"/>
      <c r="AL170" s="4"/>
      <c r="AM170" s="4"/>
      <c r="AN170" s="4"/>
      <c r="AO170" s="4"/>
      <c r="AP170" s="4"/>
      <c r="AQ170" s="4"/>
      <c r="AR170" s="4"/>
      <c r="AS17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ED14E-C2F6-4460-84E7-59655EA682FF}">
  <dimension ref="A1:BJ170"/>
  <sheetViews>
    <sheetView topLeftCell="AQ84" workbookViewId="0">
      <selection activeCell="BG105" sqref="BG105"/>
    </sheetView>
  </sheetViews>
  <sheetFormatPr defaultRowHeight="14.4" x14ac:dyDescent="0.3"/>
  <cols>
    <col min="1" max="1" width="22.6640625" bestFit="1" customWidth="1"/>
    <col min="28" max="28" width="12.44140625" bestFit="1" customWidth="1"/>
    <col min="59" max="59" width="12.44140625" bestFit="1" customWidth="1"/>
  </cols>
  <sheetData>
    <row r="1" spans="1:62" x14ac:dyDescent="0.3">
      <c r="A1" t="s">
        <v>0</v>
      </c>
    </row>
    <row r="3" spans="1:62" x14ac:dyDescent="0.3">
      <c r="A3" t="s">
        <v>1</v>
      </c>
      <c r="B3" s="1">
        <v>1.7500000000000002E-2</v>
      </c>
    </row>
    <row r="4" spans="1:62" x14ac:dyDescent="0.3">
      <c r="A4" t="s">
        <v>5</v>
      </c>
      <c r="B4" s="1">
        <v>1.4999999999999999E-2</v>
      </c>
      <c r="D4" t="s">
        <v>10</v>
      </c>
    </row>
    <row r="5" spans="1:62" x14ac:dyDescent="0.3">
      <c r="A5" t="s">
        <v>6</v>
      </c>
      <c r="B5" s="1">
        <v>1.2500000000000001E-2</v>
      </c>
      <c r="D5" t="s">
        <v>11</v>
      </c>
    </row>
    <row r="6" spans="1:62" x14ac:dyDescent="0.3">
      <c r="A6" t="s">
        <v>2</v>
      </c>
      <c r="B6" s="1">
        <v>0.01</v>
      </c>
      <c r="D6" t="s">
        <v>12</v>
      </c>
    </row>
    <row r="7" spans="1:62" x14ac:dyDescent="0.3">
      <c r="A7" t="s">
        <v>3</v>
      </c>
      <c r="B7" s="1">
        <v>0.01</v>
      </c>
      <c r="D7" t="s">
        <v>13</v>
      </c>
    </row>
    <row r="8" spans="1:62" x14ac:dyDescent="0.3">
      <c r="A8" t="s">
        <v>4</v>
      </c>
      <c r="B8" s="1">
        <v>7.4999999999999997E-3</v>
      </c>
    </row>
    <row r="10" spans="1:62" x14ac:dyDescent="0.3">
      <c r="D10" t="s">
        <v>7</v>
      </c>
      <c r="AI10" t="s">
        <v>7</v>
      </c>
      <c r="AJ10" t="s">
        <v>66</v>
      </c>
    </row>
    <row r="11" spans="1:62" x14ac:dyDescent="0.3">
      <c r="D11" t="s">
        <v>48</v>
      </c>
      <c r="AI11" t="s">
        <v>48</v>
      </c>
    </row>
    <row r="12" spans="1:62" x14ac:dyDescent="0.3">
      <c r="D12" t="s">
        <v>76</v>
      </c>
      <c r="AI12" t="s">
        <v>76</v>
      </c>
    </row>
    <row r="13" spans="1:62" x14ac:dyDescent="0.3">
      <c r="D13" t="s">
        <v>15</v>
      </c>
      <c r="E13" t="s">
        <v>16</v>
      </c>
      <c r="F13" t="s">
        <v>17</v>
      </c>
      <c r="G13" t="s">
        <v>18</v>
      </c>
      <c r="H13" t="s">
        <v>19</v>
      </c>
      <c r="I13" t="s">
        <v>20</v>
      </c>
      <c r="J13" t="s">
        <v>21</v>
      </c>
      <c r="K13" t="s">
        <v>22</v>
      </c>
      <c r="L13" t="s">
        <v>23</v>
      </c>
      <c r="M13" t="s">
        <v>24</v>
      </c>
      <c r="N13" t="s">
        <v>25</v>
      </c>
      <c r="O13" t="s">
        <v>26</v>
      </c>
      <c r="P13" t="s">
        <v>27</v>
      </c>
      <c r="Q13" t="s">
        <v>28</v>
      </c>
      <c r="R13" t="s">
        <v>29</v>
      </c>
      <c r="S13" t="s">
        <v>30</v>
      </c>
      <c r="T13" t="s">
        <v>31</v>
      </c>
      <c r="U13" t="s">
        <v>32</v>
      </c>
      <c r="V13" t="s">
        <v>33</v>
      </c>
      <c r="W13" t="s">
        <v>34</v>
      </c>
      <c r="X13" t="s">
        <v>35</v>
      </c>
      <c r="Y13" t="s">
        <v>36</v>
      </c>
      <c r="Z13" t="s">
        <v>37</v>
      </c>
      <c r="AA13" t="s">
        <v>38</v>
      </c>
      <c r="AB13" t="s">
        <v>39</v>
      </c>
      <c r="AC13" t="s">
        <v>67</v>
      </c>
      <c r="AD13" t="s">
        <v>68</v>
      </c>
      <c r="AE13" t="s">
        <v>69</v>
      </c>
      <c r="AI13" t="s">
        <v>15</v>
      </c>
      <c r="AJ13" t="s">
        <v>16</v>
      </c>
      <c r="AK13" t="s">
        <v>17</v>
      </c>
      <c r="AL13" t="s">
        <v>18</v>
      </c>
      <c r="AM13" t="s">
        <v>19</v>
      </c>
      <c r="AN13" t="s">
        <v>20</v>
      </c>
      <c r="AO13" t="s">
        <v>21</v>
      </c>
      <c r="AP13" t="s">
        <v>22</v>
      </c>
      <c r="AQ13" t="s">
        <v>23</v>
      </c>
      <c r="AR13" t="s">
        <v>24</v>
      </c>
      <c r="AS13" t="s">
        <v>25</v>
      </c>
      <c r="AT13" t="s">
        <v>26</v>
      </c>
      <c r="AU13" t="s">
        <v>27</v>
      </c>
      <c r="AV13" t="s">
        <v>28</v>
      </c>
      <c r="AW13" t="s">
        <v>29</v>
      </c>
      <c r="AX13" t="s">
        <v>30</v>
      </c>
      <c r="AY13" t="s">
        <v>31</v>
      </c>
      <c r="AZ13" t="s">
        <v>32</v>
      </c>
      <c r="BA13" t="s">
        <v>33</v>
      </c>
      <c r="BB13" t="s">
        <v>34</v>
      </c>
      <c r="BC13" t="s">
        <v>35</v>
      </c>
      <c r="BD13" t="s">
        <v>36</v>
      </c>
      <c r="BE13" t="s">
        <v>37</v>
      </c>
      <c r="BF13" t="s">
        <v>38</v>
      </c>
      <c r="BG13" t="s">
        <v>39</v>
      </c>
      <c r="BH13" t="s">
        <v>67</v>
      </c>
      <c r="BI13" t="s">
        <v>68</v>
      </c>
      <c r="BJ13" t="s">
        <v>69</v>
      </c>
    </row>
    <row r="14" spans="1:62" x14ac:dyDescent="0.3">
      <c r="D14">
        <v>0</v>
      </c>
      <c r="AI14">
        <v>0</v>
      </c>
    </row>
    <row r="15" spans="1:62" x14ac:dyDescent="0.3">
      <c r="C15" t="s">
        <v>40</v>
      </c>
      <c r="D15">
        <f t="shared" ref="D15:D26" si="0">(D14+8000)-(0.00146*(D14+8000))</f>
        <v>7988.32</v>
      </c>
      <c r="E15">
        <f>(D26+8000)-(0.00146*(D26+8000))</f>
        <v>102943.302369828</v>
      </c>
      <c r="F15">
        <f>(E26+8000)-(0.00146*(E26+8000))</f>
        <v>196247.96744745318</v>
      </c>
      <c r="G15">
        <f>(F26+8000)-(0.00146*(F26+8000))</f>
        <v>287930.997742176</v>
      </c>
      <c r="H15">
        <f>(G26+8000)-(0.00146*(G26+8000))</f>
        <v>378020.57726137614</v>
      </c>
      <c r="I15">
        <f>(H26+8000)-(0.00125*(H26+8000))</f>
        <v>467451.09829265898</v>
      </c>
      <c r="J15">
        <f>(I26+8000)-(0.00125*(I26+8000))</f>
        <v>555710.9012718912</v>
      </c>
      <c r="K15">
        <f>(J26+8000)-(0.00125*(J26+8000))</f>
        <v>642655.87118093146</v>
      </c>
      <c r="L15">
        <f>(K26+8000)-(0.00125*(K26+8000))</f>
        <v>728305.59548705432</v>
      </c>
      <c r="M15">
        <f t="shared" ref="M15:V15" si="1">(L26+8000)-(0.00104*(L26+8000))</f>
        <v>813019.47795877128</v>
      </c>
      <c r="N15">
        <f t="shared" si="1"/>
        <v>898284.34030772338</v>
      </c>
      <c r="O15">
        <f t="shared" si="1"/>
        <v>982491.16280670895</v>
      </c>
      <c r="P15">
        <f t="shared" si="1"/>
        <v>1065653.0745254676</v>
      </c>
      <c r="Q15">
        <f t="shared" si="1"/>
        <v>1147783.0416169344</v>
      </c>
      <c r="R15">
        <f t="shared" si="1"/>
        <v>1228893.8693388491</v>
      </c>
      <c r="S15">
        <f t="shared" si="1"/>
        <v>1308998.2040502862</v>
      </c>
      <c r="T15">
        <f t="shared" si="1"/>
        <v>1388108.5351834046</v>
      </c>
      <c r="U15">
        <f t="shared" si="1"/>
        <v>1466237.1971907308</v>
      </c>
      <c r="V15">
        <f t="shared" si="1"/>
        <v>1543396.3714682814</v>
      </c>
      <c r="W15">
        <f t="shared" ref="W15:AE15" si="2">(V26+8000)-(0.000833*(V26+8000))</f>
        <v>1620930.9949924301</v>
      </c>
      <c r="X15">
        <f t="shared" si="2"/>
        <v>1700283.988596431</v>
      </c>
      <c r="Y15">
        <f t="shared" si="2"/>
        <v>1778847.3937077392</v>
      </c>
      <c r="Z15">
        <f t="shared" si="2"/>
        <v>1856629.0669926193</v>
      </c>
      <c r="AA15">
        <f t="shared" si="2"/>
        <v>1933636.7869409106</v>
      </c>
      <c r="AB15">
        <f t="shared" si="2"/>
        <v>2009878.2546439108</v>
      </c>
      <c r="AC15">
        <f t="shared" si="2"/>
        <v>2085361.0945645149</v>
      </c>
      <c r="AD15">
        <f t="shared" si="2"/>
        <v>2160092.855299694</v>
      </c>
      <c r="AE15">
        <f t="shared" si="2"/>
        <v>2234081.0103353891</v>
      </c>
      <c r="AH15" t="s">
        <v>40</v>
      </c>
      <c r="AI15">
        <f t="shared" ref="AI15:AI26" si="3">(AI14+8000)-0</f>
        <v>8000</v>
      </c>
      <c r="AJ15">
        <f t="shared" ref="AJ15:BJ15" si="4">(AI26+8000)-0</f>
        <v>104000</v>
      </c>
      <c r="AK15">
        <f t="shared" si="4"/>
        <v>200000</v>
      </c>
      <c r="AL15">
        <f t="shared" si="4"/>
        <v>296000</v>
      </c>
      <c r="AM15">
        <f t="shared" si="4"/>
        <v>392000</v>
      </c>
      <c r="AN15">
        <f t="shared" si="4"/>
        <v>488000</v>
      </c>
      <c r="AO15">
        <f t="shared" si="4"/>
        <v>584000</v>
      </c>
      <c r="AP15">
        <f t="shared" si="4"/>
        <v>680000</v>
      </c>
      <c r="AQ15">
        <f t="shared" si="4"/>
        <v>776000</v>
      </c>
      <c r="AR15">
        <f t="shared" si="4"/>
        <v>872000</v>
      </c>
      <c r="AS15">
        <f t="shared" si="4"/>
        <v>968000</v>
      </c>
      <c r="AT15">
        <f t="shared" si="4"/>
        <v>1064000</v>
      </c>
      <c r="AU15">
        <f t="shared" si="4"/>
        <v>1160000</v>
      </c>
      <c r="AV15">
        <f t="shared" si="4"/>
        <v>1256000</v>
      </c>
      <c r="AW15">
        <f t="shared" si="4"/>
        <v>1352000</v>
      </c>
      <c r="AX15">
        <f t="shared" si="4"/>
        <v>1448000</v>
      </c>
      <c r="AY15">
        <f t="shared" si="4"/>
        <v>1544000</v>
      </c>
      <c r="AZ15">
        <f t="shared" si="4"/>
        <v>1640000</v>
      </c>
      <c r="BA15">
        <f t="shared" si="4"/>
        <v>1736000</v>
      </c>
      <c r="BB15">
        <f t="shared" si="4"/>
        <v>1832000</v>
      </c>
      <c r="BC15">
        <f t="shared" si="4"/>
        <v>1928000</v>
      </c>
      <c r="BD15">
        <f t="shared" si="4"/>
        <v>2024000</v>
      </c>
      <c r="BE15">
        <f t="shared" si="4"/>
        <v>2120000</v>
      </c>
      <c r="BF15">
        <f t="shared" si="4"/>
        <v>2216000</v>
      </c>
      <c r="BG15">
        <f t="shared" si="4"/>
        <v>2312000</v>
      </c>
      <c r="BH15">
        <f t="shared" si="4"/>
        <v>2408000</v>
      </c>
      <c r="BI15">
        <f t="shared" si="4"/>
        <v>2504000</v>
      </c>
      <c r="BJ15">
        <f t="shared" si="4"/>
        <v>2600000</v>
      </c>
    </row>
    <row r="16" spans="1:62" x14ac:dyDescent="0.3">
      <c r="A16">
        <f>0.0175/12</f>
        <v>1.4583333333333334E-3</v>
      </c>
      <c r="B16">
        <v>1.75</v>
      </c>
      <c r="C16" t="s">
        <v>41</v>
      </c>
      <c r="D16">
        <f t="shared" si="0"/>
        <v>15964.977052799999</v>
      </c>
      <c r="E16">
        <f t="shared" ref="E16:H17" si="5">(E15+8000)-(0.00146*(E15+8000))</f>
        <v>110781.32514836805</v>
      </c>
      <c r="F16">
        <f t="shared" si="5"/>
        <v>203949.76541497989</v>
      </c>
      <c r="G16">
        <f t="shared" si="5"/>
        <v>295498.9384854724</v>
      </c>
      <c r="H16">
        <f t="shared" si="5"/>
        <v>385456.9872185745</v>
      </c>
      <c r="I16">
        <f t="shared" ref="I16:I25" si="6">(I15+8000)-(0.00125*(I15+8000))</f>
        <v>474856.78441979317</v>
      </c>
      <c r="J16">
        <f t="shared" ref="J16:J25" si="7">(J15+8000)-(0.00125*(J15+8000))</f>
        <v>563006.26264530129</v>
      </c>
      <c r="K16">
        <f t="shared" ref="K16:K25" si="8">(K15+8000)-(0.00125*(K15+8000))</f>
        <v>649842.55134195532</v>
      </c>
      <c r="L16">
        <f t="shared" ref="L16:L25" si="9">(L15+8000)-(0.00125*(L15+8000))</f>
        <v>735385.21349269547</v>
      </c>
      <c r="M16">
        <f t="shared" ref="M16:V23" si="10">(M15+8000)-(0.00104*(M15+8000))</f>
        <v>820165.61770169414</v>
      </c>
      <c r="N16">
        <f t="shared" si="10"/>
        <v>905341.80459380336</v>
      </c>
      <c r="O16">
        <f t="shared" si="10"/>
        <v>989461.05199738999</v>
      </c>
      <c r="P16">
        <f t="shared" si="10"/>
        <v>1072536.4753279611</v>
      </c>
      <c r="Q16">
        <f t="shared" si="10"/>
        <v>1154581.0272536527</v>
      </c>
      <c r="R16">
        <f t="shared" si="10"/>
        <v>1235607.4997147366</v>
      </c>
      <c r="S16">
        <f t="shared" si="10"/>
        <v>1315628.525918074</v>
      </c>
      <c r="T16">
        <f t="shared" si="10"/>
        <v>1394656.5823068139</v>
      </c>
      <c r="U16">
        <f t="shared" si="10"/>
        <v>1472703.9905056525</v>
      </c>
      <c r="V16">
        <f t="shared" si="10"/>
        <v>1549782.9192419543</v>
      </c>
      <c r="W16">
        <f t="shared" ref="W16:W26" si="11">(W15+8000)-(0.000833*(W15+8000))</f>
        <v>1627574.0954736015</v>
      </c>
      <c r="X16">
        <f t="shared" ref="X16:X26" si="12">(X15+8000)-(0.000833*(X15+8000))</f>
        <v>1706860.9880339301</v>
      </c>
      <c r="Y16">
        <f t="shared" ref="Y16:Y26" si="13">(Y15+8000)-(0.000833*(Y15+8000))</f>
        <v>1785358.9498287807</v>
      </c>
      <c r="Z16">
        <f t="shared" ref="Z16:Z26" si="14">(Z15+8000)-(0.000833*(Z15+8000))</f>
        <v>1863075.8309798145</v>
      </c>
      <c r="AA16">
        <f t="shared" ref="AA16:AA26" si="15">(AA15+8000)-(0.000833*(AA15+8000))</f>
        <v>1940019.4034973888</v>
      </c>
      <c r="AB16">
        <f t="shared" ref="AB16:AB26" si="16">(AB15+8000)-(0.000833*(AB15+8000))</f>
        <v>2016197.3620577925</v>
      </c>
      <c r="AC16">
        <f t="shared" ref="AC16:AC26" si="17">(AC15+8000)-(0.000833*(AC15+8000))</f>
        <v>2091617.3247727426</v>
      </c>
      <c r="AD16">
        <f t="shared" ref="AD16:AD26" si="18">(AD15+8000)-(0.000833*(AD15+8000))</f>
        <v>2166286.8339512292</v>
      </c>
      <c r="AE16">
        <f t="shared" ref="AE16:AE26" si="19">(AE15+8000)-(0.000833*(AE15+8000))</f>
        <v>2240213.3568537799</v>
      </c>
      <c r="AH16" t="s">
        <v>41</v>
      </c>
      <c r="AI16">
        <f t="shared" si="3"/>
        <v>16000</v>
      </c>
      <c r="AJ16">
        <f t="shared" ref="AJ16:AJ26" si="20">(AJ15+8000)-0</f>
        <v>112000</v>
      </c>
      <c r="AK16">
        <f t="shared" ref="AK16:AK26" si="21">(AK15+8000)-0</f>
        <v>208000</v>
      </c>
      <c r="AL16">
        <f t="shared" ref="AL16:AL26" si="22">(AL15+8000)-0</f>
        <v>304000</v>
      </c>
      <c r="AM16">
        <f t="shared" ref="AM16:AM26" si="23">(AM15+8000)-0</f>
        <v>400000</v>
      </c>
      <c r="AN16">
        <f t="shared" ref="AN16:AN26" si="24">(AN15+8000)-0</f>
        <v>496000</v>
      </c>
      <c r="AO16">
        <f t="shared" ref="AO16:AO26" si="25">(AO15+8000)-0</f>
        <v>592000</v>
      </c>
      <c r="AP16">
        <f t="shared" ref="AP16:AP26" si="26">(AP15+8000)-0</f>
        <v>688000</v>
      </c>
      <c r="AQ16">
        <f t="shared" ref="AQ16:AQ26" si="27">(AQ15+8000)-0</f>
        <v>784000</v>
      </c>
      <c r="AR16">
        <f t="shared" ref="AR16:AR26" si="28">(AR15+8000)-0</f>
        <v>880000</v>
      </c>
      <c r="AS16">
        <f t="shared" ref="AS16:AS26" si="29">(AS15+8000)-0</f>
        <v>976000</v>
      </c>
      <c r="AT16">
        <f t="shared" ref="AT16:AT26" si="30">(AT15+8000)-0</f>
        <v>1072000</v>
      </c>
      <c r="AU16">
        <f t="shared" ref="AU16:AU26" si="31">(AU15+8000)-0</f>
        <v>1168000</v>
      </c>
      <c r="AV16">
        <f t="shared" ref="AV16:AV26" si="32">(AV15+8000)-0</f>
        <v>1264000</v>
      </c>
      <c r="AW16">
        <f t="shared" ref="AW16:AW26" si="33">(AW15+8000)-0</f>
        <v>1360000</v>
      </c>
      <c r="AX16">
        <f t="shared" ref="AX16:AX26" si="34">(AX15+8000)-0</f>
        <v>1456000</v>
      </c>
      <c r="AY16">
        <f t="shared" ref="AY16:AY26" si="35">(AY15+8000)-0</f>
        <v>1552000</v>
      </c>
      <c r="AZ16">
        <f t="shared" ref="AZ16:AZ26" si="36">(AZ15+8000)-0</f>
        <v>1648000</v>
      </c>
      <c r="BA16">
        <f t="shared" ref="BA16:BA26" si="37">(BA15+8000)-0</f>
        <v>1744000</v>
      </c>
      <c r="BB16">
        <f t="shared" ref="BB16:BB26" si="38">(BB15+8000)-0</f>
        <v>1840000</v>
      </c>
      <c r="BC16">
        <f t="shared" ref="BC16:BC26" si="39">(BC15+8000)-0</f>
        <v>1936000</v>
      </c>
      <c r="BD16">
        <f t="shared" ref="BD16:BD26" si="40">(BD15+8000)-0</f>
        <v>2032000</v>
      </c>
      <c r="BE16">
        <f t="shared" ref="BE16:BE26" si="41">(BE15+8000)-0</f>
        <v>2128000</v>
      </c>
      <c r="BF16">
        <f t="shared" ref="BF16:BF26" si="42">(BF15+8000)-0</f>
        <v>2224000</v>
      </c>
      <c r="BG16">
        <f t="shared" ref="BG16:BG26" si="43">(BG15+8000)-0</f>
        <v>2320000</v>
      </c>
      <c r="BH16">
        <f t="shared" ref="BH16:BH26" si="44">(BH15+8000)-0</f>
        <v>2416000</v>
      </c>
      <c r="BI16">
        <f t="shared" ref="BI16:BI26" si="45">(BI15+8000)-0</f>
        <v>2512000</v>
      </c>
      <c r="BJ16">
        <f t="shared" ref="BJ16:BJ26" si="46">(BJ15+8000)-0</f>
        <v>2608000</v>
      </c>
    </row>
    <row r="17" spans="1:62" x14ac:dyDescent="0.3">
      <c r="A17">
        <f>0.015/12</f>
        <v>1.25E-3</v>
      </c>
      <c r="B17">
        <v>1.5</v>
      </c>
      <c r="C17" t="s">
        <v>42</v>
      </c>
      <c r="D17">
        <f t="shared" si="0"/>
        <v>23929.988186302911</v>
      </c>
      <c r="E17">
        <f t="shared" si="5"/>
        <v>118607.90441365143</v>
      </c>
      <c r="F17">
        <f t="shared" si="5"/>
        <v>211640.31875747402</v>
      </c>
      <c r="G17">
        <f t="shared" si="5"/>
        <v>303055.83003528364</v>
      </c>
      <c r="H17">
        <f t="shared" si="5"/>
        <v>392882.54001723538</v>
      </c>
      <c r="I17">
        <f t="shared" si="6"/>
        <v>482253.21343926841</v>
      </c>
      <c r="J17">
        <f t="shared" si="7"/>
        <v>570292.50481699465</v>
      </c>
      <c r="K17">
        <f t="shared" si="8"/>
        <v>657020.2481527779</v>
      </c>
      <c r="L17">
        <f t="shared" si="9"/>
        <v>742455.98197582958</v>
      </c>
      <c r="M17">
        <f t="shared" si="10"/>
        <v>827304.32545928436</v>
      </c>
      <c r="N17">
        <f t="shared" si="10"/>
        <v>912391.92911702581</v>
      </c>
      <c r="O17">
        <f t="shared" si="10"/>
        <v>996423.69250331272</v>
      </c>
      <c r="P17">
        <f t="shared" si="10"/>
        <v>1079412.7173936202</v>
      </c>
      <c r="Q17">
        <f t="shared" si="10"/>
        <v>1161371.9429853088</v>
      </c>
      <c r="R17">
        <f t="shared" si="10"/>
        <v>1242314.1479150332</v>
      </c>
      <c r="S17">
        <f t="shared" si="10"/>
        <v>1322251.9522511191</v>
      </c>
      <c r="T17">
        <f t="shared" si="10"/>
        <v>1401197.8194612148</v>
      </c>
      <c r="U17">
        <f t="shared" si="10"/>
        <v>1479164.0583555265</v>
      </c>
      <c r="V17">
        <f t="shared" si="10"/>
        <v>1556162.8250059427</v>
      </c>
      <c r="W17">
        <f t="shared" si="11"/>
        <v>1634211.662252072</v>
      </c>
      <c r="X17">
        <f t="shared" si="12"/>
        <v>1713432.5088308977</v>
      </c>
      <c r="Y17">
        <f t="shared" si="13"/>
        <v>1791865.0818235734</v>
      </c>
      <c r="Z17">
        <f t="shared" si="14"/>
        <v>1869517.2248126084</v>
      </c>
      <c r="AA17">
        <f t="shared" si="15"/>
        <v>1946396.7033342754</v>
      </c>
      <c r="AB17">
        <f t="shared" si="16"/>
        <v>2022511.2056551983</v>
      </c>
      <c r="AC17">
        <f t="shared" si="17"/>
        <v>2097868.3435412068</v>
      </c>
      <c r="AD17">
        <f t="shared" si="18"/>
        <v>2172475.6530185477</v>
      </c>
      <c r="AE17">
        <f t="shared" si="19"/>
        <v>2246340.5951275206</v>
      </c>
      <c r="AH17" t="s">
        <v>42</v>
      </c>
      <c r="AI17">
        <f t="shared" si="3"/>
        <v>24000</v>
      </c>
      <c r="AJ17">
        <f t="shared" si="20"/>
        <v>120000</v>
      </c>
      <c r="AK17">
        <f t="shared" si="21"/>
        <v>216000</v>
      </c>
      <c r="AL17">
        <f t="shared" si="22"/>
        <v>312000</v>
      </c>
      <c r="AM17">
        <f t="shared" si="23"/>
        <v>408000</v>
      </c>
      <c r="AN17">
        <f t="shared" si="24"/>
        <v>504000</v>
      </c>
      <c r="AO17">
        <f t="shared" si="25"/>
        <v>600000</v>
      </c>
      <c r="AP17">
        <f t="shared" si="26"/>
        <v>696000</v>
      </c>
      <c r="AQ17">
        <f t="shared" si="27"/>
        <v>792000</v>
      </c>
      <c r="AR17">
        <f t="shared" si="28"/>
        <v>888000</v>
      </c>
      <c r="AS17">
        <f t="shared" si="29"/>
        <v>984000</v>
      </c>
      <c r="AT17">
        <f t="shared" si="30"/>
        <v>1080000</v>
      </c>
      <c r="AU17">
        <f t="shared" si="31"/>
        <v>1176000</v>
      </c>
      <c r="AV17">
        <f t="shared" si="32"/>
        <v>1272000</v>
      </c>
      <c r="AW17">
        <f t="shared" si="33"/>
        <v>1368000</v>
      </c>
      <c r="AX17">
        <f t="shared" si="34"/>
        <v>1464000</v>
      </c>
      <c r="AY17">
        <f t="shared" si="35"/>
        <v>1560000</v>
      </c>
      <c r="AZ17">
        <f t="shared" si="36"/>
        <v>1656000</v>
      </c>
      <c r="BA17">
        <f t="shared" si="37"/>
        <v>1752000</v>
      </c>
      <c r="BB17">
        <f t="shared" si="38"/>
        <v>1848000</v>
      </c>
      <c r="BC17">
        <f t="shared" si="39"/>
        <v>1944000</v>
      </c>
      <c r="BD17">
        <f t="shared" si="40"/>
        <v>2040000</v>
      </c>
      <c r="BE17">
        <f t="shared" si="41"/>
        <v>2136000</v>
      </c>
      <c r="BF17">
        <f t="shared" si="42"/>
        <v>2232000</v>
      </c>
      <c r="BG17">
        <f t="shared" si="43"/>
        <v>2328000</v>
      </c>
      <c r="BH17">
        <f t="shared" si="44"/>
        <v>2424000</v>
      </c>
      <c r="BI17">
        <f t="shared" si="45"/>
        <v>2520000</v>
      </c>
      <c r="BJ17">
        <f t="shared" si="46"/>
        <v>2616000</v>
      </c>
    </row>
    <row r="18" spans="1:62" x14ac:dyDescent="0.3">
      <c r="A18">
        <f>0.0125/12</f>
        <v>1.0416666666666667E-3</v>
      </c>
      <c r="B18">
        <v>1.25</v>
      </c>
      <c r="C18" t="s">
        <v>43</v>
      </c>
      <c r="D18">
        <f t="shared" si="0"/>
        <v>31883.370403550911</v>
      </c>
      <c r="E18">
        <f t="shared" ref="E18:E26" si="47">(E17+8000)-(0.00146*(E17+8000))</f>
        <v>126423.05687320749</v>
      </c>
      <c r="F18">
        <f t="shared" ref="F18:F26" si="48">(F17+8000)-(0.00146*(F17+8000))</f>
        <v>219319.64389208809</v>
      </c>
      <c r="G18">
        <f t="shared" ref="G18:G26" si="49">(G17+8000)-(0.00146*(G17+8000))</f>
        <v>310601.68852343212</v>
      </c>
      <c r="H18">
        <f t="shared" ref="H18:H26" si="50">(H17+8000)-(0.00125*(H17+8000))</f>
        <v>400381.43684221385</v>
      </c>
      <c r="I18">
        <f t="shared" si="6"/>
        <v>489640.39692246931</v>
      </c>
      <c r="J18">
        <f t="shared" si="7"/>
        <v>577569.63918597344</v>
      </c>
      <c r="K18">
        <f t="shared" si="8"/>
        <v>664188.97284258693</v>
      </c>
      <c r="L18">
        <f t="shared" si="9"/>
        <v>749517.91199835984</v>
      </c>
      <c r="M18">
        <f t="shared" si="10"/>
        <v>834435.60896080674</v>
      </c>
      <c r="N18">
        <f t="shared" si="10"/>
        <v>919434.72151074407</v>
      </c>
      <c r="O18">
        <f t="shared" si="10"/>
        <v>1003379.0918631093</v>
      </c>
      <c r="P18">
        <f t="shared" si="10"/>
        <v>1086281.8081675309</v>
      </c>
      <c r="Q18">
        <f t="shared" si="10"/>
        <v>1168155.7961646041</v>
      </c>
      <c r="R18">
        <f t="shared" si="10"/>
        <v>1249013.8212012015</v>
      </c>
      <c r="S18">
        <f t="shared" si="10"/>
        <v>1328868.4902207779</v>
      </c>
      <c r="T18">
        <f t="shared" si="10"/>
        <v>1407732.2537289751</v>
      </c>
      <c r="U18">
        <f t="shared" si="10"/>
        <v>1485617.4077348367</v>
      </c>
      <c r="V18">
        <f t="shared" si="10"/>
        <v>1562536.0956679366</v>
      </c>
      <c r="W18">
        <f t="shared" si="11"/>
        <v>1640843.699937416</v>
      </c>
      <c r="X18">
        <f t="shared" si="12"/>
        <v>1719998.5555510416</v>
      </c>
      <c r="Y18">
        <f t="shared" si="13"/>
        <v>1798365.7942104144</v>
      </c>
      <c r="Z18">
        <f t="shared" si="14"/>
        <v>1875953.2529643395</v>
      </c>
      <c r="AA18">
        <f t="shared" si="15"/>
        <v>1952768.690880398</v>
      </c>
      <c r="AB18">
        <f t="shared" si="16"/>
        <v>2028819.7898208876</v>
      </c>
      <c r="AC18">
        <f t="shared" si="17"/>
        <v>2104114.155211037</v>
      </c>
      <c r="AD18">
        <f t="shared" si="18"/>
        <v>2178659.3167995834</v>
      </c>
      <c r="AE18">
        <f t="shared" si="19"/>
        <v>2252462.7294117794</v>
      </c>
      <c r="AH18" t="s">
        <v>43</v>
      </c>
      <c r="AI18">
        <f t="shared" si="3"/>
        <v>32000</v>
      </c>
      <c r="AJ18">
        <f t="shared" si="20"/>
        <v>128000</v>
      </c>
      <c r="AK18">
        <f t="shared" si="21"/>
        <v>224000</v>
      </c>
      <c r="AL18">
        <f t="shared" si="22"/>
        <v>320000</v>
      </c>
      <c r="AM18">
        <f t="shared" si="23"/>
        <v>416000</v>
      </c>
      <c r="AN18">
        <f t="shared" si="24"/>
        <v>512000</v>
      </c>
      <c r="AO18">
        <f t="shared" si="25"/>
        <v>608000</v>
      </c>
      <c r="AP18">
        <f t="shared" si="26"/>
        <v>704000</v>
      </c>
      <c r="AQ18">
        <f t="shared" si="27"/>
        <v>800000</v>
      </c>
      <c r="AR18">
        <f t="shared" si="28"/>
        <v>896000</v>
      </c>
      <c r="AS18">
        <f t="shared" si="29"/>
        <v>992000</v>
      </c>
      <c r="AT18">
        <f t="shared" si="30"/>
        <v>1088000</v>
      </c>
      <c r="AU18">
        <f t="shared" si="31"/>
        <v>1184000</v>
      </c>
      <c r="AV18">
        <f t="shared" si="32"/>
        <v>1280000</v>
      </c>
      <c r="AW18">
        <f t="shared" si="33"/>
        <v>1376000</v>
      </c>
      <c r="AX18">
        <f t="shared" si="34"/>
        <v>1472000</v>
      </c>
      <c r="AY18">
        <f t="shared" si="35"/>
        <v>1568000</v>
      </c>
      <c r="AZ18">
        <f t="shared" si="36"/>
        <v>1664000</v>
      </c>
      <c r="BA18">
        <f t="shared" si="37"/>
        <v>1760000</v>
      </c>
      <c r="BB18">
        <f t="shared" si="38"/>
        <v>1856000</v>
      </c>
      <c r="BC18">
        <f t="shared" si="39"/>
        <v>1952000</v>
      </c>
      <c r="BD18">
        <f t="shared" si="40"/>
        <v>2048000</v>
      </c>
      <c r="BE18">
        <f t="shared" si="41"/>
        <v>2144000</v>
      </c>
      <c r="BF18">
        <f t="shared" si="42"/>
        <v>2240000</v>
      </c>
      <c r="BG18">
        <f t="shared" si="43"/>
        <v>2336000</v>
      </c>
      <c r="BH18">
        <f t="shared" si="44"/>
        <v>2432000</v>
      </c>
      <c r="BI18">
        <f t="shared" si="45"/>
        <v>2528000</v>
      </c>
      <c r="BJ18">
        <f t="shared" si="46"/>
        <v>2624000</v>
      </c>
    </row>
    <row r="19" spans="1:62" x14ac:dyDescent="0.3">
      <c r="A19">
        <f>0.01/12</f>
        <v>8.3333333333333339E-4</v>
      </c>
      <c r="B19">
        <v>1</v>
      </c>
      <c r="C19" t="s">
        <v>42</v>
      </c>
      <c r="D19">
        <f t="shared" si="0"/>
        <v>39825.140682761732</v>
      </c>
      <c r="E19">
        <f t="shared" si="47"/>
        <v>134226.79921017261</v>
      </c>
      <c r="F19">
        <f t="shared" si="48"/>
        <v>226987.75721200564</v>
      </c>
      <c r="G19">
        <f t="shared" si="49"/>
        <v>318136.5300581879</v>
      </c>
      <c r="H19">
        <f t="shared" si="50"/>
        <v>407870.96004616108</v>
      </c>
      <c r="I19">
        <f t="shared" si="6"/>
        <v>497018.34642631625</v>
      </c>
      <c r="J19">
        <f t="shared" si="7"/>
        <v>584837.67713699094</v>
      </c>
      <c r="K19">
        <f t="shared" si="8"/>
        <v>671348.73662653368</v>
      </c>
      <c r="L19">
        <f t="shared" si="9"/>
        <v>756571.01460836187</v>
      </c>
      <c r="M19">
        <f t="shared" si="10"/>
        <v>841559.47592748748</v>
      </c>
      <c r="N19">
        <f t="shared" si="10"/>
        <v>926470.18940037291</v>
      </c>
      <c r="O19">
        <f t="shared" si="10"/>
        <v>1010327.2576075717</v>
      </c>
      <c r="P19">
        <f t="shared" si="10"/>
        <v>1093143.7550870366</v>
      </c>
      <c r="Q19">
        <f t="shared" si="10"/>
        <v>1174932.5941365929</v>
      </c>
      <c r="R19">
        <f t="shared" si="10"/>
        <v>1255706.5268271524</v>
      </c>
      <c r="S19">
        <f t="shared" si="10"/>
        <v>1335478.1469909484</v>
      </c>
      <c r="T19">
        <f t="shared" si="10"/>
        <v>1414259.8921850969</v>
      </c>
      <c r="U19">
        <f t="shared" si="10"/>
        <v>1492064.0456307924</v>
      </c>
      <c r="V19">
        <f t="shared" si="10"/>
        <v>1568902.7381284419</v>
      </c>
      <c r="W19">
        <f t="shared" si="11"/>
        <v>1647470.2131353682</v>
      </c>
      <c r="X19">
        <f t="shared" si="12"/>
        <v>1726559.1327542677</v>
      </c>
      <c r="Y19">
        <f t="shared" si="13"/>
        <v>1804861.0915038371</v>
      </c>
      <c r="Z19">
        <f t="shared" si="14"/>
        <v>1882383.9199046202</v>
      </c>
      <c r="AA19">
        <f t="shared" si="15"/>
        <v>1959135.3705608947</v>
      </c>
      <c r="AB19">
        <f t="shared" si="16"/>
        <v>2035123.1189359669</v>
      </c>
      <c r="AC19">
        <f t="shared" si="17"/>
        <v>2110354.7641197462</v>
      </c>
      <c r="AD19">
        <f t="shared" si="18"/>
        <v>2184837.8295886894</v>
      </c>
      <c r="AE19">
        <f t="shared" si="19"/>
        <v>2258579.7639581794</v>
      </c>
      <c r="AH19" t="s">
        <v>42</v>
      </c>
      <c r="AI19">
        <f t="shared" si="3"/>
        <v>40000</v>
      </c>
      <c r="AJ19">
        <f t="shared" si="20"/>
        <v>136000</v>
      </c>
      <c r="AK19">
        <f t="shared" si="21"/>
        <v>232000</v>
      </c>
      <c r="AL19">
        <f t="shared" si="22"/>
        <v>328000</v>
      </c>
      <c r="AM19">
        <f t="shared" si="23"/>
        <v>424000</v>
      </c>
      <c r="AN19">
        <f t="shared" si="24"/>
        <v>520000</v>
      </c>
      <c r="AO19">
        <f t="shared" si="25"/>
        <v>616000</v>
      </c>
      <c r="AP19">
        <f t="shared" si="26"/>
        <v>712000</v>
      </c>
      <c r="AQ19">
        <f t="shared" si="27"/>
        <v>808000</v>
      </c>
      <c r="AR19">
        <f t="shared" si="28"/>
        <v>904000</v>
      </c>
      <c r="AS19">
        <f t="shared" si="29"/>
        <v>1000000</v>
      </c>
      <c r="AT19">
        <f t="shared" si="30"/>
        <v>1096000</v>
      </c>
      <c r="AU19">
        <f t="shared" si="31"/>
        <v>1192000</v>
      </c>
      <c r="AV19">
        <f t="shared" si="32"/>
        <v>1288000</v>
      </c>
      <c r="AW19">
        <f t="shared" si="33"/>
        <v>1384000</v>
      </c>
      <c r="AX19">
        <f t="shared" si="34"/>
        <v>1480000</v>
      </c>
      <c r="AY19">
        <f t="shared" si="35"/>
        <v>1576000</v>
      </c>
      <c r="AZ19">
        <f t="shared" si="36"/>
        <v>1672000</v>
      </c>
      <c r="BA19">
        <f t="shared" si="37"/>
        <v>1768000</v>
      </c>
      <c r="BB19">
        <f t="shared" si="38"/>
        <v>1864000</v>
      </c>
      <c r="BC19">
        <f t="shared" si="39"/>
        <v>1960000</v>
      </c>
      <c r="BD19">
        <f t="shared" si="40"/>
        <v>2056000</v>
      </c>
      <c r="BE19">
        <f t="shared" si="41"/>
        <v>2152000</v>
      </c>
      <c r="BF19">
        <f t="shared" si="42"/>
        <v>2248000</v>
      </c>
      <c r="BG19">
        <f t="shared" si="43"/>
        <v>2344000</v>
      </c>
      <c r="BH19">
        <f t="shared" si="44"/>
        <v>2440000</v>
      </c>
      <c r="BI19">
        <f t="shared" si="45"/>
        <v>2536000</v>
      </c>
      <c r="BJ19">
        <f t="shared" si="46"/>
        <v>2632000</v>
      </c>
    </row>
    <row r="20" spans="1:62" x14ac:dyDescent="0.3">
      <c r="C20" t="s">
        <v>40</v>
      </c>
      <c r="D20">
        <f t="shared" si="0"/>
        <v>47755.315977364902</v>
      </c>
      <c r="E20">
        <f t="shared" si="47"/>
        <v>142019.14808332577</v>
      </c>
      <c r="F20">
        <f t="shared" si="48"/>
        <v>234644.67508647611</v>
      </c>
      <c r="G20">
        <f t="shared" si="49"/>
        <v>325660.37072430295</v>
      </c>
      <c r="H20">
        <f t="shared" si="50"/>
        <v>415351.12134610338</v>
      </c>
      <c r="I20">
        <f t="shared" si="6"/>
        <v>504387.07349328336</v>
      </c>
      <c r="J20">
        <f t="shared" si="7"/>
        <v>592096.6300405697</v>
      </c>
      <c r="K20">
        <f t="shared" si="8"/>
        <v>678499.55070575047</v>
      </c>
      <c r="L20">
        <f t="shared" si="9"/>
        <v>763615.30084010144</v>
      </c>
      <c r="M20">
        <f t="shared" si="10"/>
        <v>848675.93407252291</v>
      </c>
      <c r="N20">
        <f t="shared" si="10"/>
        <v>933498.34040339652</v>
      </c>
      <c r="O20">
        <f t="shared" si="10"/>
        <v>1017268.1972596598</v>
      </c>
      <c r="P20">
        <f t="shared" si="10"/>
        <v>1099998.5655817462</v>
      </c>
      <c r="Q20">
        <f t="shared" si="10"/>
        <v>1181702.3442386908</v>
      </c>
      <c r="R20">
        <f t="shared" si="10"/>
        <v>1262392.2720392521</v>
      </c>
      <c r="S20">
        <f t="shared" si="10"/>
        <v>1342080.9297180779</v>
      </c>
      <c r="T20">
        <f t="shared" si="10"/>
        <v>1420780.7418972244</v>
      </c>
      <c r="U20">
        <f t="shared" si="10"/>
        <v>1498503.9790233364</v>
      </c>
      <c r="V20">
        <f t="shared" si="10"/>
        <v>1575262.7592807882</v>
      </c>
      <c r="W20">
        <f t="shared" si="11"/>
        <v>1654091.2064478265</v>
      </c>
      <c r="X20">
        <f t="shared" si="12"/>
        <v>1733114.2449966834</v>
      </c>
      <c r="Y20">
        <f t="shared" si="13"/>
        <v>1811350.9782146146</v>
      </c>
      <c r="Z20">
        <f t="shared" si="14"/>
        <v>1888809.2300993395</v>
      </c>
      <c r="AA20">
        <f t="shared" si="15"/>
        <v>1965496.7467972175</v>
      </c>
      <c r="AB20">
        <f t="shared" si="16"/>
        <v>2041421.1973778931</v>
      </c>
      <c r="AC20">
        <f t="shared" si="17"/>
        <v>2116590.1746012345</v>
      </c>
      <c r="AD20">
        <f t="shared" si="18"/>
        <v>2191011.195676642</v>
      </c>
      <c r="AE20">
        <f t="shared" si="19"/>
        <v>2264691.7030148022</v>
      </c>
      <c r="AH20" t="s">
        <v>40</v>
      </c>
      <c r="AI20">
        <f t="shared" si="3"/>
        <v>48000</v>
      </c>
      <c r="AJ20">
        <f t="shared" si="20"/>
        <v>144000</v>
      </c>
      <c r="AK20">
        <f t="shared" si="21"/>
        <v>240000</v>
      </c>
      <c r="AL20">
        <f t="shared" si="22"/>
        <v>336000</v>
      </c>
      <c r="AM20">
        <f t="shared" si="23"/>
        <v>432000</v>
      </c>
      <c r="AN20">
        <f t="shared" si="24"/>
        <v>528000</v>
      </c>
      <c r="AO20">
        <f t="shared" si="25"/>
        <v>624000</v>
      </c>
      <c r="AP20">
        <f t="shared" si="26"/>
        <v>720000</v>
      </c>
      <c r="AQ20">
        <f t="shared" si="27"/>
        <v>816000</v>
      </c>
      <c r="AR20">
        <f t="shared" si="28"/>
        <v>912000</v>
      </c>
      <c r="AS20">
        <f t="shared" si="29"/>
        <v>1008000</v>
      </c>
      <c r="AT20">
        <f t="shared" si="30"/>
        <v>1104000</v>
      </c>
      <c r="AU20">
        <f t="shared" si="31"/>
        <v>1200000</v>
      </c>
      <c r="AV20">
        <f t="shared" si="32"/>
        <v>1296000</v>
      </c>
      <c r="AW20">
        <f t="shared" si="33"/>
        <v>1392000</v>
      </c>
      <c r="AX20">
        <f t="shared" si="34"/>
        <v>1488000</v>
      </c>
      <c r="AY20">
        <f t="shared" si="35"/>
        <v>1584000</v>
      </c>
      <c r="AZ20">
        <f t="shared" si="36"/>
        <v>1680000</v>
      </c>
      <c r="BA20">
        <f t="shared" si="37"/>
        <v>1776000</v>
      </c>
      <c r="BB20">
        <f t="shared" si="38"/>
        <v>1872000</v>
      </c>
      <c r="BC20">
        <f t="shared" si="39"/>
        <v>1968000</v>
      </c>
      <c r="BD20">
        <f t="shared" si="40"/>
        <v>2064000</v>
      </c>
      <c r="BE20">
        <f t="shared" si="41"/>
        <v>2160000</v>
      </c>
      <c r="BF20">
        <f t="shared" si="42"/>
        <v>2256000</v>
      </c>
      <c r="BG20">
        <f t="shared" si="43"/>
        <v>2352000</v>
      </c>
      <c r="BH20">
        <f t="shared" si="44"/>
        <v>2448000</v>
      </c>
      <c r="BI20">
        <f t="shared" si="45"/>
        <v>2544000</v>
      </c>
      <c r="BJ20">
        <f t="shared" si="46"/>
        <v>2640000</v>
      </c>
    </row>
    <row r="21" spans="1:62" x14ac:dyDescent="0.3">
      <c r="C21" t="s">
        <v>40</v>
      </c>
      <c r="D21">
        <f t="shared" si="0"/>
        <v>55673.913216037952</v>
      </c>
      <c r="E21">
        <f t="shared" si="47"/>
        <v>149800.1201271241</v>
      </c>
      <c r="F21">
        <f t="shared" si="48"/>
        <v>242290.41386084986</v>
      </c>
      <c r="G21">
        <f t="shared" si="49"/>
        <v>333173.22658304544</v>
      </c>
      <c r="H21">
        <f t="shared" si="50"/>
        <v>422821.93244442076</v>
      </c>
      <c r="I21">
        <f t="shared" si="6"/>
        <v>511746.58965141675</v>
      </c>
      <c r="J21">
        <f t="shared" si="7"/>
        <v>599346.509253019</v>
      </c>
      <c r="K21">
        <f t="shared" si="8"/>
        <v>685641.42626736825</v>
      </c>
      <c r="L21">
        <f t="shared" si="9"/>
        <v>770650.78171405126</v>
      </c>
      <c r="M21">
        <f t="shared" si="10"/>
        <v>855784.99110108754</v>
      </c>
      <c r="N21">
        <f t="shared" si="10"/>
        <v>940519.18212937703</v>
      </c>
      <c r="O21">
        <f t="shared" si="10"/>
        <v>1024201.9183345097</v>
      </c>
      <c r="P21">
        <f t="shared" si="10"/>
        <v>1106846.2470735412</v>
      </c>
      <c r="Q21">
        <f t="shared" si="10"/>
        <v>1188465.0538006825</v>
      </c>
      <c r="R21">
        <f t="shared" si="10"/>
        <v>1269071.0640763312</v>
      </c>
      <c r="S21">
        <f t="shared" si="10"/>
        <v>1348676.8455511711</v>
      </c>
      <c r="T21">
        <f t="shared" si="10"/>
        <v>1427294.8099256514</v>
      </c>
      <c r="U21">
        <f t="shared" si="10"/>
        <v>1504937.2148851522</v>
      </c>
      <c r="V21">
        <f t="shared" si="10"/>
        <v>1581616.1660111363</v>
      </c>
      <c r="W21">
        <f t="shared" si="11"/>
        <v>1660706.6844728554</v>
      </c>
      <c r="X21">
        <f t="shared" si="12"/>
        <v>1739663.8968306012</v>
      </c>
      <c r="Y21">
        <f t="shared" si="13"/>
        <v>1817835.4588497619</v>
      </c>
      <c r="Z21">
        <f t="shared" si="14"/>
        <v>1895229.1880106668</v>
      </c>
      <c r="AA21">
        <f t="shared" si="15"/>
        <v>1971852.8240071354</v>
      </c>
      <c r="AB21">
        <f t="shared" si="16"/>
        <v>2047714.0295204774</v>
      </c>
      <c r="AC21">
        <f t="shared" si="17"/>
        <v>2122820.3909857916</v>
      </c>
      <c r="AD21">
        <f t="shared" si="18"/>
        <v>2197179.4193506432</v>
      </c>
      <c r="AE21">
        <f t="shared" si="19"/>
        <v>2270798.550826191</v>
      </c>
      <c r="AH21" t="s">
        <v>40</v>
      </c>
      <c r="AI21">
        <f t="shared" si="3"/>
        <v>56000</v>
      </c>
      <c r="AJ21">
        <f t="shared" si="20"/>
        <v>152000</v>
      </c>
      <c r="AK21">
        <f t="shared" si="21"/>
        <v>248000</v>
      </c>
      <c r="AL21">
        <f t="shared" si="22"/>
        <v>344000</v>
      </c>
      <c r="AM21">
        <f t="shared" si="23"/>
        <v>440000</v>
      </c>
      <c r="AN21">
        <f t="shared" si="24"/>
        <v>536000</v>
      </c>
      <c r="AO21">
        <f t="shared" si="25"/>
        <v>632000</v>
      </c>
      <c r="AP21">
        <f t="shared" si="26"/>
        <v>728000</v>
      </c>
      <c r="AQ21">
        <f t="shared" si="27"/>
        <v>824000</v>
      </c>
      <c r="AR21">
        <f t="shared" si="28"/>
        <v>920000</v>
      </c>
      <c r="AS21">
        <f t="shared" si="29"/>
        <v>1016000</v>
      </c>
      <c r="AT21">
        <f t="shared" si="30"/>
        <v>1112000</v>
      </c>
      <c r="AU21">
        <f t="shared" si="31"/>
        <v>1208000</v>
      </c>
      <c r="AV21">
        <f t="shared" si="32"/>
        <v>1304000</v>
      </c>
      <c r="AW21">
        <f t="shared" si="33"/>
        <v>1400000</v>
      </c>
      <c r="AX21">
        <f t="shared" si="34"/>
        <v>1496000</v>
      </c>
      <c r="AY21">
        <f t="shared" si="35"/>
        <v>1592000</v>
      </c>
      <c r="AZ21">
        <f t="shared" si="36"/>
        <v>1688000</v>
      </c>
      <c r="BA21">
        <f t="shared" si="37"/>
        <v>1784000</v>
      </c>
      <c r="BB21">
        <f t="shared" si="38"/>
        <v>1880000</v>
      </c>
      <c r="BC21">
        <f t="shared" si="39"/>
        <v>1976000</v>
      </c>
      <c r="BD21">
        <f t="shared" si="40"/>
        <v>2072000</v>
      </c>
      <c r="BE21">
        <f t="shared" si="41"/>
        <v>2168000</v>
      </c>
      <c r="BF21">
        <f t="shared" si="42"/>
        <v>2264000</v>
      </c>
      <c r="BG21">
        <f t="shared" si="43"/>
        <v>2360000</v>
      </c>
      <c r="BH21">
        <f t="shared" si="44"/>
        <v>2456000</v>
      </c>
      <c r="BI21">
        <f t="shared" si="45"/>
        <v>2552000</v>
      </c>
      <c r="BJ21">
        <f t="shared" si="46"/>
        <v>2648000</v>
      </c>
    </row>
    <row r="22" spans="1:62" x14ac:dyDescent="0.3">
      <c r="C22" t="s">
        <v>43</v>
      </c>
      <c r="D22">
        <f t="shared" si="0"/>
        <v>63580.949302742534</v>
      </c>
      <c r="E22">
        <f t="shared" si="47"/>
        <v>157569.7319517385</v>
      </c>
      <c r="F22">
        <f t="shared" si="48"/>
        <v>249924.98985661301</v>
      </c>
      <c r="G22">
        <f t="shared" si="49"/>
        <v>340675.11367223418</v>
      </c>
      <c r="H22">
        <f t="shared" si="50"/>
        <v>430283.40502886521</v>
      </c>
      <c r="I22">
        <f t="shared" si="6"/>
        <v>519096.90641435247</v>
      </c>
      <c r="J22">
        <f t="shared" si="7"/>
        <v>606587.32611645269</v>
      </c>
      <c r="K22">
        <f t="shared" si="8"/>
        <v>692774.37448453403</v>
      </c>
      <c r="L22">
        <f t="shared" si="9"/>
        <v>777677.46823690867</v>
      </c>
      <c r="M22">
        <f t="shared" si="10"/>
        <v>862886.65471034241</v>
      </c>
      <c r="N22">
        <f t="shared" si="10"/>
        <v>947532.72217996244</v>
      </c>
      <c r="O22">
        <f t="shared" si="10"/>
        <v>1031128.4283394418</v>
      </c>
      <c r="P22">
        <f t="shared" si="10"/>
        <v>1113686.8069765847</v>
      </c>
      <c r="Q22">
        <f t="shared" si="10"/>
        <v>1195220.7301447298</v>
      </c>
      <c r="R22">
        <f t="shared" si="10"/>
        <v>1275742.9101696918</v>
      </c>
      <c r="S22">
        <f t="shared" si="10"/>
        <v>1355265.9016317979</v>
      </c>
      <c r="T22">
        <f t="shared" si="10"/>
        <v>1433802.1033233288</v>
      </c>
      <c r="U22">
        <f t="shared" si="10"/>
        <v>1511363.7601816717</v>
      </c>
      <c r="V22">
        <f t="shared" si="10"/>
        <v>1587962.9651984847</v>
      </c>
      <c r="W22">
        <f t="shared" si="11"/>
        <v>1667316.6518046896</v>
      </c>
      <c r="X22">
        <f t="shared" si="12"/>
        <v>1746208.0928045413</v>
      </c>
      <c r="Y22">
        <f t="shared" si="13"/>
        <v>1824314.5379125399</v>
      </c>
      <c r="Z22">
        <f t="shared" si="14"/>
        <v>1901643.7980970538</v>
      </c>
      <c r="AA22">
        <f t="shared" si="15"/>
        <v>1978203.6066047375</v>
      </c>
      <c r="AB22">
        <f t="shared" si="16"/>
        <v>2054001.6197338868</v>
      </c>
      <c r="AC22">
        <f t="shared" si="17"/>
        <v>2129045.4176001004</v>
      </c>
      <c r="AD22">
        <f t="shared" si="18"/>
        <v>2203342.5048943241</v>
      </c>
      <c r="AE22">
        <f t="shared" si="19"/>
        <v>2276900.3116333527</v>
      </c>
      <c r="AH22" t="s">
        <v>43</v>
      </c>
      <c r="AI22">
        <f t="shared" si="3"/>
        <v>64000</v>
      </c>
      <c r="AJ22">
        <f t="shared" si="20"/>
        <v>160000</v>
      </c>
      <c r="AK22">
        <f t="shared" si="21"/>
        <v>256000</v>
      </c>
      <c r="AL22">
        <f t="shared" si="22"/>
        <v>352000</v>
      </c>
      <c r="AM22">
        <f t="shared" si="23"/>
        <v>448000</v>
      </c>
      <c r="AN22">
        <f t="shared" si="24"/>
        <v>544000</v>
      </c>
      <c r="AO22">
        <f t="shared" si="25"/>
        <v>640000</v>
      </c>
      <c r="AP22">
        <f t="shared" si="26"/>
        <v>736000</v>
      </c>
      <c r="AQ22">
        <f t="shared" si="27"/>
        <v>832000</v>
      </c>
      <c r="AR22">
        <f t="shared" si="28"/>
        <v>928000</v>
      </c>
      <c r="AS22">
        <f t="shared" si="29"/>
        <v>1024000</v>
      </c>
      <c r="AT22">
        <f t="shared" si="30"/>
        <v>1120000</v>
      </c>
      <c r="AU22">
        <f t="shared" si="31"/>
        <v>1216000</v>
      </c>
      <c r="AV22">
        <f t="shared" si="32"/>
        <v>1312000</v>
      </c>
      <c r="AW22">
        <f t="shared" si="33"/>
        <v>1408000</v>
      </c>
      <c r="AX22">
        <f t="shared" si="34"/>
        <v>1504000</v>
      </c>
      <c r="AY22">
        <f t="shared" si="35"/>
        <v>1600000</v>
      </c>
      <c r="AZ22">
        <f t="shared" si="36"/>
        <v>1696000</v>
      </c>
      <c r="BA22">
        <f t="shared" si="37"/>
        <v>1792000</v>
      </c>
      <c r="BB22">
        <f t="shared" si="38"/>
        <v>1888000</v>
      </c>
      <c r="BC22">
        <f t="shared" si="39"/>
        <v>1984000</v>
      </c>
      <c r="BD22">
        <f t="shared" si="40"/>
        <v>2080000</v>
      </c>
      <c r="BE22">
        <f t="shared" si="41"/>
        <v>2176000</v>
      </c>
      <c r="BF22">
        <f t="shared" si="42"/>
        <v>2272000</v>
      </c>
      <c r="BG22">
        <f t="shared" si="43"/>
        <v>2368000</v>
      </c>
      <c r="BH22">
        <f t="shared" si="44"/>
        <v>2464000</v>
      </c>
      <c r="BI22">
        <f t="shared" si="45"/>
        <v>2560000</v>
      </c>
      <c r="BJ22">
        <f t="shared" si="46"/>
        <v>2656000</v>
      </c>
    </row>
    <row r="23" spans="1:62" x14ac:dyDescent="0.3">
      <c r="C23" t="s">
        <v>44</v>
      </c>
      <c r="D23">
        <f t="shared" si="0"/>
        <v>71476.441116760529</v>
      </c>
      <c r="E23">
        <f t="shared" si="47"/>
        <v>165328.00014308895</v>
      </c>
      <c r="F23">
        <f t="shared" si="48"/>
        <v>257548.41937142235</v>
      </c>
      <c r="G23">
        <f t="shared" si="49"/>
        <v>348166.0480062727</v>
      </c>
      <c r="H23">
        <f t="shared" si="50"/>
        <v>437735.55077257915</v>
      </c>
      <c r="I23">
        <f t="shared" si="6"/>
        <v>526438.03528133454</v>
      </c>
      <c r="J23">
        <f t="shared" si="7"/>
        <v>613819.09195880708</v>
      </c>
      <c r="K23">
        <f t="shared" si="8"/>
        <v>699898.40651642834</v>
      </c>
      <c r="L23">
        <f t="shared" si="9"/>
        <v>784695.37140161253</v>
      </c>
      <c r="M23">
        <f t="shared" si="10"/>
        <v>869980.93258944363</v>
      </c>
      <c r="N23">
        <f t="shared" si="10"/>
        <v>954538.96814889531</v>
      </c>
      <c r="O23">
        <f t="shared" si="10"/>
        <v>1038047.7347739687</v>
      </c>
      <c r="P23">
        <f t="shared" si="10"/>
        <v>1120520.252697329</v>
      </c>
      <c r="Q23">
        <f t="shared" si="10"/>
        <v>1201969.3805853794</v>
      </c>
      <c r="R23">
        <f t="shared" si="10"/>
        <v>1282407.8175431152</v>
      </c>
      <c r="S23">
        <f t="shared" si="10"/>
        <v>1361848.1050941008</v>
      </c>
      <c r="T23">
        <f t="shared" si="10"/>
        <v>1440302.6291358725</v>
      </c>
      <c r="U23">
        <f t="shared" si="10"/>
        <v>1517783.6218710828</v>
      </c>
      <c r="V23">
        <f t="shared" si="10"/>
        <v>1594303.1637146783</v>
      </c>
      <c r="W23">
        <f t="shared" si="11"/>
        <v>1673921.1130337364</v>
      </c>
      <c r="X23">
        <f t="shared" si="12"/>
        <v>1752746.8374632352</v>
      </c>
      <c r="Y23">
        <f t="shared" si="13"/>
        <v>1830788.2199024588</v>
      </c>
      <c r="Z23">
        <f t="shared" si="14"/>
        <v>1908053.064813239</v>
      </c>
      <c r="AA23">
        <f t="shared" si="15"/>
        <v>1984549.0990004358</v>
      </c>
      <c r="AB23">
        <f t="shared" si="16"/>
        <v>2060283.9723846484</v>
      </c>
      <c r="AC23">
        <f t="shared" si="17"/>
        <v>2135265.2587672393</v>
      </c>
      <c r="AD23">
        <f t="shared" si="18"/>
        <v>2209500.4565877472</v>
      </c>
      <c r="AE23">
        <f t="shared" si="19"/>
        <v>2282996.9896737621</v>
      </c>
      <c r="AH23" t="s">
        <v>44</v>
      </c>
      <c r="AI23">
        <f t="shared" si="3"/>
        <v>72000</v>
      </c>
      <c r="AJ23">
        <f t="shared" si="20"/>
        <v>168000</v>
      </c>
      <c r="AK23">
        <f t="shared" si="21"/>
        <v>264000</v>
      </c>
      <c r="AL23">
        <f t="shared" si="22"/>
        <v>360000</v>
      </c>
      <c r="AM23">
        <f t="shared" si="23"/>
        <v>456000</v>
      </c>
      <c r="AN23">
        <f t="shared" si="24"/>
        <v>552000</v>
      </c>
      <c r="AO23">
        <f t="shared" si="25"/>
        <v>648000</v>
      </c>
      <c r="AP23">
        <f t="shared" si="26"/>
        <v>744000</v>
      </c>
      <c r="AQ23">
        <f t="shared" si="27"/>
        <v>840000</v>
      </c>
      <c r="AR23">
        <f t="shared" si="28"/>
        <v>936000</v>
      </c>
      <c r="AS23">
        <f t="shared" si="29"/>
        <v>1032000</v>
      </c>
      <c r="AT23">
        <f t="shared" si="30"/>
        <v>1128000</v>
      </c>
      <c r="AU23">
        <f t="shared" si="31"/>
        <v>1224000</v>
      </c>
      <c r="AV23">
        <f t="shared" si="32"/>
        <v>1320000</v>
      </c>
      <c r="AW23">
        <f t="shared" si="33"/>
        <v>1416000</v>
      </c>
      <c r="AX23">
        <f t="shared" si="34"/>
        <v>1512000</v>
      </c>
      <c r="AY23">
        <f t="shared" si="35"/>
        <v>1608000</v>
      </c>
      <c r="AZ23">
        <f t="shared" si="36"/>
        <v>1704000</v>
      </c>
      <c r="BA23">
        <f t="shared" si="37"/>
        <v>1800000</v>
      </c>
      <c r="BB23">
        <f t="shared" si="38"/>
        <v>1896000</v>
      </c>
      <c r="BC23">
        <f t="shared" si="39"/>
        <v>1992000</v>
      </c>
      <c r="BD23">
        <f t="shared" si="40"/>
        <v>2088000</v>
      </c>
      <c r="BE23">
        <f t="shared" si="41"/>
        <v>2184000</v>
      </c>
      <c r="BF23">
        <f t="shared" si="42"/>
        <v>2280000</v>
      </c>
      <c r="BG23">
        <f t="shared" si="43"/>
        <v>2376000</v>
      </c>
      <c r="BH23">
        <f t="shared" si="44"/>
        <v>2472000</v>
      </c>
      <c r="BI23">
        <f t="shared" si="45"/>
        <v>2568000</v>
      </c>
      <c r="BJ23">
        <f t="shared" si="46"/>
        <v>2664000</v>
      </c>
    </row>
    <row r="24" spans="1:62" x14ac:dyDescent="0.3">
      <c r="C24" t="s">
        <v>45</v>
      </c>
      <c r="D24">
        <f t="shared" si="0"/>
        <v>79360.405512730053</v>
      </c>
      <c r="E24">
        <f t="shared" si="47"/>
        <v>173074.94126288005</v>
      </c>
      <c r="F24">
        <f t="shared" si="48"/>
        <v>265160.71867914009</v>
      </c>
      <c r="G24">
        <f t="shared" si="49"/>
        <v>355646.04557618353</v>
      </c>
      <c r="H24">
        <f t="shared" si="50"/>
        <v>445178.38133411342</v>
      </c>
      <c r="I24">
        <f t="shared" si="6"/>
        <v>533769.98773723282</v>
      </c>
      <c r="J24">
        <f t="shared" si="7"/>
        <v>621041.81809385854</v>
      </c>
      <c r="K24">
        <f t="shared" si="8"/>
        <v>707013.53350828285</v>
      </c>
      <c r="L24">
        <f t="shared" si="9"/>
        <v>791704.50218736054</v>
      </c>
      <c r="M24">
        <f t="shared" ref="M24:U26" si="51">(M23+8000)-(0.00104*(M23+8000))</f>
        <v>877067.83241955063</v>
      </c>
      <c r="N24">
        <f t="shared" si="51"/>
        <v>961537.92762202048</v>
      </c>
      <c r="O24">
        <f t="shared" si="51"/>
        <v>1044959.8451298038</v>
      </c>
      <c r="P24">
        <f t="shared" si="51"/>
        <v>1127346.5916345238</v>
      </c>
      <c r="Q24">
        <f t="shared" si="51"/>
        <v>1208711.0124295705</v>
      </c>
      <c r="R24">
        <f t="shared" si="51"/>
        <v>1289065.7934128705</v>
      </c>
      <c r="S24">
        <f t="shared" si="51"/>
        <v>1368423.463064803</v>
      </c>
      <c r="T24">
        <f t="shared" si="51"/>
        <v>1446796.3944015712</v>
      </c>
      <c r="U24">
        <f t="shared" si="51"/>
        <v>1524196.8069043369</v>
      </c>
      <c r="V24">
        <f>(V23+8000)-(0.000833*(V23+8000))</f>
        <v>1600968.4451793039</v>
      </c>
      <c r="W24">
        <f t="shared" si="11"/>
        <v>1680520.0727465793</v>
      </c>
      <c r="X24">
        <f t="shared" si="12"/>
        <v>1759280.1353476283</v>
      </c>
      <c r="Y24">
        <f t="shared" si="13"/>
        <v>1837256.50931528</v>
      </c>
      <c r="Z24">
        <f t="shared" si="14"/>
        <v>1914456.9926102497</v>
      </c>
      <c r="AA24">
        <f t="shared" si="15"/>
        <v>1990889.3056009684</v>
      </c>
      <c r="AB24">
        <f t="shared" si="16"/>
        <v>2066561.091835652</v>
      </c>
      <c r="AC24">
        <f t="shared" si="17"/>
        <v>2141479.9188066861</v>
      </c>
      <c r="AD24">
        <f t="shared" si="18"/>
        <v>2215653.2787074097</v>
      </c>
      <c r="AE24">
        <f t="shared" si="19"/>
        <v>2289088.589181364</v>
      </c>
      <c r="AH24" t="s">
        <v>45</v>
      </c>
      <c r="AI24">
        <f t="shared" si="3"/>
        <v>80000</v>
      </c>
      <c r="AJ24">
        <f t="shared" si="20"/>
        <v>176000</v>
      </c>
      <c r="AK24">
        <f t="shared" si="21"/>
        <v>272000</v>
      </c>
      <c r="AL24">
        <f t="shared" si="22"/>
        <v>368000</v>
      </c>
      <c r="AM24">
        <f t="shared" si="23"/>
        <v>464000</v>
      </c>
      <c r="AN24">
        <f t="shared" si="24"/>
        <v>560000</v>
      </c>
      <c r="AO24">
        <f t="shared" si="25"/>
        <v>656000</v>
      </c>
      <c r="AP24">
        <f t="shared" si="26"/>
        <v>752000</v>
      </c>
      <c r="AQ24">
        <f t="shared" si="27"/>
        <v>848000</v>
      </c>
      <c r="AR24">
        <f t="shared" si="28"/>
        <v>944000</v>
      </c>
      <c r="AS24">
        <f t="shared" si="29"/>
        <v>1040000</v>
      </c>
      <c r="AT24">
        <f t="shared" si="30"/>
        <v>1136000</v>
      </c>
      <c r="AU24">
        <f t="shared" si="31"/>
        <v>1232000</v>
      </c>
      <c r="AV24">
        <f t="shared" si="32"/>
        <v>1328000</v>
      </c>
      <c r="AW24">
        <f t="shared" si="33"/>
        <v>1424000</v>
      </c>
      <c r="AX24">
        <f t="shared" si="34"/>
        <v>1520000</v>
      </c>
      <c r="AY24">
        <f t="shared" si="35"/>
        <v>1616000</v>
      </c>
      <c r="AZ24">
        <f t="shared" si="36"/>
        <v>1712000</v>
      </c>
      <c r="BA24">
        <f t="shared" si="37"/>
        <v>1808000</v>
      </c>
      <c r="BB24">
        <f t="shared" si="38"/>
        <v>1904000</v>
      </c>
      <c r="BC24">
        <f t="shared" si="39"/>
        <v>2000000</v>
      </c>
      <c r="BD24">
        <f t="shared" si="40"/>
        <v>2096000</v>
      </c>
      <c r="BE24">
        <f t="shared" si="41"/>
        <v>2192000</v>
      </c>
      <c r="BF24">
        <f t="shared" si="42"/>
        <v>2288000</v>
      </c>
      <c r="BG24">
        <f t="shared" si="43"/>
        <v>2384000</v>
      </c>
      <c r="BH24">
        <f t="shared" si="44"/>
        <v>2480000</v>
      </c>
      <c r="BI24">
        <f t="shared" si="45"/>
        <v>2576000</v>
      </c>
      <c r="BJ24">
        <f t="shared" si="46"/>
        <v>2672000</v>
      </c>
    </row>
    <row r="25" spans="1:62" x14ac:dyDescent="0.3">
      <c r="C25" t="s">
        <v>46</v>
      </c>
      <c r="D25">
        <f t="shared" si="0"/>
        <v>87232.859320681469</v>
      </c>
      <c r="E25">
        <f t="shared" si="47"/>
        <v>180810.57184863623</v>
      </c>
      <c r="F25">
        <f t="shared" si="48"/>
        <v>272761.90402986854</v>
      </c>
      <c r="G25">
        <f t="shared" si="49"/>
        <v>363115.12234964233</v>
      </c>
      <c r="H25">
        <f t="shared" si="50"/>
        <v>452611.90835744579</v>
      </c>
      <c r="I25">
        <f t="shared" si="6"/>
        <v>541092.77525256132</v>
      </c>
      <c r="J25">
        <f t="shared" si="7"/>
        <v>628255.51582124119</v>
      </c>
      <c r="K25">
        <f t="shared" si="8"/>
        <v>714119.76659139746</v>
      </c>
      <c r="L25">
        <f t="shared" si="9"/>
        <v>798704.87155962631</v>
      </c>
      <c r="M25">
        <f t="shared" si="51"/>
        <v>884147.36187383428</v>
      </c>
      <c r="N25">
        <f t="shared" si="51"/>
        <v>968529.60817729356</v>
      </c>
      <c r="O25">
        <f t="shared" si="51"/>
        <v>1051864.7668908688</v>
      </c>
      <c r="P25">
        <f t="shared" si="51"/>
        <v>1134165.831179224</v>
      </c>
      <c r="Q25">
        <f t="shared" si="51"/>
        <v>1215445.6329766437</v>
      </c>
      <c r="R25">
        <f t="shared" si="51"/>
        <v>1295716.8449877212</v>
      </c>
      <c r="S25">
        <f t="shared" si="51"/>
        <v>1374991.9826632156</v>
      </c>
      <c r="T25">
        <f t="shared" si="51"/>
        <v>1453283.4061513937</v>
      </c>
      <c r="U25">
        <f t="shared" si="51"/>
        <v>1530603.3222251565</v>
      </c>
      <c r="V25">
        <f>(V24+8000)-(0.000833*(V24+8000))</f>
        <v>1607628.1744644695</v>
      </c>
      <c r="W25">
        <f t="shared" si="11"/>
        <v>1687113.5355259813</v>
      </c>
      <c r="X25">
        <f t="shared" si="12"/>
        <v>1765807.9909948837</v>
      </c>
      <c r="Y25">
        <f t="shared" si="13"/>
        <v>1843719.4106430204</v>
      </c>
      <c r="Z25">
        <f t="shared" si="14"/>
        <v>1920855.5859354052</v>
      </c>
      <c r="AA25">
        <f t="shared" si="15"/>
        <v>1997224.2308094029</v>
      </c>
      <c r="AB25">
        <f t="shared" si="16"/>
        <v>2072832.9824461529</v>
      </c>
      <c r="AC25">
        <f t="shared" si="17"/>
        <v>2147689.4020343199</v>
      </c>
      <c r="AD25">
        <f t="shared" si="18"/>
        <v>2221800.9755262462</v>
      </c>
      <c r="AE25">
        <f t="shared" si="19"/>
        <v>2295175.1143865758</v>
      </c>
      <c r="AH25" t="s">
        <v>46</v>
      </c>
      <c r="AI25">
        <f t="shared" si="3"/>
        <v>88000</v>
      </c>
      <c r="AJ25">
        <f t="shared" si="20"/>
        <v>184000</v>
      </c>
      <c r="AK25">
        <f t="shared" si="21"/>
        <v>280000</v>
      </c>
      <c r="AL25">
        <f t="shared" si="22"/>
        <v>376000</v>
      </c>
      <c r="AM25">
        <f t="shared" si="23"/>
        <v>472000</v>
      </c>
      <c r="AN25">
        <f t="shared" si="24"/>
        <v>568000</v>
      </c>
      <c r="AO25">
        <f t="shared" si="25"/>
        <v>664000</v>
      </c>
      <c r="AP25">
        <f t="shared" si="26"/>
        <v>760000</v>
      </c>
      <c r="AQ25">
        <f t="shared" si="27"/>
        <v>856000</v>
      </c>
      <c r="AR25">
        <f t="shared" si="28"/>
        <v>952000</v>
      </c>
      <c r="AS25">
        <f t="shared" si="29"/>
        <v>1048000</v>
      </c>
      <c r="AT25">
        <f t="shared" si="30"/>
        <v>1144000</v>
      </c>
      <c r="AU25">
        <f t="shared" si="31"/>
        <v>1240000</v>
      </c>
      <c r="AV25">
        <f t="shared" si="32"/>
        <v>1336000</v>
      </c>
      <c r="AW25">
        <f t="shared" si="33"/>
        <v>1432000</v>
      </c>
      <c r="AX25">
        <f t="shared" si="34"/>
        <v>1528000</v>
      </c>
      <c r="AY25">
        <f t="shared" si="35"/>
        <v>1624000</v>
      </c>
      <c r="AZ25">
        <f t="shared" si="36"/>
        <v>1720000</v>
      </c>
      <c r="BA25">
        <f t="shared" si="37"/>
        <v>1816000</v>
      </c>
      <c r="BB25">
        <f t="shared" si="38"/>
        <v>1912000</v>
      </c>
      <c r="BC25">
        <f t="shared" si="39"/>
        <v>2008000</v>
      </c>
      <c r="BD25">
        <f t="shared" si="40"/>
        <v>2104000</v>
      </c>
      <c r="BE25">
        <f t="shared" si="41"/>
        <v>2200000</v>
      </c>
      <c r="BF25">
        <f t="shared" si="42"/>
        <v>2296000</v>
      </c>
      <c r="BG25">
        <f t="shared" si="43"/>
        <v>2392000</v>
      </c>
      <c r="BH25">
        <f t="shared" si="44"/>
        <v>2488000</v>
      </c>
      <c r="BI25">
        <f t="shared" si="45"/>
        <v>2584000</v>
      </c>
      <c r="BJ25">
        <f t="shared" si="46"/>
        <v>2680000</v>
      </c>
    </row>
    <row r="26" spans="1:62" x14ac:dyDescent="0.3">
      <c r="C26" t="s">
        <v>47</v>
      </c>
      <c r="D26">
        <f t="shared" si="0"/>
        <v>95093.819346073273</v>
      </c>
      <c r="E26">
        <f t="shared" si="47"/>
        <v>188534.90841373723</v>
      </c>
      <c r="F26">
        <f t="shared" si="48"/>
        <v>280351.99164998496</v>
      </c>
      <c r="G26">
        <f t="shared" si="49"/>
        <v>370573.29427101184</v>
      </c>
      <c r="H26">
        <f t="shared" si="50"/>
        <v>460036.14347199898</v>
      </c>
      <c r="I26">
        <f>(I25+8000)-(0.00125*(I25+8000))</f>
        <v>548406.40928349562</v>
      </c>
      <c r="J26">
        <f>(J25+8000)-(0.00125*(J25+8000))</f>
        <v>635460.19642646459</v>
      </c>
      <c r="K26">
        <f>(K25+8000)-(0.00125*(K25+8000))</f>
        <v>721217.11688315822</v>
      </c>
      <c r="L26">
        <f>(L25+8000)-(0.00104*(L25+8000))</f>
        <v>805865.89849320427</v>
      </c>
      <c r="M26">
        <f t="shared" si="51"/>
        <v>891219.52861748554</v>
      </c>
      <c r="N26">
        <f t="shared" si="51"/>
        <v>975514.01738478919</v>
      </c>
      <c r="O26">
        <f t="shared" si="51"/>
        <v>1058762.5075333023</v>
      </c>
      <c r="P26">
        <f t="shared" si="51"/>
        <v>1140977.9787147976</v>
      </c>
      <c r="Q26">
        <f t="shared" si="51"/>
        <v>1222173.2495183481</v>
      </c>
      <c r="R26">
        <f t="shared" si="51"/>
        <v>1302360.979468934</v>
      </c>
      <c r="S26">
        <f t="shared" si="51"/>
        <v>1381553.671001246</v>
      </c>
      <c r="T26">
        <f t="shared" si="51"/>
        <v>1459763.6714089962</v>
      </c>
      <c r="U26">
        <f t="shared" si="51"/>
        <v>1537003.1747700423</v>
      </c>
      <c r="V26">
        <f>(V25+8000)-(0.000833*(V25+8000))</f>
        <v>1614282.3561951406</v>
      </c>
      <c r="W26" s="3">
        <f t="shared" si="11"/>
        <v>1693701.5059508882</v>
      </c>
      <c r="X26">
        <f t="shared" si="12"/>
        <v>1772330.4089383848</v>
      </c>
      <c r="Y26">
        <f t="shared" si="13"/>
        <v>1850176.9283739547</v>
      </c>
      <c r="Z26">
        <f t="shared" si="14"/>
        <v>1927248.8492323211</v>
      </c>
      <c r="AA26">
        <f t="shared" si="15"/>
        <v>2003553.8790251387</v>
      </c>
      <c r="AB26" s="3">
        <f t="shared" si="16"/>
        <v>2079099.6485717753</v>
      </c>
      <c r="AC26">
        <f t="shared" si="17"/>
        <v>2153893.7127624252</v>
      </c>
      <c r="AD26">
        <f t="shared" si="18"/>
        <v>2227943.5513136331</v>
      </c>
      <c r="AE26">
        <f t="shared" si="19"/>
        <v>2301256.5695162918</v>
      </c>
      <c r="AH26" t="s">
        <v>47</v>
      </c>
      <c r="AI26">
        <f t="shared" si="3"/>
        <v>96000</v>
      </c>
      <c r="AJ26">
        <f t="shared" si="20"/>
        <v>192000</v>
      </c>
      <c r="AK26">
        <f t="shared" si="21"/>
        <v>288000</v>
      </c>
      <c r="AL26">
        <f t="shared" si="22"/>
        <v>384000</v>
      </c>
      <c r="AM26">
        <f t="shared" si="23"/>
        <v>480000</v>
      </c>
      <c r="AN26">
        <f t="shared" si="24"/>
        <v>576000</v>
      </c>
      <c r="AO26">
        <f t="shared" si="25"/>
        <v>672000</v>
      </c>
      <c r="AP26">
        <f t="shared" si="26"/>
        <v>768000</v>
      </c>
      <c r="AQ26">
        <f t="shared" si="27"/>
        <v>864000</v>
      </c>
      <c r="AR26">
        <f t="shared" si="28"/>
        <v>960000</v>
      </c>
      <c r="AS26">
        <f t="shared" si="29"/>
        <v>1056000</v>
      </c>
      <c r="AT26">
        <f t="shared" si="30"/>
        <v>1152000</v>
      </c>
      <c r="AU26">
        <f t="shared" si="31"/>
        <v>1248000</v>
      </c>
      <c r="AV26">
        <f t="shared" si="32"/>
        <v>1344000</v>
      </c>
      <c r="AW26">
        <f t="shared" si="33"/>
        <v>1440000</v>
      </c>
      <c r="AX26">
        <f t="shared" si="34"/>
        <v>1536000</v>
      </c>
      <c r="AY26">
        <f t="shared" si="35"/>
        <v>1632000</v>
      </c>
      <c r="AZ26">
        <f t="shared" si="36"/>
        <v>1728000</v>
      </c>
      <c r="BA26">
        <f t="shared" si="37"/>
        <v>1824000</v>
      </c>
      <c r="BB26" s="3">
        <f t="shared" si="38"/>
        <v>1920000</v>
      </c>
      <c r="BC26">
        <f t="shared" si="39"/>
        <v>2016000</v>
      </c>
      <c r="BD26">
        <f t="shared" si="40"/>
        <v>2112000</v>
      </c>
      <c r="BE26">
        <f t="shared" si="41"/>
        <v>2208000</v>
      </c>
      <c r="BF26">
        <f t="shared" si="42"/>
        <v>2304000</v>
      </c>
      <c r="BG26" s="3">
        <f t="shared" si="43"/>
        <v>2400000</v>
      </c>
      <c r="BH26">
        <f t="shared" si="44"/>
        <v>2496000</v>
      </c>
      <c r="BI26">
        <f t="shared" si="45"/>
        <v>2592000</v>
      </c>
      <c r="BJ26">
        <f t="shared" si="46"/>
        <v>2688000</v>
      </c>
    </row>
    <row r="28" spans="1:62" x14ac:dyDescent="0.3">
      <c r="Z28" s="2"/>
      <c r="AA28" s="2" t="s">
        <v>90</v>
      </c>
      <c r="AB28" s="5">
        <f>8000*12*25</f>
        <v>2400000</v>
      </c>
      <c r="BF28" s="2" t="s">
        <v>90</v>
      </c>
      <c r="BG28" s="5">
        <f>8000*12*25</f>
        <v>2400000</v>
      </c>
    </row>
    <row r="29" spans="1:62" x14ac:dyDescent="0.3">
      <c r="AA29" s="2" t="s">
        <v>84</v>
      </c>
      <c r="AB29" s="5">
        <f>AB26</f>
        <v>2079099.6485717753</v>
      </c>
      <c r="BF29" s="2" t="s">
        <v>84</v>
      </c>
      <c r="BG29" s="5">
        <f>BG26</f>
        <v>2400000</v>
      </c>
    </row>
    <row r="30" spans="1:62" x14ac:dyDescent="0.3">
      <c r="AA30" s="2" t="s">
        <v>85</v>
      </c>
      <c r="AB30" s="5">
        <f>AB28-AB29</f>
        <v>320900.35142822471</v>
      </c>
      <c r="BF30" s="2" t="s">
        <v>85</v>
      </c>
      <c r="BG30" s="5">
        <f>BG28-BG29</f>
        <v>0</v>
      </c>
    </row>
    <row r="31" spans="1:62" x14ac:dyDescent="0.3">
      <c r="AA31" s="2" t="s">
        <v>86</v>
      </c>
      <c r="AB31" s="5">
        <f>AB30/12</f>
        <v>26741.69595235206</v>
      </c>
      <c r="BF31" s="2" t="s">
        <v>88</v>
      </c>
      <c r="BG31" s="5">
        <f>BG30/12</f>
        <v>0</v>
      </c>
    </row>
    <row r="32" spans="1:62" x14ac:dyDescent="0.3">
      <c r="D32" t="s">
        <v>52</v>
      </c>
      <c r="AI32" t="s">
        <v>52</v>
      </c>
      <c r="AJ32" t="s">
        <v>66</v>
      </c>
    </row>
    <row r="33" spans="1:62" x14ac:dyDescent="0.3">
      <c r="D33" t="s">
        <v>14</v>
      </c>
      <c r="AI33" t="s">
        <v>14</v>
      </c>
    </row>
    <row r="34" spans="1:62" x14ac:dyDescent="0.3">
      <c r="D34" t="s">
        <v>77</v>
      </c>
      <c r="AI34" t="s">
        <v>77</v>
      </c>
    </row>
    <row r="35" spans="1:62" x14ac:dyDescent="0.3">
      <c r="D35" t="s">
        <v>15</v>
      </c>
      <c r="E35" t="s">
        <v>16</v>
      </c>
      <c r="F35" t="s">
        <v>17</v>
      </c>
      <c r="G35" t="s">
        <v>18</v>
      </c>
      <c r="H35" t="s">
        <v>19</v>
      </c>
      <c r="I35" t="s">
        <v>20</v>
      </c>
      <c r="J35" t="s">
        <v>21</v>
      </c>
      <c r="K35" t="s">
        <v>22</v>
      </c>
      <c r="L35" t="s">
        <v>23</v>
      </c>
      <c r="M35" t="s">
        <v>24</v>
      </c>
      <c r="N35" t="s">
        <v>25</v>
      </c>
      <c r="O35" t="s">
        <v>26</v>
      </c>
      <c r="P35" t="s">
        <v>27</v>
      </c>
      <c r="Q35" t="s">
        <v>28</v>
      </c>
      <c r="R35" t="s">
        <v>29</v>
      </c>
      <c r="S35" t="s">
        <v>30</v>
      </c>
      <c r="T35" t="s">
        <v>31</v>
      </c>
      <c r="U35" t="s">
        <v>32</v>
      </c>
      <c r="V35" t="s">
        <v>33</v>
      </c>
      <c r="W35" t="s">
        <v>34</v>
      </c>
      <c r="X35" t="s">
        <v>35</v>
      </c>
      <c r="Y35" t="s">
        <v>36</v>
      </c>
      <c r="Z35" t="s">
        <v>37</v>
      </c>
      <c r="AA35" t="s">
        <v>38</v>
      </c>
      <c r="AB35" t="s">
        <v>39</v>
      </c>
      <c r="AC35" t="s">
        <v>67</v>
      </c>
      <c r="AD35" t="s">
        <v>68</v>
      </c>
      <c r="AE35" t="s">
        <v>69</v>
      </c>
      <c r="AI35" t="s">
        <v>15</v>
      </c>
      <c r="AJ35" t="s">
        <v>16</v>
      </c>
      <c r="AK35" t="s">
        <v>17</v>
      </c>
      <c r="AL35" t="s">
        <v>18</v>
      </c>
      <c r="AM35" t="s">
        <v>19</v>
      </c>
      <c r="AN35" t="s">
        <v>20</v>
      </c>
      <c r="AO35" t="s">
        <v>21</v>
      </c>
      <c r="AP35" t="s">
        <v>22</v>
      </c>
      <c r="AQ35" t="s">
        <v>23</v>
      </c>
      <c r="AR35" t="s">
        <v>24</v>
      </c>
      <c r="AS35" t="s">
        <v>25</v>
      </c>
      <c r="AT35" t="s">
        <v>26</v>
      </c>
      <c r="AU35" t="s">
        <v>27</v>
      </c>
      <c r="AV35" t="s">
        <v>28</v>
      </c>
      <c r="AW35" t="s">
        <v>29</v>
      </c>
      <c r="AX35" t="s">
        <v>30</v>
      </c>
      <c r="AY35" t="s">
        <v>31</v>
      </c>
      <c r="AZ35" t="s">
        <v>32</v>
      </c>
      <c r="BA35" t="s">
        <v>33</v>
      </c>
      <c r="BB35" t="s">
        <v>34</v>
      </c>
      <c r="BC35" t="s">
        <v>35</v>
      </c>
      <c r="BD35" t="s">
        <v>36</v>
      </c>
      <c r="BE35" t="s">
        <v>37</v>
      </c>
      <c r="BF35" t="s">
        <v>38</v>
      </c>
      <c r="BG35" t="s">
        <v>39</v>
      </c>
      <c r="BH35" t="s">
        <v>67</v>
      </c>
      <c r="BI35" t="s">
        <v>68</v>
      </c>
      <c r="BJ35" t="s">
        <v>69</v>
      </c>
    </row>
    <row r="36" spans="1:62" x14ac:dyDescent="0.3">
      <c r="D36">
        <v>0</v>
      </c>
      <c r="AI36">
        <v>0</v>
      </c>
    </row>
    <row r="37" spans="1:62" x14ac:dyDescent="0.3">
      <c r="D37">
        <f t="shared" ref="D37:D48" si="52">(D36+8000)*1.00328-(0.00146*(D36+8000))</f>
        <v>8014.5599999999995</v>
      </c>
      <c r="E37">
        <f>(D48+8000)*1.00328-(0.00146*(D48+8000))</f>
        <v>105334.65416178071</v>
      </c>
      <c r="F37">
        <f>(E48+8000)*1.00328-(0.00146*(E48+8000))</f>
        <v>204801.62474760655</v>
      </c>
      <c r="G37">
        <f>(F48+8000)*1.00328-(0.00146*(F48+8000))</f>
        <v>306462.83174433134</v>
      </c>
      <c r="H37">
        <f>(G48+8000)*1.00328-(0.00125*(G48+8000))</f>
        <v>410537.0584682097</v>
      </c>
      <c r="I37">
        <f>(H48+8000)*1.00328-(0.00125*(H48+8000))</f>
        <v>517926.3544922205</v>
      </c>
      <c r="J37">
        <f>(I48+8000)*1.00328-(0.00125*(I48+8000))</f>
        <v>627961.05998793838</v>
      </c>
      <c r="K37">
        <f>(J48+8000)*1.00328-(0.00125*(J48+8000))</f>
        <v>740706.34151787974</v>
      </c>
      <c r="L37">
        <f>(K48+8000)*1.00328-(0.00104*(K48+8000))</f>
        <v>857280.91034098715</v>
      </c>
      <c r="M37">
        <f>(L48+8000)*1.00328-(0.00125*(L48+8000))</f>
        <v>977815.0298866214</v>
      </c>
      <c r="N37">
        <f>(M48+8000)*1.00328-(0.00104*(M48+8000))</f>
        <v>1101408.2146404374</v>
      </c>
      <c r="O37">
        <f>(N48+8000)*1.00328-(0.00104*(N48+8000))</f>
        <v>1228790.8535729169</v>
      </c>
      <c r="P37">
        <f>(O48+8000)*1.00328-(0.00104*(O48+8000))</f>
        <v>1359640.0386472524</v>
      </c>
      <c r="Q37">
        <f>(P48+8000)*1.00328-(0.00104*(P48+8000))</f>
        <v>1494050.1072256947</v>
      </c>
      <c r="R37">
        <f>(Q48+8000)*1.00328-(0.000833*(Q48+8000))</f>
        <v>1633124.4793828132</v>
      </c>
      <c r="S37">
        <f>(R48+8000)*1.00328-(0.000833*(R48+8000))</f>
        <v>1779270.9555925403</v>
      </c>
      <c r="T37">
        <f>(S48+8000)*1.00328-(0.000833*(S48+8000))</f>
        <v>1929767.1070476989</v>
      </c>
      <c r="U37">
        <f t="shared" ref="U37:AE37" si="53">(T48+8000)*1.00328-(0.00125*(T48+8000))</f>
        <v>2083875.1751818096</v>
      </c>
      <c r="V37">
        <f t="shared" si="53"/>
        <v>2232485.1949391467</v>
      </c>
      <c r="W37">
        <f t="shared" si="53"/>
        <v>2384756.0483960444</v>
      </c>
      <c r="X37">
        <f t="shared" si="53"/>
        <v>2540777.9159010234</v>
      </c>
      <c r="Y37">
        <f t="shared" si="53"/>
        <v>2700643.1992898239</v>
      </c>
      <c r="Z37">
        <f t="shared" si="53"/>
        <v>2864446.5766091337</v>
      </c>
      <c r="AA37">
        <f t="shared" si="53"/>
        <v>3032285.0581883797</v>
      </c>
      <c r="AB37">
        <f t="shared" si="53"/>
        <v>3204258.0440927809</v>
      </c>
      <c r="AC37">
        <f t="shared" si="53"/>
        <v>3380467.3829916879</v>
      </c>
      <c r="AD37">
        <f t="shared" si="53"/>
        <v>3561017.432477077</v>
      </c>
      <c r="AE37">
        <f t="shared" si="53"/>
        <v>3746015.1208679224</v>
      </c>
      <c r="AI37">
        <f t="shared" ref="AI37:AI48" si="54">(AI36+8000)*1.00328-0</f>
        <v>8026.24</v>
      </c>
      <c r="AJ37">
        <f t="shared" ref="AJ37:BJ37" si="55">(AI48+8000)*1.00328-0</f>
        <v>106419.4529064137</v>
      </c>
      <c r="AK37">
        <f t="shared" si="55"/>
        <v>208756.05672574101</v>
      </c>
      <c r="AL37">
        <f t="shared" si="55"/>
        <v>315194.09418707597</v>
      </c>
      <c r="AM37">
        <f t="shared" si="55"/>
        <v>425897.94203629403</v>
      </c>
      <c r="AN37">
        <f t="shared" si="55"/>
        <v>541038.56488998746</v>
      </c>
      <c r="AO37">
        <f t="shared" si="55"/>
        <v>660793.77926332492</v>
      </c>
      <c r="AP37">
        <f t="shared" si="55"/>
        <v>785348.52817958873</v>
      </c>
      <c r="AQ37">
        <f t="shared" si="55"/>
        <v>914895.16678547789</v>
      </c>
      <c r="AR37">
        <f t="shared" si="55"/>
        <v>1049633.7594132654</v>
      </c>
      <c r="AS37">
        <f t="shared" si="55"/>
        <v>1189772.3885485765</v>
      </c>
      <c r="AT37">
        <f t="shared" si="55"/>
        <v>1335527.4761809388</v>
      </c>
      <c r="AU37">
        <f t="shared" si="55"/>
        <v>1487124.1180333782</v>
      </c>
      <c r="AV37">
        <f t="shared" si="55"/>
        <v>1644796.4311872285</v>
      </c>
      <c r="AW37">
        <f t="shared" si="55"/>
        <v>1808787.9156390051</v>
      </c>
      <c r="AX37">
        <f t="shared" si="55"/>
        <v>1979351.8303477089</v>
      </c>
      <c r="AY37">
        <f t="shared" si="55"/>
        <v>2156751.5843533063</v>
      </c>
      <c r="AZ37">
        <f t="shared" si="55"/>
        <v>2341261.1435704092</v>
      </c>
      <c r="BA37">
        <f t="shared" si="55"/>
        <v>2533165.4538853792</v>
      </c>
      <c r="BB37">
        <f t="shared" si="55"/>
        <v>2732760.8812102675</v>
      </c>
      <c r="BC37">
        <f t="shared" si="55"/>
        <v>2940355.6691731783</v>
      </c>
      <c r="BD37">
        <f t="shared" si="55"/>
        <v>3156270.4151518904</v>
      </c>
      <c r="BE37">
        <f t="shared" si="55"/>
        <v>3380838.5653858981</v>
      </c>
      <c r="BF37">
        <f t="shared" si="55"/>
        <v>3614406.9299314842</v>
      </c>
      <c r="BG37">
        <f t="shared" si="55"/>
        <v>3857336.2182551082</v>
      </c>
      <c r="BH37">
        <f t="shared" si="55"/>
        <v>4110001.5962922289</v>
      </c>
      <c r="BI37">
        <f t="shared" si="55"/>
        <v>4372793.2658318663</v>
      </c>
      <c r="BJ37">
        <f t="shared" si="55"/>
        <v>4646117.0671216641</v>
      </c>
    </row>
    <row r="38" spans="1:62" x14ac:dyDescent="0.3">
      <c r="D38">
        <f t="shared" si="52"/>
        <v>16043.706499199998</v>
      </c>
      <c r="E38">
        <f t="shared" ref="E38:E47" si="56">(E37+8000)*1.00328-(0.00146*(E37+8000))</f>
        <v>113540.92323235514</v>
      </c>
      <c r="F38">
        <f t="shared" ref="F38:F47" si="57">(F37+8000)*1.00328-(0.00146*(F37+8000))</f>
        <v>213188.9237046472</v>
      </c>
      <c r="G38">
        <f t="shared" ref="G38:G47" si="58">(G37+8000)*1.00328-(0.00146*(G37+8000))</f>
        <v>315035.15409810602</v>
      </c>
      <c r="H38">
        <f t="shared" ref="H38:K43" si="59">(H37+8000)*1.00328-(0.00125*(H37+8000))</f>
        <v>419386.68869690015</v>
      </c>
      <c r="I38">
        <f t="shared" si="59"/>
        <v>526993.98499183985</v>
      </c>
      <c r="J38">
        <f t="shared" si="59"/>
        <v>637252.06093971385</v>
      </c>
      <c r="K38">
        <f t="shared" si="59"/>
        <v>750226.21539116092</v>
      </c>
      <c r="L38">
        <f t="shared" ref="L38:L48" si="60">(L37+8000)*1.00328-(0.00104*(L37+8000))</f>
        <v>867219.13958015083</v>
      </c>
      <c r="M38">
        <f>(M37+8000)*1.00328-(0.00125*(M37+8000))</f>
        <v>987816.23439729121</v>
      </c>
      <c r="N38">
        <f t="shared" ref="N38:N46" si="61">(N37+8000)*1.00328-(0.00104*(N37+8000))</f>
        <v>1111893.2890412319</v>
      </c>
      <c r="O38">
        <f t="shared" ref="O38:O46" si="62">(O37+8000)*1.00328-(0.00104*(O37+8000))</f>
        <v>1239561.2650849202</v>
      </c>
      <c r="P38">
        <f t="shared" ref="P38:P46" si="63">(P37+8000)*1.00328-(0.00104*(P37+8000))</f>
        <v>1370703.552333822</v>
      </c>
      <c r="Q38">
        <f t="shared" ref="Q38:Q46" si="64">(Q37+8000)*1.00328-(0.00104*(Q37+8000))</f>
        <v>1505414.6994658802</v>
      </c>
      <c r="R38">
        <f t="shared" ref="R38:R48" si="65">(R37+8000)*1.00328-(0.000833*(R37+8000))</f>
        <v>1645140.3109838627</v>
      </c>
      <c r="S38">
        <f t="shared" ref="S38:S48" si="66">(S37+8000)*1.00328-(0.000833*(S37+8000))</f>
        <v>1791644.4076208752</v>
      </c>
      <c r="T38">
        <f t="shared" ref="T38:T48" si="67">(T37+8000)*1.00328-(0.000833*(T37+8000))</f>
        <v>1942508.8231586444</v>
      </c>
      <c r="U38">
        <f t="shared" ref="U38:U48" si="68">(U37+8000)*1.00328-(0.00125*(U37+8000))</f>
        <v>2096121.6817874284</v>
      </c>
      <c r="V38">
        <f t="shared" ref="V38:V48" si="69">(V37+8000)*1.00328-(0.00125*(V37+8000))</f>
        <v>2245033.3798848735</v>
      </c>
      <c r="W38">
        <f t="shared" ref="W38:W48" si="70">(W37+8000)*1.00328-(0.00125*(W37+8000))</f>
        <v>2397613.343174288</v>
      </c>
      <c r="X38">
        <f t="shared" ref="X38:X48" si="71">(X37+8000)*1.00328-(0.00125*(X37+8000))</f>
        <v>2553951.9350703023</v>
      </c>
      <c r="Y38">
        <f t="shared" ref="Y38:Y48" si="72">(Y37+8000)*1.00328-(0.00125*(Y37+8000))</f>
        <v>2714141.7449843818</v>
      </c>
      <c r="Z38">
        <f t="shared" ref="Z38:Z48" si="73">(Z37+8000)*1.00328-(0.00125*(Z37+8000))</f>
        <v>2878277.6431596503</v>
      </c>
      <c r="AA38">
        <f t="shared" ref="AA38:AA48" si="74">(AA37+8000)*1.00328-(0.00125*(AA37+8000))</f>
        <v>3046456.8368565021</v>
      </c>
      <c r="AB38">
        <f t="shared" ref="AB38:AB48" si="75">(AB37+8000)*1.00328-(0.00125*(AB37+8000))</f>
        <v>3218778.9279222894</v>
      </c>
      <c r="AC38">
        <f t="shared" ref="AC38:AC48" si="76">(AC37+8000)*1.00328-(0.00125*(AC37+8000))</f>
        <v>3395345.9717791607</v>
      </c>
      <c r="AD38">
        <f t="shared" ref="AD38:AD48" si="77">(AD37+8000)*1.00328-(0.00125*(AD37+8000))</f>
        <v>3576262.5378650054</v>
      </c>
      <c r="AE38">
        <f t="shared" ref="AE38:AE48" si="78">(AE37+8000)*1.00328-(0.00125*(AE37+8000))</f>
        <v>3761635.7715632841</v>
      </c>
      <c r="AI38">
        <f t="shared" si="54"/>
        <v>16078.806067199999</v>
      </c>
      <c r="AJ38">
        <f t="shared" ref="AJ38:AJ48" si="79">(AJ37+8000)*1.00328-0</f>
        <v>114794.74871194674</v>
      </c>
      <c r="AK38">
        <f t="shared" ref="AK38:AK48" si="80">(AK37+8000)*1.00328-0</f>
        <v>217467.01659180142</v>
      </c>
      <c r="AL38">
        <f t="shared" ref="AL38:AL48" si="81">(AL37+8000)*1.00328-0</f>
        <v>324254.17081600957</v>
      </c>
      <c r="AM38">
        <f t="shared" ref="AM38:AM48" si="82">(AM37+8000)*1.00328-0</f>
        <v>435321.12728617305</v>
      </c>
      <c r="AN38">
        <f t="shared" ref="AN38:AN48" si="83">(AN37+8000)*1.00328-0</f>
        <v>550839.41138282663</v>
      </c>
      <c r="AO38">
        <f t="shared" ref="AO38:AO48" si="84">(AO37+8000)*1.00328-0</f>
        <v>670987.42285930854</v>
      </c>
      <c r="AP38">
        <f t="shared" ref="AP38:AP48" si="85">(AP37+8000)*1.00328-0</f>
        <v>795950.71135201771</v>
      </c>
      <c r="AQ38">
        <f t="shared" ref="AQ38:AQ48" si="86">(AQ37+8000)*1.00328-0</f>
        <v>925922.26293253421</v>
      </c>
      <c r="AR38">
        <f t="shared" ref="AR38:AR48" si="87">(AR37+8000)*1.00328-0</f>
        <v>1061102.7981441407</v>
      </c>
      <c r="AS38">
        <f t="shared" ref="AS38:AS48" si="88">(AS37+8000)*1.00328-0</f>
        <v>1201701.0819830159</v>
      </c>
      <c r="AT38">
        <f t="shared" ref="AT38:AT48" si="89">(AT37+8000)*1.00328-0</f>
        <v>1347934.2463028121</v>
      </c>
      <c r="AU38">
        <f t="shared" ref="AU38:AU48" si="90">(AU37+8000)*1.00328-0</f>
        <v>1500028.1251405275</v>
      </c>
      <c r="AV38">
        <f t="shared" ref="AV38:AV48" si="91">(AV37+8000)*1.00328-0</f>
        <v>1658217.6034815225</v>
      </c>
      <c r="AW38">
        <f t="shared" ref="AW38:AW48" si="92">(AW37+8000)*1.00328-0</f>
        <v>1822746.980002301</v>
      </c>
      <c r="AX38">
        <f t="shared" ref="AX38:AX48" si="93">(AX37+8000)*1.00328-0</f>
        <v>1993870.3443512493</v>
      </c>
      <c r="AY38">
        <f t="shared" ref="AY38:AY48" si="94">(AY37+8000)*1.00328-0</f>
        <v>2171851.9695499851</v>
      </c>
      <c r="AZ38">
        <f t="shared" ref="AZ38:AZ48" si="95">(AZ37+8000)*1.00328-0</f>
        <v>2356966.7201213199</v>
      </c>
      <c r="BA38">
        <f t="shared" ref="BA38:BA48" si="96">(BA37+8000)*1.00328-0</f>
        <v>2549500.4765741234</v>
      </c>
      <c r="BB38">
        <f t="shared" ref="BB38:BB48" si="97">(BB37+8000)*1.00328-0</f>
        <v>2749750.5769006372</v>
      </c>
      <c r="BC38">
        <f t="shared" ref="BC38:BC48" si="98">(BC37+8000)*1.00328-0</f>
        <v>2958026.2757680663</v>
      </c>
      <c r="BD38">
        <f t="shared" ref="BD38:BD48" si="99">(BD37+8000)*1.00328-0</f>
        <v>3174649.2221135884</v>
      </c>
      <c r="BE38">
        <f t="shared" ref="BE38:BE48" si="100">(BE37+8000)*1.00328-0</f>
        <v>3399953.9558803635</v>
      </c>
      <c r="BF38">
        <f t="shared" ref="BF38:BF48" si="101">(BF37+8000)*1.00328-0</f>
        <v>3634288.4246616592</v>
      </c>
      <c r="BG38">
        <f t="shared" ref="BG38:BG48" si="102">(BG37+8000)*1.00328-0</f>
        <v>3878014.521050985</v>
      </c>
      <c r="BH38">
        <f t="shared" ref="BH38:BH48" si="103">(BH37+8000)*1.00328-0</f>
        <v>4131508.6415280672</v>
      </c>
      <c r="BI38">
        <f t="shared" ref="BI38:BI48" si="104">(BI37+8000)*1.00328-0</f>
        <v>4395162.2677437942</v>
      </c>
      <c r="BJ38">
        <f t="shared" ref="BJ38:BJ48" si="105">(BJ37+8000)*1.00328-0</f>
        <v>4669382.5711018229</v>
      </c>
    </row>
    <row r="39" spans="1:62" x14ac:dyDescent="0.3">
      <c r="A39">
        <f>0.0175/12</f>
        <v>1.4583333333333334E-3</v>
      </c>
      <c r="B39">
        <v>1.75</v>
      </c>
      <c r="D39">
        <f t="shared" si="52"/>
        <v>24087.466045028541</v>
      </c>
      <c r="E39">
        <f t="shared" si="56"/>
        <v>121762.12771263803</v>
      </c>
      <c r="F39">
        <f t="shared" si="57"/>
        <v>221591.48754578966</v>
      </c>
      <c r="G39">
        <f t="shared" si="58"/>
        <v>323623.07807856455</v>
      </c>
      <c r="H39">
        <f t="shared" si="59"/>
        <v>428254.28367495479</v>
      </c>
      <c r="I39">
        <f t="shared" si="59"/>
        <v>536080.02278137323</v>
      </c>
      <c r="J39">
        <f t="shared" si="59"/>
        <v>646561.92262342141</v>
      </c>
      <c r="K39">
        <f t="shared" si="59"/>
        <v>759765.41460840497</v>
      </c>
      <c r="L39">
        <f t="shared" si="60"/>
        <v>877179.63045281032</v>
      </c>
      <c r="M39">
        <f>(M38+8000)*1.00328-(0.00125*(M38+8000))</f>
        <v>997837.74135311763</v>
      </c>
      <c r="N39">
        <f t="shared" si="61"/>
        <v>1122401.850008684</v>
      </c>
      <c r="O39">
        <f t="shared" si="62"/>
        <v>1250355.8023187104</v>
      </c>
      <c r="P39">
        <f t="shared" si="63"/>
        <v>1381791.8482910497</v>
      </c>
      <c r="Q39">
        <f t="shared" si="64"/>
        <v>1516804.7483926837</v>
      </c>
      <c r="R39">
        <f t="shared" si="65"/>
        <v>1657185.5453248404</v>
      </c>
      <c r="S39">
        <f t="shared" si="66"/>
        <v>1804048.1374863235</v>
      </c>
      <c r="T39">
        <f t="shared" si="67"/>
        <v>1955281.7182489133</v>
      </c>
      <c r="U39">
        <f t="shared" si="68"/>
        <v>2108393.0488014566</v>
      </c>
      <c r="V39">
        <f t="shared" si="69"/>
        <v>2257607.0376460399</v>
      </c>
      <c r="W39">
        <f t="shared" si="70"/>
        <v>2410496.7382609318</v>
      </c>
      <c r="X39">
        <f t="shared" si="71"/>
        <v>2567152.6974984948</v>
      </c>
      <c r="Y39">
        <f t="shared" si="72"/>
        <v>2727667.6927267001</v>
      </c>
      <c r="Z39">
        <f t="shared" si="73"/>
        <v>2892136.786775264</v>
      </c>
      <c r="AA39">
        <f t="shared" si="74"/>
        <v>3060657.3842353206</v>
      </c>
      <c r="AB39">
        <f t="shared" si="75"/>
        <v>3233329.2891459716</v>
      </c>
      <c r="AC39">
        <f t="shared" si="76"/>
        <v>3410254.7641018722</v>
      </c>
      <c r="AD39">
        <f t="shared" si="77"/>
        <v>3591538.5908168713</v>
      </c>
      <c r="AE39">
        <f t="shared" si="78"/>
        <v>3777288.1321795573</v>
      </c>
      <c r="AI39">
        <f t="shared" si="54"/>
        <v>24157.784551100413</v>
      </c>
      <c r="AJ39">
        <f t="shared" si="79"/>
        <v>123197.51548772192</v>
      </c>
      <c r="AK39">
        <f t="shared" si="80"/>
        <v>226206.54840622252</v>
      </c>
      <c r="AL39">
        <f t="shared" si="81"/>
        <v>333343.96449628606</v>
      </c>
      <c r="AM39">
        <f t="shared" si="82"/>
        <v>444775.2205836717</v>
      </c>
      <c r="AN39">
        <f t="shared" si="83"/>
        <v>560672.40465216222</v>
      </c>
      <c r="AO39">
        <f t="shared" si="84"/>
        <v>681214.50160628709</v>
      </c>
      <c r="AP39">
        <f t="shared" si="85"/>
        <v>806587.66968525224</v>
      </c>
      <c r="AQ39">
        <f t="shared" si="86"/>
        <v>936985.52795495291</v>
      </c>
      <c r="AR39">
        <f t="shared" si="87"/>
        <v>1072609.4553220535</v>
      </c>
      <c r="AS39">
        <f t="shared" si="88"/>
        <v>1213668.9015319201</v>
      </c>
      <c r="AT39">
        <f t="shared" si="89"/>
        <v>1360381.7106306853</v>
      </c>
      <c r="AU39">
        <f t="shared" si="90"/>
        <v>1512974.4573909882</v>
      </c>
      <c r="AV39">
        <f t="shared" si="91"/>
        <v>1671682.7972209419</v>
      </c>
      <c r="AW39">
        <f t="shared" si="92"/>
        <v>1836751.8300967086</v>
      </c>
      <c r="AX39">
        <f t="shared" si="93"/>
        <v>2008436.4790807213</v>
      </c>
      <c r="AY39">
        <f t="shared" si="94"/>
        <v>2187001.8840101091</v>
      </c>
      <c r="AZ39">
        <f t="shared" si="95"/>
        <v>2372723.8109633178</v>
      </c>
      <c r="BA39">
        <f t="shared" si="96"/>
        <v>2565889.0781372865</v>
      </c>
      <c r="BB39">
        <f t="shared" si="97"/>
        <v>2766795.9987928714</v>
      </c>
      <c r="BC39">
        <f t="shared" si="98"/>
        <v>2975754.8419525856</v>
      </c>
      <c r="BD39">
        <f t="shared" si="99"/>
        <v>3193088.3115621209</v>
      </c>
      <c r="BE39">
        <f t="shared" si="100"/>
        <v>3419132.044855651</v>
      </c>
      <c r="BF39">
        <f t="shared" si="101"/>
        <v>3654235.1306945491</v>
      </c>
      <c r="BG39">
        <f t="shared" si="102"/>
        <v>3898760.6486800322</v>
      </c>
      <c r="BH39">
        <f t="shared" si="103"/>
        <v>4153086.2298722789</v>
      </c>
      <c r="BI39">
        <f t="shared" si="104"/>
        <v>4417604.6399819935</v>
      </c>
      <c r="BJ39">
        <f t="shared" si="105"/>
        <v>4692724.3859350365</v>
      </c>
    </row>
    <row r="40" spans="1:62" x14ac:dyDescent="0.3">
      <c r="A40">
        <f>0.015/12</f>
        <v>1.25E-3</v>
      </c>
      <c r="B40">
        <v>1.5</v>
      </c>
      <c r="D40">
        <f t="shared" si="52"/>
        <v>32145.865233230492</v>
      </c>
      <c r="E40">
        <f t="shared" si="56"/>
        <v>129998.29478507504</v>
      </c>
      <c r="F40">
        <f t="shared" si="57"/>
        <v>230009.344053123</v>
      </c>
      <c r="G40">
        <f t="shared" si="58"/>
        <v>332226.63208066754</v>
      </c>
      <c r="H40">
        <f t="shared" si="59"/>
        <v>437139.87987081491</v>
      </c>
      <c r="I40">
        <f t="shared" si="59"/>
        <v>545184.50522761943</v>
      </c>
      <c r="J40">
        <f t="shared" si="59"/>
        <v>655890.68332634692</v>
      </c>
      <c r="K40">
        <f t="shared" si="59"/>
        <v>769323.97840006009</v>
      </c>
      <c r="L40">
        <f t="shared" si="60"/>
        <v>887162.43282502459</v>
      </c>
      <c r="M40">
        <f t="shared" ref="M40:M48" si="106">(M39+8000)*1.00328-(0.00104*(M39+8000))</f>
        <v>1008090.8178937485</v>
      </c>
      <c r="N40">
        <f t="shared" si="61"/>
        <v>1132933.9501527033</v>
      </c>
      <c r="O40">
        <f t="shared" si="62"/>
        <v>1261174.5193159042</v>
      </c>
      <c r="P40">
        <f t="shared" si="63"/>
        <v>1392904.9820312215</v>
      </c>
      <c r="Q40">
        <f t="shared" si="64"/>
        <v>1528220.3110290833</v>
      </c>
      <c r="R40">
        <f t="shared" si="65"/>
        <v>1669260.2543542502</v>
      </c>
      <c r="S40">
        <f t="shared" si="66"/>
        <v>1816482.2192787526</v>
      </c>
      <c r="T40">
        <f t="shared" si="67"/>
        <v>1968085.8686134683</v>
      </c>
      <c r="U40">
        <f t="shared" si="68"/>
        <v>2120689.3266905239</v>
      </c>
      <c r="V40">
        <f t="shared" si="69"/>
        <v>2270206.2199324612</v>
      </c>
      <c r="W40">
        <f t="shared" si="70"/>
        <v>2423406.2866396015</v>
      </c>
      <c r="X40">
        <f t="shared" si="71"/>
        <v>2580380.2574744169</v>
      </c>
      <c r="Y40">
        <f t="shared" si="72"/>
        <v>2741221.098142935</v>
      </c>
      <c r="Z40">
        <f t="shared" si="73"/>
        <v>2906024.0644524177</v>
      </c>
      <c r="AA40">
        <f t="shared" si="74"/>
        <v>3074886.7587253181</v>
      </c>
      <c r="AB40">
        <f t="shared" si="75"/>
        <v>3247909.1876029377</v>
      </c>
      <c r="AC40">
        <f t="shared" si="76"/>
        <v>3425193.8212729986</v>
      </c>
      <c r="AD40">
        <f t="shared" si="77"/>
        <v>3606845.6541562295</v>
      </c>
      <c r="AE40">
        <f t="shared" si="78"/>
        <v>3792972.2670878819</v>
      </c>
      <c r="AI40">
        <f t="shared" si="54"/>
        <v>32263.262084428021</v>
      </c>
      <c r="AJ40">
        <f t="shared" si="79"/>
        <v>131627.84333852163</v>
      </c>
      <c r="AK40">
        <f t="shared" si="80"/>
        <v>234974.74588499492</v>
      </c>
      <c r="AL40">
        <f t="shared" si="81"/>
        <v>342463.57269983384</v>
      </c>
      <c r="AM40">
        <f t="shared" si="82"/>
        <v>454260.32330718613</v>
      </c>
      <c r="AN40">
        <f t="shared" si="83"/>
        <v>570537.65013942134</v>
      </c>
      <c r="AO40">
        <f t="shared" si="84"/>
        <v>691475.12517155567</v>
      </c>
      <c r="AP40">
        <f t="shared" si="85"/>
        <v>817259.51724181988</v>
      </c>
      <c r="AQ40">
        <f t="shared" si="86"/>
        <v>948085.08048664511</v>
      </c>
      <c r="AR40">
        <f t="shared" si="87"/>
        <v>1084153.8543355097</v>
      </c>
      <c r="AS40">
        <f t="shared" si="88"/>
        <v>1225675.9755289447</v>
      </c>
      <c r="AT40">
        <f t="shared" si="89"/>
        <v>1372870.002641554</v>
      </c>
      <c r="AU40">
        <f t="shared" si="90"/>
        <v>1525963.2536112305</v>
      </c>
      <c r="AV40">
        <f t="shared" si="91"/>
        <v>1685192.1567958265</v>
      </c>
      <c r="AW40">
        <f t="shared" si="92"/>
        <v>1850802.6160994258</v>
      </c>
      <c r="AX40">
        <f t="shared" si="93"/>
        <v>2023050.3907321058</v>
      </c>
      <c r="AY40">
        <f t="shared" si="94"/>
        <v>2202201.4901896622</v>
      </c>
      <c r="AZ40">
        <f t="shared" si="95"/>
        <v>2388532.5850632773</v>
      </c>
      <c r="BA40">
        <f t="shared" si="96"/>
        <v>2582331.4343135767</v>
      </c>
      <c r="BB40">
        <f t="shared" si="97"/>
        <v>2783897.3296689116</v>
      </c>
      <c r="BC40">
        <f t="shared" si="98"/>
        <v>2993541.5578341899</v>
      </c>
      <c r="BD40">
        <f t="shared" si="99"/>
        <v>3211587.8812240446</v>
      </c>
      <c r="BE40">
        <f t="shared" si="100"/>
        <v>3438373.0379627775</v>
      </c>
      <c r="BF40">
        <f t="shared" si="101"/>
        <v>3674247.261923227</v>
      </c>
      <c r="BG40">
        <f t="shared" si="102"/>
        <v>3919574.8236077027</v>
      </c>
      <c r="BH40">
        <f t="shared" si="103"/>
        <v>4174734.5927062598</v>
      </c>
      <c r="BI40">
        <f t="shared" si="104"/>
        <v>4440120.6232011346</v>
      </c>
      <c r="BJ40">
        <f t="shared" si="105"/>
        <v>4716142.7619209029</v>
      </c>
    </row>
    <row r="41" spans="1:62" x14ac:dyDescent="0.3">
      <c r="A41">
        <f>0.0125/12</f>
        <v>1.0416666666666667E-3</v>
      </c>
      <c r="B41">
        <v>1.25</v>
      </c>
      <c r="D41">
        <f t="shared" si="52"/>
        <v>40218.930707954969</v>
      </c>
      <c r="E41">
        <f t="shared" si="56"/>
        <v>138249.45168158386</v>
      </c>
      <c r="F41">
        <f t="shared" si="57"/>
        <v>238442.52105929967</v>
      </c>
      <c r="G41">
        <f t="shared" si="58"/>
        <v>340845.8445510543</v>
      </c>
      <c r="H41">
        <f t="shared" si="59"/>
        <v>446043.51382695261</v>
      </c>
      <c r="I41">
        <f t="shared" si="59"/>
        <v>554307.46977323154</v>
      </c>
      <c r="J41">
        <f t="shared" si="59"/>
        <v>665238.38141349936</v>
      </c>
      <c r="K41">
        <f t="shared" si="59"/>
        <v>778901.94607621222</v>
      </c>
      <c r="L41">
        <f t="shared" si="60"/>
        <v>897167.59667455254</v>
      </c>
      <c r="M41">
        <f t="shared" si="106"/>
        <v>1018366.8613258305</v>
      </c>
      <c r="N41">
        <f t="shared" si="61"/>
        <v>1143489.6422010453</v>
      </c>
      <c r="O41">
        <f t="shared" si="62"/>
        <v>1272017.470239172</v>
      </c>
      <c r="P41">
        <f t="shared" si="63"/>
        <v>1404043.0091909713</v>
      </c>
      <c r="Q41">
        <f t="shared" si="64"/>
        <v>1539661.4445257883</v>
      </c>
      <c r="R41">
        <f t="shared" si="65"/>
        <v>1681364.5101966548</v>
      </c>
      <c r="S41">
        <f t="shared" si="66"/>
        <v>1828946.7272693277</v>
      </c>
      <c r="T41">
        <f t="shared" si="67"/>
        <v>1980921.3507339652</v>
      </c>
      <c r="U41">
        <f t="shared" si="68"/>
        <v>2133010.5660237055</v>
      </c>
      <c r="V41">
        <f t="shared" si="69"/>
        <v>2282830.978558924</v>
      </c>
      <c r="W41">
        <f t="shared" si="70"/>
        <v>2436342.0414014794</v>
      </c>
      <c r="X41">
        <f t="shared" si="71"/>
        <v>2593634.6693970901</v>
      </c>
      <c r="Y41">
        <f t="shared" si="72"/>
        <v>2754802.0169721651</v>
      </c>
      <c r="Z41">
        <f t="shared" si="73"/>
        <v>2919939.5333032557</v>
      </c>
      <c r="AA41">
        <f t="shared" si="74"/>
        <v>3089145.0188455302</v>
      </c>
      <c r="AB41">
        <f t="shared" si="75"/>
        <v>3262518.6832537716</v>
      </c>
      <c r="AC41">
        <f t="shared" si="76"/>
        <v>3440163.2047301824</v>
      </c>
      <c r="AD41">
        <f t="shared" si="77"/>
        <v>3622183.7908341666</v>
      </c>
      <c r="AE41">
        <f t="shared" si="78"/>
        <v>3808688.24079007</v>
      </c>
      <c r="AI41">
        <f t="shared" si="54"/>
        <v>40395.325584064936</v>
      </c>
      <c r="AJ41">
        <f t="shared" si="79"/>
        <v>140085.82266467198</v>
      </c>
      <c r="AK41">
        <f t="shared" si="80"/>
        <v>243771.70305149769</v>
      </c>
      <c r="AL41">
        <f t="shared" si="81"/>
        <v>351613.09321828926</v>
      </c>
      <c r="AM41">
        <f t="shared" si="82"/>
        <v>463776.53716763365</v>
      </c>
      <c r="AN41">
        <f t="shared" si="83"/>
        <v>580435.25363187864</v>
      </c>
      <c r="AO41">
        <f t="shared" si="84"/>
        <v>701769.40358211834</v>
      </c>
      <c r="AP41">
        <f t="shared" si="85"/>
        <v>827966.36845837301</v>
      </c>
      <c r="AQ41">
        <f t="shared" si="86"/>
        <v>959221.0395506412</v>
      </c>
      <c r="AR41">
        <f t="shared" si="87"/>
        <v>1095736.1189777302</v>
      </c>
      <c r="AS41">
        <f t="shared" si="88"/>
        <v>1237722.4327286796</v>
      </c>
      <c r="AT41">
        <f t="shared" si="89"/>
        <v>1385399.2562502183</v>
      </c>
      <c r="AU41">
        <f t="shared" si="90"/>
        <v>1538994.6530830753</v>
      </c>
      <c r="AV41">
        <f t="shared" si="91"/>
        <v>1698745.8270701168</v>
      </c>
      <c r="AW41">
        <f t="shared" si="92"/>
        <v>1864899.4886802319</v>
      </c>
      <c r="AX41">
        <f t="shared" si="93"/>
        <v>2037712.236013707</v>
      </c>
      <c r="AY41">
        <f t="shared" si="94"/>
        <v>2217450.9510774841</v>
      </c>
      <c r="AZ41">
        <f t="shared" si="95"/>
        <v>2404393.2119422848</v>
      </c>
      <c r="BA41">
        <f t="shared" si="96"/>
        <v>2598827.7214181251</v>
      </c>
      <c r="BB41">
        <f t="shared" si="97"/>
        <v>2801054.7529102257</v>
      </c>
      <c r="BC41">
        <f t="shared" si="98"/>
        <v>3011386.6141438857</v>
      </c>
      <c r="BD41">
        <f t="shared" si="99"/>
        <v>3230148.1294744592</v>
      </c>
      <c r="BE41">
        <f t="shared" si="100"/>
        <v>3457677.1415272951</v>
      </c>
      <c r="BF41">
        <f t="shared" si="101"/>
        <v>3694325.0329423351</v>
      </c>
      <c r="BG41">
        <f t="shared" si="102"/>
        <v>3940457.2690291358</v>
      </c>
      <c r="BH41">
        <f t="shared" si="103"/>
        <v>4196453.9621703364</v>
      </c>
      <c r="BI41">
        <f t="shared" si="104"/>
        <v>4462710.4588452345</v>
      </c>
      <c r="BJ41">
        <f t="shared" si="105"/>
        <v>4739637.9501800034</v>
      </c>
    </row>
    <row r="42" spans="1:62" x14ac:dyDescent="0.3">
      <c r="A42">
        <f>0.01/12</f>
        <v>8.3333333333333339E-4</v>
      </c>
      <c r="B42">
        <v>1</v>
      </c>
      <c r="D42">
        <f t="shared" si="52"/>
        <v>48306.689161843446</v>
      </c>
      <c r="E42">
        <f t="shared" si="56"/>
        <v>146515.62568364435</v>
      </c>
      <c r="F42">
        <f t="shared" si="57"/>
        <v>246891.0464476276</v>
      </c>
      <c r="G42">
        <f t="shared" si="58"/>
        <v>349480.74398813717</v>
      </c>
      <c r="H42">
        <f t="shared" si="59"/>
        <v>454965.22216002131</v>
      </c>
      <c r="I42">
        <f t="shared" si="59"/>
        <v>563448.95393687126</v>
      </c>
      <c r="J42">
        <f t="shared" si="59"/>
        <v>674605.05532776879</v>
      </c>
      <c r="K42">
        <f t="shared" si="59"/>
        <v>788499.35702674696</v>
      </c>
      <c r="L42">
        <f t="shared" si="60"/>
        <v>907195.17209110339</v>
      </c>
      <c r="M42">
        <f t="shared" si="106"/>
        <v>1028665.9230952002</v>
      </c>
      <c r="N42">
        <f t="shared" si="61"/>
        <v>1154068.9789995756</v>
      </c>
      <c r="O42">
        <f t="shared" si="62"/>
        <v>1282884.7093725076</v>
      </c>
      <c r="P42">
        <f t="shared" si="63"/>
        <v>1415205.985531559</v>
      </c>
      <c r="Q42">
        <f t="shared" si="64"/>
        <v>1551128.206161526</v>
      </c>
      <c r="R42">
        <f t="shared" si="65"/>
        <v>1693498.3851531059</v>
      </c>
      <c r="S42">
        <f t="shared" si="66"/>
        <v>1841441.7359109556</v>
      </c>
      <c r="T42">
        <f t="shared" si="67"/>
        <v>1993788.2412792109</v>
      </c>
      <c r="U42">
        <f t="shared" si="68"/>
        <v>2145356.8174727336</v>
      </c>
      <c r="V42">
        <f t="shared" si="69"/>
        <v>2295481.3654453987</v>
      </c>
      <c r="W42">
        <f t="shared" si="70"/>
        <v>2449304.0557455244</v>
      </c>
      <c r="X42">
        <f t="shared" si="71"/>
        <v>2606915.9877759661</v>
      </c>
      <c r="Y42">
        <f t="shared" si="72"/>
        <v>2768410.5050666188</v>
      </c>
      <c r="Z42">
        <f t="shared" si="73"/>
        <v>2933883.2505558613</v>
      </c>
      <c r="AA42">
        <f t="shared" si="74"/>
        <v>3103432.2232337864</v>
      </c>
      <c r="AB42">
        <f t="shared" si="75"/>
        <v>3277157.8361807768</v>
      </c>
      <c r="AC42">
        <f t="shared" si="76"/>
        <v>3455162.9760357845</v>
      </c>
      <c r="AD42">
        <f t="shared" si="77"/>
        <v>3637553.0639295597</v>
      </c>
      <c r="AE42">
        <f t="shared" si="78"/>
        <v>3824436.1179188737</v>
      </c>
      <c r="AI42">
        <f t="shared" si="54"/>
        <v>48554.062251980664</v>
      </c>
      <c r="AJ42">
        <f t="shared" si="79"/>
        <v>148571.54416301209</v>
      </c>
      <c r="AK42">
        <f t="shared" si="80"/>
        <v>252597.51423750661</v>
      </c>
      <c r="AL42">
        <f t="shared" si="81"/>
        <v>360792.62416404521</v>
      </c>
      <c r="AM42">
        <f t="shared" si="82"/>
        <v>473323.96420954348</v>
      </c>
      <c r="AN42">
        <f t="shared" si="83"/>
        <v>590365.32126379118</v>
      </c>
      <c r="AO42">
        <f t="shared" si="84"/>
        <v>712097.44722586765</v>
      </c>
      <c r="AP42">
        <f t="shared" si="85"/>
        <v>838708.33814691647</v>
      </c>
      <c r="AQ42">
        <f t="shared" si="86"/>
        <v>970393.52456036722</v>
      </c>
      <c r="AR42">
        <f t="shared" si="87"/>
        <v>1107356.373447977</v>
      </c>
      <c r="AS42">
        <f t="shared" si="88"/>
        <v>1249808.4023080296</v>
      </c>
      <c r="AT42">
        <f t="shared" si="89"/>
        <v>1397969.6058107188</v>
      </c>
      <c r="AU42">
        <f t="shared" si="90"/>
        <v>1552068.7955451878</v>
      </c>
      <c r="AV42">
        <f t="shared" si="91"/>
        <v>1712343.9533829067</v>
      </c>
      <c r="AW42">
        <f t="shared" si="92"/>
        <v>1879042.5990031029</v>
      </c>
      <c r="AX42">
        <f t="shared" si="93"/>
        <v>2052422.1721478319</v>
      </c>
      <c r="AY42">
        <f t="shared" si="94"/>
        <v>2232750.4301970182</v>
      </c>
      <c r="AZ42">
        <f t="shared" si="95"/>
        <v>2420305.8616774553</v>
      </c>
      <c r="BA42">
        <f t="shared" si="96"/>
        <v>2615378.1163443765</v>
      </c>
      <c r="BB42">
        <f t="shared" si="97"/>
        <v>2818268.452499771</v>
      </c>
      <c r="BC42">
        <f t="shared" si="98"/>
        <v>3029290.2022382775</v>
      </c>
      <c r="BD42">
        <f t="shared" si="99"/>
        <v>3248769.2553391354</v>
      </c>
      <c r="BE42">
        <f t="shared" si="100"/>
        <v>3477044.5625515045</v>
      </c>
      <c r="BF42">
        <f t="shared" si="101"/>
        <v>3714468.6590503859</v>
      </c>
      <c r="BG42">
        <f t="shared" si="102"/>
        <v>3961408.2088715513</v>
      </c>
      <c r="BH42">
        <f t="shared" si="103"/>
        <v>4218244.5711662546</v>
      </c>
      <c r="BI42">
        <f t="shared" si="104"/>
        <v>4485374.389150247</v>
      </c>
      <c r="BJ42">
        <f t="shared" si="105"/>
        <v>4763210.2026565932</v>
      </c>
    </row>
    <row r="43" spans="1:62" x14ac:dyDescent="0.3">
      <c r="D43">
        <f t="shared" si="52"/>
        <v>56409.167336118</v>
      </c>
      <c r="E43">
        <f t="shared" si="56"/>
        <v>154796.84412238857</v>
      </c>
      <c r="F43">
        <f t="shared" si="57"/>
        <v>255354.94815216225</v>
      </c>
      <c r="G43">
        <f t="shared" si="58"/>
        <v>358131.3589421956</v>
      </c>
      <c r="H43">
        <f t="shared" si="59"/>
        <v>463905.04156100616</v>
      </c>
      <c r="I43">
        <f t="shared" si="59"/>
        <v>572608.99531336303</v>
      </c>
      <c r="J43">
        <f t="shared" si="59"/>
        <v>683990.74359008402</v>
      </c>
      <c r="K43">
        <f t="shared" si="59"/>
        <v>798116.2507215112</v>
      </c>
      <c r="L43">
        <f t="shared" si="60"/>
        <v>917245.20927658735</v>
      </c>
      <c r="M43">
        <f t="shared" si="106"/>
        <v>1038988.0547629334</v>
      </c>
      <c r="N43">
        <f t="shared" si="61"/>
        <v>1164672.0135125346</v>
      </c>
      <c r="O43">
        <f t="shared" si="62"/>
        <v>1293776.2911215019</v>
      </c>
      <c r="P43">
        <f t="shared" si="63"/>
        <v>1426393.9669391494</v>
      </c>
      <c r="Q43">
        <f t="shared" si="64"/>
        <v>1562620.6533433278</v>
      </c>
      <c r="R43">
        <f t="shared" si="65"/>
        <v>1705661.9517015754</v>
      </c>
      <c r="S43">
        <f t="shared" si="66"/>
        <v>1853967.3198387295</v>
      </c>
      <c r="T43">
        <f t="shared" si="67"/>
        <v>2006686.6171056211</v>
      </c>
      <c r="U43">
        <f t="shared" si="68"/>
        <v>2157728.1318122032</v>
      </c>
      <c r="V43">
        <f t="shared" si="69"/>
        <v>2308157.4326172532</v>
      </c>
      <c r="W43">
        <f t="shared" si="70"/>
        <v>2462292.3829786875</v>
      </c>
      <c r="X43">
        <f t="shared" si="71"/>
        <v>2620224.2672311515</v>
      </c>
      <c r="Y43">
        <f t="shared" si="72"/>
        <v>2782046.618391904</v>
      </c>
      <c r="Z43">
        <f t="shared" si="73"/>
        <v>2947855.2735544895</v>
      </c>
      <c r="AA43">
        <f t="shared" si="74"/>
        <v>3117748.4306469508</v>
      </c>
      <c r="AB43">
        <f t="shared" si="75"/>
        <v>3291826.7065882236</v>
      </c>
      <c r="AC43">
        <f t="shared" si="76"/>
        <v>3470193.1968771368</v>
      </c>
      <c r="AD43">
        <f t="shared" si="77"/>
        <v>3652953.5366493366</v>
      </c>
      <c r="AE43">
        <f t="shared" si="78"/>
        <v>3840215.9632382491</v>
      </c>
      <c r="AI43">
        <f t="shared" si="54"/>
        <v>56739.559576167158</v>
      </c>
      <c r="AJ43">
        <f t="shared" si="79"/>
        <v>157085.09882786675</v>
      </c>
      <c r="AK43">
        <f t="shared" si="80"/>
        <v>261452.27408420562</v>
      </c>
      <c r="AL43">
        <f t="shared" si="81"/>
        <v>370002.26397130324</v>
      </c>
      <c r="AM43">
        <f t="shared" si="82"/>
        <v>482902.70681215078</v>
      </c>
      <c r="AN43">
        <f t="shared" si="83"/>
        <v>600327.95951753634</v>
      </c>
      <c r="AO43">
        <f t="shared" si="84"/>
        <v>722459.36685276846</v>
      </c>
      <c r="AP43">
        <f t="shared" si="85"/>
        <v>849485.54149603832</v>
      </c>
      <c r="AQ43">
        <f t="shared" si="86"/>
        <v>981602.65532092517</v>
      </c>
      <c r="AR43">
        <f t="shared" si="87"/>
        <v>1119014.7423528864</v>
      </c>
      <c r="AS43">
        <f t="shared" si="88"/>
        <v>1261934.0138675999</v>
      </c>
      <c r="AT43">
        <f t="shared" si="89"/>
        <v>1410581.1861177778</v>
      </c>
      <c r="AU43">
        <f t="shared" si="90"/>
        <v>1565185.8211945759</v>
      </c>
      <c r="AV43">
        <f t="shared" si="91"/>
        <v>1725986.6815500027</v>
      </c>
      <c r="AW43">
        <f t="shared" si="92"/>
        <v>1893232.098727833</v>
      </c>
      <c r="AX43">
        <f t="shared" si="93"/>
        <v>2067180.3568724766</v>
      </c>
      <c r="AY43">
        <f t="shared" si="94"/>
        <v>2248100.0916080642</v>
      </c>
      <c r="AZ43">
        <f t="shared" si="95"/>
        <v>2436270.7049037572</v>
      </c>
      <c r="BA43">
        <f t="shared" si="96"/>
        <v>2631982.7965659858</v>
      </c>
      <c r="BB43">
        <f t="shared" si="97"/>
        <v>2835538.6130239703</v>
      </c>
      <c r="BC43">
        <f t="shared" si="98"/>
        <v>3047252.5141016189</v>
      </c>
      <c r="BD43">
        <f t="shared" si="99"/>
        <v>3267451.4584966474</v>
      </c>
      <c r="BE43">
        <f t="shared" si="100"/>
        <v>3496475.5087166731</v>
      </c>
      <c r="BF43">
        <f t="shared" si="101"/>
        <v>3734678.356252071</v>
      </c>
      <c r="BG43">
        <f t="shared" si="102"/>
        <v>3982427.8677966497</v>
      </c>
      <c r="BH43">
        <f t="shared" si="103"/>
        <v>4240106.6533596795</v>
      </c>
      <c r="BI43">
        <f t="shared" si="104"/>
        <v>4508112.6571466597</v>
      </c>
      <c r="BJ43">
        <f t="shared" si="105"/>
        <v>4786859.7721213065</v>
      </c>
    </row>
    <row r="44" spans="1:62" x14ac:dyDescent="0.3">
      <c r="D44">
        <f t="shared" si="52"/>
        <v>64526.392020669737</v>
      </c>
      <c r="E44">
        <f t="shared" si="56"/>
        <v>163093.13437869132</v>
      </c>
      <c r="F44">
        <f t="shared" si="57"/>
        <v>263834.25415779918</v>
      </c>
      <c r="G44">
        <f t="shared" si="58"/>
        <v>366797.71801547037</v>
      </c>
      <c r="H44">
        <f t="shared" ref="H44:J48" si="107">(H43+8000)*1.00328-(0.00125*(H43+8000))</f>
        <v>472863.008795375</v>
      </c>
      <c r="I44">
        <f t="shared" si="107"/>
        <v>581787.63157384912</v>
      </c>
      <c r="J44">
        <f t="shared" si="107"/>
        <v>693395.48479957192</v>
      </c>
      <c r="K44">
        <f>(K43+8000)*1.00328-(0.00104*(K43+8000))</f>
        <v>807921.95112312736</v>
      </c>
      <c r="L44">
        <f t="shared" si="60"/>
        <v>927317.75854536693</v>
      </c>
      <c r="M44">
        <f t="shared" si="106"/>
        <v>1049333.3080056023</v>
      </c>
      <c r="N44">
        <f t="shared" si="61"/>
        <v>1175298.7988228025</v>
      </c>
      <c r="O44">
        <f t="shared" si="62"/>
        <v>1304692.2700136141</v>
      </c>
      <c r="P44">
        <f t="shared" si="63"/>
        <v>1437607.009425093</v>
      </c>
      <c r="Q44">
        <f t="shared" si="64"/>
        <v>1574138.8436068168</v>
      </c>
      <c r="R44">
        <f t="shared" si="65"/>
        <v>1717855.282497389</v>
      </c>
      <c r="S44">
        <f t="shared" si="66"/>
        <v>1866523.5538703748</v>
      </c>
      <c r="T44">
        <f t="shared" si="67"/>
        <v>2019616.5552576785</v>
      </c>
      <c r="U44">
        <f t="shared" si="68"/>
        <v>2170124.559919782</v>
      </c>
      <c r="V44">
        <f t="shared" si="69"/>
        <v>2320859.2322054659</v>
      </c>
      <c r="W44">
        <f t="shared" si="70"/>
        <v>2475307.0765161342</v>
      </c>
      <c r="X44">
        <f t="shared" si="71"/>
        <v>2633559.5624936302</v>
      </c>
      <c r="Y44">
        <f t="shared" si="72"/>
        <v>2795710.4130272395</v>
      </c>
      <c r="Z44">
        <f t="shared" si="73"/>
        <v>2961855.6597598051</v>
      </c>
      <c r="AA44">
        <f t="shared" si="74"/>
        <v>3132093.699961164</v>
      </c>
      <c r="AB44">
        <f t="shared" si="75"/>
        <v>3306525.3548025973</v>
      </c>
      <c r="AC44">
        <f t="shared" si="76"/>
        <v>3485253.9290667973</v>
      </c>
      <c r="AD44">
        <f t="shared" si="77"/>
        <v>3668385.2723287344</v>
      </c>
      <c r="AE44">
        <f t="shared" si="78"/>
        <v>3856027.8416436226</v>
      </c>
      <c r="AI44">
        <f t="shared" si="54"/>
        <v>64951.905331576985</v>
      </c>
      <c r="AJ44">
        <f t="shared" si="79"/>
        <v>165626.57795202214</v>
      </c>
      <c r="AK44">
        <f t="shared" si="80"/>
        <v>270336.0775432018</v>
      </c>
      <c r="AL44">
        <f t="shared" si="81"/>
        <v>379242.11139712908</v>
      </c>
      <c r="AM44">
        <f t="shared" si="82"/>
        <v>492512.86769049463</v>
      </c>
      <c r="AN44">
        <f t="shared" si="83"/>
        <v>610323.27522475377</v>
      </c>
      <c r="AO44">
        <f t="shared" si="84"/>
        <v>732855.27357604553</v>
      </c>
      <c r="AP44">
        <f t="shared" si="85"/>
        <v>860298.09407214529</v>
      </c>
      <c r="AQ44">
        <f t="shared" si="86"/>
        <v>992848.55203037779</v>
      </c>
      <c r="AR44">
        <f t="shared" si="87"/>
        <v>1130711.3507078039</v>
      </c>
      <c r="AS44">
        <f t="shared" si="88"/>
        <v>1274099.3974330856</v>
      </c>
      <c r="AT44">
        <f t="shared" si="89"/>
        <v>1423234.1324082441</v>
      </c>
      <c r="AU44">
        <f t="shared" si="90"/>
        <v>1578345.8706880941</v>
      </c>
      <c r="AV44">
        <f t="shared" si="91"/>
        <v>1739674.1578654866</v>
      </c>
      <c r="AW44">
        <f t="shared" si="92"/>
        <v>1907468.1400116603</v>
      </c>
      <c r="AX44">
        <f t="shared" si="93"/>
        <v>2081986.9484430184</v>
      </c>
      <c r="AY44">
        <f t="shared" si="94"/>
        <v>2263500.0999085386</v>
      </c>
      <c r="AZ44">
        <f t="shared" si="95"/>
        <v>2452287.9128158414</v>
      </c>
      <c r="BA44">
        <f t="shared" si="96"/>
        <v>2648641.9401387223</v>
      </c>
      <c r="BB44">
        <f t="shared" si="97"/>
        <v>2852865.419674689</v>
      </c>
      <c r="BC44">
        <f t="shared" si="98"/>
        <v>3065273.7423478719</v>
      </c>
      <c r="BD44">
        <f t="shared" si="99"/>
        <v>3286194.9392805165</v>
      </c>
      <c r="BE44">
        <f t="shared" si="100"/>
        <v>3515970.1883852636</v>
      </c>
      <c r="BF44">
        <f t="shared" si="101"/>
        <v>3754954.3412605776</v>
      </c>
      <c r="BG44">
        <f t="shared" si="102"/>
        <v>4003516.4712030226</v>
      </c>
      <c r="BH44">
        <f t="shared" si="103"/>
        <v>4262040.4431826994</v>
      </c>
      <c r="BI44">
        <f t="shared" si="104"/>
        <v>4530925.5066621006</v>
      </c>
      <c r="BJ44">
        <f t="shared" si="105"/>
        <v>4810586.9121738644</v>
      </c>
    </row>
    <row r="45" spans="1:62" x14ac:dyDescent="0.3">
      <c r="D45">
        <f t="shared" si="52"/>
        <v>72658.390054147356</v>
      </c>
      <c r="E45">
        <f t="shared" si="56"/>
        <v>171404.52388326052</v>
      </c>
      <c r="F45">
        <f t="shared" si="57"/>
        <v>272328.99250036635</v>
      </c>
      <c r="G45">
        <f t="shared" si="58"/>
        <v>375479.84986225847</v>
      </c>
      <c r="H45">
        <f t="shared" si="107"/>
        <v>481839.1607032296</v>
      </c>
      <c r="I45">
        <f t="shared" si="107"/>
        <v>590984.90046594408</v>
      </c>
      <c r="J45">
        <f t="shared" si="107"/>
        <v>702819.31763371499</v>
      </c>
      <c r="K45">
        <f>(K44+8000)*1.00328-(0.00104*(K44+8000))</f>
        <v>817749.61629364314</v>
      </c>
      <c r="L45">
        <f t="shared" si="60"/>
        <v>937412.87032450852</v>
      </c>
      <c r="M45">
        <f t="shared" si="106"/>
        <v>1059701.7346155348</v>
      </c>
      <c r="N45">
        <f t="shared" si="61"/>
        <v>1185949.3881321654</v>
      </c>
      <c r="O45">
        <f t="shared" si="62"/>
        <v>1315632.7006984446</v>
      </c>
      <c r="P45">
        <f t="shared" si="63"/>
        <v>1448845.1691262051</v>
      </c>
      <c r="Q45">
        <f t="shared" si="64"/>
        <v>1585682.8346164962</v>
      </c>
      <c r="R45">
        <f t="shared" si="65"/>
        <v>1730078.4503736598</v>
      </c>
      <c r="S45">
        <f t="shared" si="66"/>
        <v>1879110.5130066955</v>
      </c>
      <c r="T45">
        <f t="shared" si="67"/>
        <v>2032578.1329683939</v>
      </c>
      <c r="U45">
        <f t="shared" si="68"/>
        <v>2182546.1527764187</v>
      </c>
      <c r="V45">
        <f t="shared" si="69"/>
        <v>2333586.8164468426</v>
      </c>
      <c r="W45">
        <f t="shared" si="70"/>
        <v>2488348.1898814621</v>
      </c>
      <c r="X45">
        <f t="shared" si="71"/>
        <v>2646921.9284054921</v>
      </c>
      <c r="Y45">
        <f t="shared" si="72"/>
        <v>2809401.9451656849</v>
      </c>
      <c r="Z45">
        <f t="shared" si="73"/>
        <v>2975884.4667491172</v>
      </c>
      <c r="AA45">
        <f t="shared" si="74"/>
        <v>3146468.090172085</v>
      </c>
      <c r="AB45">
        <f t="shared" si="75"/>
        <v>3321253.8412728463</v>
      </c>
      <c r="AC45">
        <f t="shared" si="76"/>
        <v>3500345.2345428029</v>
      </c>
      <c r="AD45">
        <f t="shared" si="77"/>
        <v>3683848.3344315616</v>
      </c>
      <c r="AE45">
        <f t="shared" si="78"/>
        <v>3871871.8181621591</v>
      </c>
      <c r="AI45">
        <f t="shared" si="54"/>
        <v>73191.187581064558</v>
      </c>
      <c r="AJ45">
        <f t="shared" si="79"/>
        <v>174196.07312770476</v>
      </c>
      <c r="AK45">
        <f t="shared" si="80"/>
        <v>279249.0198775435</v>
      </c>
      <c r="AL45">
        <f t="shared" si="81"/>
        <v>388512.26552251162</v>
      </c>
      <c r="AM45">
        <f t="shared" si="82"/>
        <v>502154.54989651946</v>
      </c>
      <c r="AN45">
        <f t="shared" si="83"/>
        <v>620351.37556749093</v>
      </c>
      <c r="AO45">
        <f t="shared" si="84"/>
        <v>743285.27887337492</v>
      </c>
      <c r="AP45">
        <f t="shared" si="85"/>
        <v>871146.11182070186</v>
      </c>
      <c r="AQ45">
        <f t="shared" si="86"/>
        <v>1004131.3352810374</v>
      </c>
      <c r="AR45">
        <f t="shared" si="87"/>
        <v>1142446.3239381253</v>
      </c>
      <c r="AS45">
        <f t="shared" si="88"/>
        <v>1286304.6834566661</v>
      </c>
      <c r="AT45">
        <f t="shared" si="89"/>
        <v>1435928.580362543</v>
      </c>
      <c r="AU45">
        <f t="shared" si="90"/>
        <v>1591549.085143951</v>
      </c>
      <c r="AV45">
        <f t="shared" si="91"/>
        <v>1753406.5291032852</v>
      </c>
      <c r="AW45">
        <f t="shared" si="92"/>
        <v>1921750.8755108984</v>
      </c>
      <c r="AX45">
        <f t="shared" si="93"/>
        <v>2096842.1056339114</v>
      </c>
      <c r="AY45">
        <f t="shared" si="94"/>
        <v>2278950.6202362385</v>
      </c>
      <c r="AZ45">
        <f t="shared" si="95"/>
        <v>2468357.6571698771</v>
      </c>
      <c r="BA45">
        <f t="shared" si="96"/>
        <v>2665355.725702377</v>
      </c>
      <c r="BB45">
        <f t="shared" si="97"/>
        <v>2870249.0582512217</v>
      </c>
      <c r="BC45">
        <f t="shared" si="98"/>
        <v>3083354.0802227729</v>
      </c>
      <c r="BD45">
        <f t="shared" si="99"/>
        <v>3304999.8986813566</v>
      </c>
      <c r="BE45">
        <f t="shared" si="100"/>
        <v>3535528.8106031669</v>
      </c>
      <c r="BF45">
        <f t="shared" si="101"/>
        <v>3775296.8314999118</v>
      </c>
      <c r="BG45">
        <f t="shared" si="102"/>
        <v>4024674.2452285686</v>
      </c>
      <c r="BH45">
        <f t="shared" si="103"/>
        <v>4284046.1758363387</v>
      </c>
      <c r="BI45">
        <f t="shared" si="104"/>
        <v>4553813.1823239522</v>
      </c>
      <c r="BJ45">
        <f t="shared" si="105"/>
        <v>4834391.8772457941</v>
      </c>
    </row>
    <row r="46" spans="1:62" x14ac:dyDescent="0.3">
      <c r="D46">
        <f t="shared" si="52"/>
        <v>80805.188324045899</v>
      </c>
      <c r="E46">
        <f t="shared" si="56"/>
        <v>179731.04011672805</v>
      </c>
      <c r="F46">
        <f t="shared" si="57"/>
        <v>280839.19126671698</v>
      </c>
      <c r="G46">
        <f t="shared" si="58"/>
        <v>384177.78318900778</v>
      </c>
      <c r="H46">
        <f t="shared" si="107"/>
        <v>490833.53419945715</v>
      </c>
      <c r="I46">
        <f t="shared" si="107"/>
        <v>600200.83981388982</v>
      </c>
      <c r="J46">
        <f t="shared" si="107"/>
        <v>712262.28084851138</v>
      </c>
      <c r="K46">
        <f>(K45+8000)*1.00328-(0.00104*(K45+8000))</f>
        <v>827599.29543414083</v>
      </c>
      <c r="L46">
        <f t="shared" si="60"/>
        <v>947530.59515403537</v>
      </c>
      <c r="M46">
        <f t="shared" si="106"/>
        <v>1070093.3865010736</v>
      </c>
      <c r="N46">
        <f t="shared" si="61"/>
        <v>1196623.8347615814</v>
      </c>
      <c r="O46">
        <f t="shared" si="62"/>
        <v>1326597.637948009</v>
      </c>
      <c r="P46">
        <f t="shared" si="63"/>
        <v>1460108.5023050478</v>
      </c>
      <c r="Q46">
        <f t="shared" si="64"/>
        <v>1597252.6841660372</v>
      </c>
      <c r="R46">
        <f t="shared" si="65"/>
        <v>1742331.5283417241</v>
      </c>
      <c r="S46">
        <f t="shared" si="66"/>
        <v>1891728.272432023</v>
      </c>
      <c r="T46">
        <f t="shared" si="67"/>
        <v>2045571.4276597672</v>
      </c>
      <c r="U46">
        <f t="shared" si="68"/>
        <v>2194992.9614665546</v>
      </c>
      <c r="V46">
        <f t="shared" si="69"/>
        <v>2346340.2376842294</v>
      </c>
      <c r="W46">
        <f t="shared" si="70"/>
        <v>2501415.7767069214</v>
      </c>
      <c r="X46">
        <f t="shared" si="71"/>
        <v>2660311.4199201553</v>
      </c>
      <c r="Y46">
        <f t="shared" si="72"/>
        <v>2823121.2711143713</v>
      </c>
      <c r="Z46">
        <f t="shared" si="73"/>
        <v>2989941.752216618</v>
      </c>
      <c r="AA46">
        <f t="shared" si="74"/>
        <v>3160871.6603951342</v>
      </c>
      <c r="AB46">
        <f t="shared" si="75"/>
        <v>3336012.22657063</v>
      </c>
      <c r="AC46">
        <f t="shared" si="76"/>
        <v>3515467.1753689246</v>
      </c>
      <c r="AD46">
        <f t="shared" si="77"/>
        <v>3699342.7865504576</v>
      </c>
      <c r="AE46">
        <f t="shared" si="78"/>
        <v>3887747.9579530279</v>
      </c>
      <c r="AI46">
        <f t="shared" si="54"/>
        <v>81457.494676330447</v>
      </c>
      <c r="AJ46">
        <f t="shared" si="79"/>
        <v>182793.67624756362</v>
      </c>
      <c r="AK46">
        <f t="shared" si="80"/>
        <v>288191.19666274183</v>
      </c>
      <c r="AL46">
        <f t="shared" si="81"/>
        <v>397812.82575342542</v>
      </c>
      <c r="AM46">
        <f t="shared" si="82"/>
        <v>511827.85682018002</v>
      </c>
      <c r="AN46">
        <f t="shared" si="83"/>
        <v>630412.36807935231</v>
      </c>
      <c r="AO46">
        <f t="shared" si="84"/>
        <v>753749.49458807951</v>
      </c>
      <c r="AP46">
        <f t="shared" si="85"/>
        <v>882029.71106747375</v>
      </c>
      <c r="AQ46">
        <f t="shared" si="86"/>
        <v>1015451.1260607592</v>
      </c>
      <c r="AR46">
        <f t="shared" si="87"/>
        <v>1154219.7878806423</v>
      </c>
      <c r="AS46">
        <f t="shared" si="88"/>
        <v>1298550.0028184038</v>
      </c>
      <c r="AT46">
        <f t="shared" si="89"/>
        <v>1448664.6661061321</v>
      </c>
      <c r="AU46">
        <f t="shared" si="90"/>
        <v>1604795.6061432231</v>
      </c>
      <c r="AV46">
        <f t="shared" si="91"/>
        <v>1767183.9425187439</v>
      </c>
      <c r="AW46">
        <f t="shared" si="92"/>
        <v>1936080.4583825741</v>
      </c>
      <c r="AX46">
        <f t="shared" si="93"/>
        <v>2111745.9877403909</v>
      </c>
      <c r="AY46">
        <f t="shared" si="94"/>
        <v>2294451.8182706134</v>
      </c>
      <c r="AZ46">
        <f t="shared" si="95"/>
        <v>2484480.1102853944</v>
      </c>
      <c r="BA46">
        <f t="shared" si="96"/>
        <v>2682124.3324826807</v>
      </c>
      <c r="BB46">
        <f t="shared" si="97"/>
        <v>2887689.7151622856</v>
      </c>
      <c r="BC46">
        <f t="shared" si="98"/>
        <v>3101493.7216059035</v>
      </c>
      <c r="BD46">
        <f t="shared" si="99"/>
        <v>3323866.5383490315</v>
      </c>
      <c r="BE46">
        <f t="shared" si="100"/>
        <v>3555151.5851019453</v>
      </c>
      <c r="BF46">
        <f t="shared" si="101"/>
        <v>3795706.0451072315</v>
      </c>
      <c r="BG46">
        <f t="shared" si="102"/>
        <v>4045901.4167529182</v>
      </c>
      <c r="BH46">
        <f t="shared" si="103"/>
        <v>4306124.0872930819</v>
      </c>
      <c r="BI46">
        <f t="shared" si="104"/>
        <v>4576775.9295619745</v>
      </c>
      <c r="BJ46">
        <f t="shared" si="105"/>
        <v>4858274.9226031601</v>
      </c>
    </row>
    <row r="47" spans="1:62" x14ac:dyDescent="0.3">
      <c r="D47">
        <f t="shared" si="52"/>
        <v>88966.813766795662</v>
      </c>
      <c r="E47">
        <f t="shared" si="56"/>
        <v>188072.71060974049</v>
      </c>
      <c r="F47">
        <f t="shared" si="57"/>
        <v>289364.87859482237</v>
      </c>
      <c r="G47">
        <f t="shared" si="58"/>
        <v>392891.54675441177</v>
      </c>
      <c r="H47">
        <f t="shared" si="107"/>
        <v>499846.16627388203</v>
      </c>
      <c r="I47">
        <f t="shared" si="107"/>
        <v>609435.48751871195</v>
      </c>
      <c r="J47">
        <f t="shared" si="107"/>
        <v>721724.41327863385</v>
      </c>
      <c r="K47">
        <f>(K46+8000)*1.00328-(0.00104*(K46+8000))</f>
        <v>837471.03785591316</v>
      </c>
      <c r="L47">
        <f t="shared" si="60"/>
        <v>957670.98368718033</v>
      </c>
      <c r="M47">
        <f t="shared" si="106"/>
        <v>1080508.3156868359</v>
      </c>
      <c r="N47">
        <f t="shared" ref="N47:P48" si="108">(N46+8000)*1.00328-(0.00104*(N46+8000))</f>
        <v>1207322.1921514473</v>
      </c>
      <c r="O47">
        <f t="shared" si="108"/>
        <v>1337587.1366570124</v>
      </c>
      <c r="P47">
        <f t="shared" si="108"/>
        <v>1471397.065350211</v>
      </c>
      <c r="Q47">
        <f>(Q46+8000)*1.00328-(0.000833*(Q46+8000))</f>
        <v>1609180.7374841913</v>
      </c>
      <c r="R47">
        <f t="shared" si="65"/>
        <v>1754614.5895915763</v>
      </c>
      <c r="S47">
        <f t="shared" si="66"/>
        <v>1904376.9075146641</v>
      </c>
      <c r="T47">
        <f t="shared" si="67"/>
        <v>2058596.5169432505</v>
      </c>
      <c r="U47">
        <f t="shared" si="68"/>
        <v>2207465.0371783315</v>
      </c>
      <c r="V47">
        <f t="shared" si="69"/>
        <v>2359119.5483667282</v>
      </c>
      <c r="W47">
        <f t="shared" si="70"/>
        <v>2514509.8907336365</v>
      </c>
      <c r="X47">
        <f t="shared" si="71"/>
        <v>2673728.0921025928</v>
      </c>
      <c r="Y47">
        <f t="shared" si="72"/>
        <v>2836868.447294733</v>
      </c>
      <c r="Z47">
        <f t="shared" si="73"/>
        <v>3004027.5739736175</v>
      </c>
      <c r="AA47">
        <f t="shared" si="74"/>
        <v>3175304.4698657366</v>
      </c>
      <c r="AB47">
        <f t="shared" si="75"/>
        <v>3350800.5713905678</v>
      </c>
      <c r="AC47">
        <f t="shared" si="76"/>
        <v>3530619.8137349235</v>
      </c>
      <c r="AD47">
        <f t="shared" si="77"/>
        <v>3714868.6924071549</v>
      </c>
      <c r="AE47">
        <f t="shared" si="78"/>
        <v>3903656.3263076725</v>
      </c>
      <c r="AI47">
        <f t="shared" si="54"/>
        <v>89750.915258868801</v>
      </c>
      <c r="AJ47">
        <f t="shared" si="79"/>
        <v>191419.47950565562</v>
      </c>
      <c r="AK47">
        <f t="shared" si="80"/>
        <v>297162.70378779562</v>
      </c>
      <c r="AL47">
        <f t="shared" si="81"/>
        <v>407143.89182189666</v>
      </c>
      <c r="AM47">
        <f t="shared" si="82"/>
        <v>521532.89219055016</v>
      </c>
      <c r="AN47">
        <f t="shared" si="83"/>
        <v>640506.36064665252</v>
      </c>
      <c r="AO47">
        <f t="shared" si="84"/>
        <v>764248.03293032839</v>
      </c>
      <c r="AP47">
        <f t="shared" si="85"/>
        <v>892949.008519775</v>
      </c>
      <c r="AQ47">
        <f t="shared" si="86"/>
        <v>1026808.0457542384</v>
      </c>
      <c r="AR47">
        <f t="shared" si="87"/>
        <v>1166031.8687848907</v>
      </c>
      <c r="AS47">
        <f t="shared" si="88"/>
        <v>1310835.486827648</v>
      </c>
      <c r="AT47">
        <f t="shared" si="89"/>
        <v>1461442.5262109602</v>
      </c>
      <c r="AU47">
        <f t="shared" si="90"/>
        <v>1618085.5757313729</v>
      </c>
      <c r="AV47">
        <f t="shared" si="91"/>
        <v>1781006.5458502052</v>
      </c>
      <c r="AW47">
        <f t="shared" si="92"/>
        <v>1950457.0422860689</v>
      </c>
      <c r="AX47">
        <f t="shared" si="93"/>
        <v>2126698.7545801792</v>
      </c>
      <c r="AY47">
        <f t="shared" si="94"/>
        <v>2310003.8602345409</v>
      </c>
      <c r="AZ47">
        <f t="shared" si="95"/>
        <v>2500655.4450471303</v>
      </c>
      <c r="BA47">
        <f t="shared" si="96"/>
        <v>2698947.9402932236</v>
      </c>
      <c r="BB47">
        <f t="shared" si="97"/>
        <v>2905187.5774280177</v>
      </c>
      <c r="BC47">
        <f t="shared" si="98"/>
        <v>3119692.8610127708</v>
      </c>
      <c r="BD47">
        <f t="shared" si="99"/>
        <v>3342795.0605948162</v>
      </c>
      <c r="BE47">
        <f t="shared" si="100"/>
        <v>3574838.7223010794</v>
      </c>
      <c r="BF47">
        <f t="shared" si="101"/>
        <v>3816182.2009351831</v>
      </c>
      <c r="BG47">
        <f t="shared" si="102"/>
        <v>4067198.2133998675</v>
      </c>
      <c r="BH47">
        <f t="shared" si="103"/>
        <v>4328274.4142994033</v>
      </c>
      <c r="BI47">
        <f t="shared" si="104"/>
        <v>4599813.9946109373</v>
      </c>
      <c r="BJ47">
        <f t="shared" si="105"/>
        <v>4882236.3043492986</v>
      </c>
    </row>
    <row r="48" spans="1:62" x14ac:dyDescent="0.3">
      <c r="D48">
        <f t="shared" si="52"/>
        <v>97143.29336785122</v>
      </c>
      <c r="E48">
        <f>(E47+8000)*1.00328-(0.00146*(E47+8000))</f>
        <v>196429.5629430502</v>
      </c>
      <c r="F48">
        <f>(F47+8000)*1.00328-(0.00146*(F47+8000))</f>
        <v>297906.0826738649</v>
      </c>
      <c r="G48">
        <f>(G47+8000)*1.00328-(0.00125*(G47+8000))</f>
        <v>401705.35659432324</v>
      </c>
      <c r="H48">
        <f t="shared" si="107"/>
        <v>508877.09399141796</v>
      </c>
      <c r="I48">
        <f t="shared" si="107"/>
        <v>618688.88155837485</v>
      </c>
      <c r="J48">
        <f t="shared" si="107"/>
        <v>731205.75383758952</v>
      </c>
      <c r="K48">
        <f>(K47+8000)*1.00328-(0.00104*(K47+8000))</f>
        <v>847364.89298071037</v>
      </c>
      <c r="L48">
        <f t="shared" si="60"/>
        <v>967834.08669063949</v>
      </c>
      <c r="M48">
        <f t="shared" si="106"/>
        <v>1090946.5743139742</v>
      </c>
      <c r="N48">
        <f t="shared" si="108"/>
        <v>1218044.5138618664</v>
      </c>
      <c r="O48">
        <f t="shared" si="108"/>
        <v>1348601.2518431239</v>
      </c>
      <c r="P48">
        <f t="shared" si="108"/>
        <v>1482710.9147765953</v>
      </c>
      <c r="Q48">
        <f>(Q47+8000)*1.00328-(0.000833*(Q47+8000))</f>
        <v>1621137.9787488149</v>
      </c>
      <c r="R48">
        <f t="shared" si="65"/>
        <v>1766927.7074923068</v>
      </c>
      <c r="S48">
        <f t="shared" si="66"/>
        <v>1917056.4938073524</v>
      </c>
      <c r="T48">
        <f t="shared" si="67"/>
        <v>2071653.4786202107</v>
      </c>
      <c r="U48">
        <f t="shared" si="68"/>
        <v>2219962.4312038035</v>
      </c>
      <c r="V48">
        <f t="shared" si="69"/>
        <v>2371924.8010499128</v>
      </c>
      <c r="W48" s="3">
        <f t="shared" si="70"/>
        <v>2527630.5858118255</v>
      </c>
      <c r="X48">
        <f t="shared" si="71"/>
        <v>2687172.0001295609</v>
      </c>
      <c r="Y48">
        <f t="shared" si="72"/>
        <v>2850643.5302427411</v>
      </c>
      <c r="Z48">
        <f t="shared" si="73"/>
        <v>3018141.9899487835</v>
      </c>
      <c r="AA48">
        <f t="shared" si="74"/>
        <v>3189766.5779395639</v>
      </c>
      <c r="AB48" s="3">
        <f t="shared" si="75"/>
        <v>3365618.9365504906</v>
      </c>
      <c r="AC48">
        <f t="shared" si="76"/>
        <v>3545803.2119568051</v>
      </c>
      <c r="AD48">
        <f t="shared" si="77"/>
        <v>3730426.1158527415</v>
      </c>
      <c r="AE48">
        <f t="shared" si="78"/>
        <v>3919596.988650077</v>
      </c>
      <c r="AI48">
        <f t="shared" si="54"/>
        <v>98071.538260917892</v>
      </c>
      <c r="AJ48">
        <f t="shared" si="79"/>
        <v>200073.57539843416</v>
      </c>
      <c r="AK48">
        <f t="shared" si="80"/>
        <v>306163.63745621959</v>
      </c>
      <c r="AL48">
        <f t="shared" si="81"/>
        <v>416505.56378707243</v>
      </c>
      <c r="AM48">
        <f t="shared" si="82"/>
        <v>531269.76007693517</v>
      </c>
      <c r="AN48">
        <f t="shared" si="83"/>
        <v>650633.46150957351</v>
      </c>
      <c r="AO48">
        <f t="shared" si="84"/>
        <v>774781.00647833978</v>
      </c>
      <c r="AP48">
        <f t="shared" si="85"/>
        <v>903904.12126771978</v>
      </c>
      <c r="AQ48">
        <f t="shared" si="86"/>
        <v>1038202.2161443122</v>
      </c>
      <c r="AR48">
        <f t="shared" si="87"/>
        <v>1177882.693314505</v>
      </c>
      <c r="AS48">
        <f t="shared" si="88"/>
        <v>1323161.2672244427</v>
      </c>
      <c r="AT48">
        <f t="shared" si="89"/>
        <v>1474262.2976969322</v>
      </c>
      <c r="AU48">
        <f t="shared" si="90"/>
        <v>1631419.1364197717</v>
      </c>
      <c r="AV48">
        <f t="shared" si="91"/>
        <v>1794874.4873205938</v>
      </c>
      <c r="AW48">
        <f t="shared" si="92"/>
        <v>1964880.781384767</v>
      </c>
      <c r="AX48">
        <f t="shared" si="93"/>
        <v>2141700.566495202</v>
      </c>
      <c r="AY48">
        <f t="shared" si="94"/>
        <v>2325606.9128961102</v>
      </c>
      <c r="AZ48">
        <f t="shared" si="95"/>
        <v>2516883.8349068849</v>
      </c>
      <c r="BA48">
        <f t="shared" si="96"/>
        <v>2715826.7295373851</v>
      </c>
      <c r="BB48" s="3">
        <f t="shared" si="97"/>
        <v>2922742.8326819814</v>
      </c>
      <c r="BC48">
        <f t="shared" si="98"/>
        <v>3137951.6935968925</v>
      </c>
      <c r="BD48">
        <f t="shared" si="99"/>
        <v>3361785.6683935672</v>
      </c>
      <c r="BE48">
        <f t="shared" si="100"/>
        <v>3594590.433310227</v>
      </c>
      <c r="BF48">
        <f t="shared" si="101"/>
        <v>3836725.5185542502</v>
      </c>
      <c r="BG48" s="3">
        <f t="shared" si="102"/>
        <v>4088564.8635398187</v>
      </c>
      <c r="BH48">
        <f t="shared" si="103"/>
        <v>4350497.3943783054</v>
      </c>
      <c r="BI48">
        <f t="shared" si="104"/>
        <v>4622927.624513261</v>
      </c>
      <c r="BJ48">
        <f t="shared" si="105"/>
        <v>4906276.2794275638</v>
      </c>
    </row>
    <row r="51" spans="1:62" x14ac:dyDescent="0.3">
      <c r="D51" t="s">
        <v>55</v>
      </c>
      <c r="AI51" t="s">
        <v>55</v>
      </c>
      <c r="AJ51" t="s">
        <v>66</v>
      </c>
    </row>
    <row r="52" spans="1:62" x14ac:dyDescent="0.3">
      <c r="D52" t="s">
        <v>56</v>
      </c>
      <c r="AI52" t="s">
        <v>56</v>
      </c>
    </row>
    <row r="53" spans="1:62" x14ac:dyDescent="0.3">
      <c r="D53" t="s">
        <v>77</v>
      </c>
      <c r="AI53" t="s">
        <v>77</v>
      </c>
    </row>
    <row r="54" spans="1:62" x14ac:dyDescent="0.3">
      <c r="D54" t="s">
        <v>15</v>
      </c>
      <c r="E54" t="s">
        <v>16</v>
      </c>
      <c r="F54" t="s">
        <v>17</v>
      </c>
      <c r="G54" t="s">
        <v>18</v>
      </c>
      <c r="H54" t="s">
        <v>19</v>
      </c>
      <c r="I54" t="s">
        <v>20</v>
      </c>
      <c r="J54" t="s">
        <v>21</v>
      </c>
      <c r="K54" t="s">
        <v>22</v>
      </c>
      <c r="L54" t="s">
        <v>23</v>
      </c>
      <c r="M54" t="s">
        <v>24</v>
      </c>
      <c r="N54" t="s">
        <v>25</v>
      </c>
      <c r="O54" t="s">
        <v>26</v>
      </c>
      <c r="P54" t="s">
        <v>27</v>
      </c>
      <c r="Q54" t="s">
        <v>28</v>
      </c>
      <c r="R54" t="s">
        <v>29</v>
      </c>
      <c r="S54" t="s">
        <v>30</v>
      </c>
      <c r="T54" t="s">
        <v>31</v>
      </c>
      <c r="U54" t="s">
        <v>32</v>
      </c>
      <c r="V54" t="s">
        <v>33</v>
      </c>
      <c r="W54" t="s">
        <v>34</v>
      </c>
      <c r="X54" t="s">
        <v>35</v>
      </c>
      <c r="Y54" t="s">
        <v>36</v>
      </c>
      <c r="Z54" t="s">
        <v>37</v>
      </c>
      <c r="AA54" t="s">
        <v>38</v>
      </c>
      <c r="AB54" t="s">
        <v>39</v>
      </c>
      <c r="AC54" t="s">
        <v>67</v>
      </c>
      <c r="AD54" t="s">
        <v>68</v>
      </c>
      <c r="AE54" t="s">
        <v>69</v>
      </c>
      <c r="AI54" t="s">
        <v>15</v>
      </c>
      <c r="AJ54" t="s">
        <v>16</v>
      </c>
      <c r="AK54" t="s">
        <v>17</v>
      </c>
      <c r="AL54" t="s">
        <v>18</v>
      </c>
      <c r="AM54" t="s">
        <v>19</v>
      </c>
      <c r="AN54" t="s">
        <v>20</v>
      </c>
      <c r="AO54" t="s">
        <v>21</v>
      </c>
      <c r="AP54" t="s">
        <v>22</v>
      </c>
      <c r="AQ54" t="s">
        <v>23</v>
      </c>
      <c r="AR54" t="s">
        <v>24</v>
      </c>
      <c r="AS54" t="s">
        <v>25</v>
      </c>
      <c r="AT54" t="s">
        <v>26</v>
      </c>
      <c r="AU54" t="s">
        <v>27</v>
      </c>
      <c r="AV54" t="s">
        <v>28</v>
      </c>
      <c r="AW54" t="s">
        <v>29</v>
      </c>
      <c r="AX54" t="s">
        <v>30</v>
      </c>
      <c r="AY54" t="s">
        <v>31</v>
      </c>
      <c r="AZ54" t="s">
        <v>32</v>
      </c>
      <c r="BA54" t="s">
        <v>33</v>
      </c>
      <c r="BB54" t="s">
        <v>34</v>
      </c>
      <c r="BC54" t="s">
        <v>35</v>
      </c>
      <c r="BD54" t="s">
        <v>36</v>
      </c>
      <c r="BE54" t="s">
        <v>37</v>
      </c>
      <c r="BF54" t="s">
        <v>38</v>
      </c>
      <c r="BG54" t="s">
        <v>39</v>
      </c>
      <c r="BH54" t="s">
        <v>67</v>
      </c>
      <c r="BI54" t="s">
        <v>68</v>
      </c>
      <c r="BJ54" t="s">
        <v>69</v>
      </c>
    </row>
    <row r="55" spans="1:62" x14ac:dyDescent="0.3">
      <c r="D55">
        <v>0</v>
      </c>
      <c r="AI55">
        <v>0</v>
      </c>
    </row>
    <row r="56" spans="1:62" x14ac:dyDescent="0.3">
      <c r="D56">
        <f t="shared" ref="D56:D67" si="109">(D55+8000)*1.00407-(0.00146*(D55+8000))</f>
        <v>8020.88</v>
      </c>
      <c r="E56">
        <f>(D67+8000)*1.00407-(0.00146*(D67+8000))</f>
        <v>105920.05996022084</v>
      </c>
      <c r="F56">
        <f>(E67+8000)*1.00407-(0.00146*(E67+8000))</f>
        <v>206929.84276265107</v>
      </c>
      <c r="G56">
        <f>(F67+8000)*1.00407-(0.00146*(F67+8000))</f>
        <v>311149.06324988976</v>
      </c>
      <c r="H56">
        <f>(G67+8000)*1.00407-(0.00125*(G67+8000))</f>
        <v>418937.78712361917</v>
      </c>
      <c r="I56">
        <f>(H67+8000)*1.00407-(0.00125*(H67+8000))</f>
        <v>531114.6089509126</v>
      </c>
      <c r="J56">
        <f>(I67+8000)*1.00407-(0.00125*(I67+8000))</f>
        <v>647146.9283468615</v>
      </c>
      <c r="K56">
        <f>(J67+8000)*1.00407-(0.00125*(J67+8000))</f>
        <v>767167.25808246201</v>
      </c>
      <c r="L56">
        <f t="shared" ref="L56:Q56" si="110">(K67+8000)*1.00407-(0.00104*(K67+8000))</f>
        <v>892932.96493579878</v>
      </c>
      <c r="M56">
        <f t="shared" si="110"/>
        <v>1023858.4588722114</v>
      </c>
      <c r="N56">
        <f t="shared" si="110"/>
        <v>1159624.5434350194</v>
      </c>
      <c r="O56">
        <f t="shared" si="110"/>
        <v>1300410.1854312816</v>
      </c>
      <c r="P56">
        <f t="shared" si="110"/>
        <v>1446400.9684469791</v>
      </c>
      <c r="Q56">
        <f t="shared" si="110"/>
        <v>1597789.3374832356</v>
      </c>
      <c r="R56">
        <f>(Q67+8000)*1.00407-(0.000833*(Q67+8000))</f>
        <v>1759014.899414947</v>
      </c>
      <c r="S56">
        <f>(R67+8000)*1.00407-(0.000833*(R67+8000))</f>
        <v>1926615.815948006</v>
      </c>
      <c r="T56">
        <f>(S67+8000)*1.00407-(0.000833*(S67+8000))</f>
        <v>2100844.1882120715</v>
      </c>
      <c r="U56">
        <f t="shared" ref="U56:AE56" si="111">(T67+8000)*1.00407-(0.00125*(T67+8000))</f>
        <v>2281013.5783208925</v>
      </c>
      <c r="V56">
        <f t="shared" si="111"/>
        <v>2457189.6164628179</v>
      </c>
      <c r="W56">
        <f t="shared" si="111"/>
        <v>2639420.793943217</v>
      </c>
      <c r="X56">
        <f t="shared" si="111"/>
        <v>2827915.224832511</v>
      </c>
      <c r="Y56">
        <f t="shared" si="111"/>
        <v>3022888.1760449945</v>
      </c>
      <c r="Z56">
        <f t="shared" si="111"/>
        <v>3224562.3131808112</v>
      </c>
      <c r="AA56">
        <f t="shared" si="111"/>
        <v>3433167.9548174846</v>
      </c>
      <c r="AB56">
        <f t="shared" si="111"/>
        <v>3648943.3355414011</v>
      </c>
      <c r="AC56">
        <f t="shared" si="111"/>
        <v>3872134.8780196388</v>
      </c>
      <c r="AD56">
        <f t="shared" si="111"/>
        <v>4102997.4744228497</v>
      </c>
      <c r="AE56">
        <f t="shared" si="111"/>
        <v>4341794.7775206054</v>
      </c>
      <c r="AI56">
        <f t="shared" ref="AI56:AI67" si="112">(AI55+8000)*1.00407-0</f>
        <v>8032.56</v>
      </c>
      <c r="AJ56">
        <f t="shared" ref="AJ56:BJ56" si="113">(AI67+8000)*1.00407-0</f>
        <v>107011.7413029771</v>
      </c>
      <c r="AK56">
        <f t="shared" si="113"/>
        <v>210934.75972871104</v>
      </c>
      <c r="AL56">
        <f t="shared" si="113"/>
        <v>320048.55130126869</v>
      </c>
      <c r="AM56">
        <f t="shared" si="113"/>
        <v>434612.38606755534</v>
      </c>
      <c r="AN56">
        <f t="shared" si="113"/>
        <v>554898.48416019988</v>
      </c>
      <c r="AO56">
        <f t="shared" si="113"/>
        <v>681192.66263170401</v>
      </c>
      <c r="AP56">
        <f t="shared" si="113"/>
        <v>813795.01459682651</v>
      </c>
      <c r="AQ56">
        <f t="shared" si="113"/>
        <v>953020.62229694391</v>
      </c>
      <c r="AR56">
        <f t="shared" si="113"/>
        <v>1099200.3057807281</v>
      </c>
      <c r="AS56">
        <f t="shared" si="113"/>
        <v>1252681.4089801174</v>
      </c>
      <c r="AT56">
        <f t="shared" si="113"/>
        <v>1413828.6250494055</v>
      </c>
      <c r="AU56">
        <f t="shared" si="113"/>
        <v>1583024.8629285793</v>
      </c>
      <c r="AV56">
        <f t="shared" si="113"/>
        <v>1760672.1571899774</v>
      </c>
      <c r="AW56">
        <f t="shared" si="113"/>
        <v>1947192.6233302013</v>
      </c>
      <c r="AX56">
        <f t="shared" si="113"/>
        <v>2143029.4607771891</v>
      </c>
      <c r="AY56">
        <f t="shared" si="113"/>
        <v>2348648.0059957337</v>
      </c>
      <c r="AZ56">
        <f t="shared" si="113"/>
        <v>2564536.8381937901</v>
      </c>
      <c r="BA56">
        <f t="shared" si="113"/>
        <v>2791208.9402568727</v>
      </c>
      <c r="BB56">
        <f t="shared" si="113"/>
        <v>3029202.9176691002</v>
      </c>
      <c r="BC56">
        <f t="shared" si="113"/>
        <v>3279084.2783172186</v>
      </c>
      <c r="BD56">
        <f t="shared" si="113"/>
        <v>3541446.7762185903</v>
      </c>
      <c r="BE56">
        <f t="shared" si="113"/>
        <v>3816913.8223660588</v>
      </c>
      <c r="BF56">
        <f t="shared" si="113"/>
        <v>4106139.9660420408</v>
      </c>
      <c r="BG56">
        <f t="shared" si="113"/>
        <v>4409812.4501216682</v>
      </c>
      <c r="BH56">
        <f t="shared" si="113"/>
        <v>4728652.8440606147</v>
      </c>
      <c r="BI56">
        <f t="shared" si="113"/>
        <v>5063418.7584477933</v>
      </c>
      <c r="BJ56">
        <f t="shared" si="113"/>
        <v>5414905.6451969771</v>
      </c>
    </row>
    <row r="57" spans="1:62" x14ac:dyDescent="0.3">
      <c r="D57">
        <f t="shared" si="109"/>
        <v>16062.694496800001</v>
      </c>
      <c r="E57">
        <f t="shared" ref="E57:E65" si="114">(E56+8000)*1.00407-(0.00146*(E56+8000))</f>
        <v>114217.39131671702</v>
      </c>
      <c r="F57">
        <f t="shared" ref="F57:F65" si="115">(F56+8000)*1.00407-(0.00146*(F56+8000))</f>
        <v>215490.80965226158</v>
      </c>
      <c r="G57">
        <f t="shared" ref="G57:G65" si="116">(G56+8000)*1.00407-(0.00146*(G56+8000))</f>
        <v>319982.04230497195</v>
      </c>
      <c r="H57">
        <f t="shared" ref="H57:K59" si="117">(H56+8000)*1.00407-(0.00125*(H56+8000))</f>
        <v>428141.75168330775</v>
      </c>
      <c r="I57">
        <f t="shared" si="117"/>
        <v>540634.91214815422</v>
      </c>
      <c r="J57">
        <f t="shared" si="117"/>
        <v>656994.44268479967</v>
      </c>
      <c r="K57">
        <f t="shared" si="117"/>
        <v>777353.22975025466</v>
      </c>
      <c r="L57">
        <f t="shared" ref="L57:L67" si="118">(L56+8000)*1.00407-(0.00104*(L56+8000))</f>
        <v>903662.79181955429</v>
      </c>
      <c r="M57">
        <f t="shared" ref="M57:M67" si="119">(M56+8000)*1.00407-(0.00104*(M56+8000))</f>
        <v>1034984.9900025942</v>
      </c>
      <c r="N57">
        <f t="shared" ref="N57:N67" si="120">(N56+8000)*1.00407-(0.00104*(N56+8000))</f>
        <v>1171162.4458016276</v>
      </c>
      <c r="O57">
        <f t="shared" ref="O57:O67" si="121">(O56+8000)*1.00407-(0.00104*(O56+8000))</f>
        <v>1312374.6682931383</v>
      </c>
      <c r="P57">
        <f t="shared" ref="P57:P67" si="122">(P56+8000)*1.00407-(0.00104*(P56+8000))</f>
        <v>1458807.8033813734</v>
      </c>
      <c r="Q57">
        <f t="shared" ref="Q57:Q67" si="123">(Q56+8000)*1.00407-(0.000833*(Q56+8000))</f>
        <v>1610987.2775686688</v>
      </c>
      <c r="R57">
        <f t="shared" ref="R57:R67" si="124">(R56+8000)*1.00407-(0.000833*(R56+8000))</f>
        <v>1772734.7266443532</v>
      </c>
      <c r="S57">
        <f t="shared" ref="S57:S67" si="125">(S56+8000)*1.00407-(0.000833*(S56+8000))</f>
        <v>1940878.1673442298</v>
      </c>
      <c r="T57">
        <f t="shared" ref="T57:T67" si="126">(T56+8000)*1.00407-(0.000833*(T56+8000))</f>
        <v>2115670.5168493143</v>
      </c>
      <c r="U57">
        <f t="shared" ref="U57:U67" si="127">(U56+8000)*1.00407-(0.00125*(U56+8000))</f>
        <v>2295468.5966117573</v>
      </c>
      <c r="V57">
        <f t="shared" ref="V57:V67" si="128">(V56+8000)*1.00407-(0.00125*(V56+8000))</f>
        <v>2472141.4511812427</v>
      </c>
      <c r="W57">
        <f t="shared" ref="W57:W67" si="129">(W56+8000)*1.00407-(0.00125*(W56+8000))</f>
        <v>2654886.5205821372</v>
      </c>
      <c r="X57">
        <f t="shared" ref="X57:X67" si="130">(X56+8000)*1.00407-(0.00125*(X56+8000))</f>
        <v>2843912.5057665384</v>
      </c>
      <c r="Y57">
        <f t="shared" ref="Y57:Y67" si="131">(Y56+8000)*1.00407-(0.00125*(Y56+8000))</f>
        <v>3039435.2807014417</v>
      </c>
      <c r="Z57">
        <f t="shared" ref="Z57:Z67" si="132">(Z56+8000)*1.00407-(0.00125*(Z56+8000))</f>
        <v>3241678.1389039811</v>
      </c>
      <c r="AA57">
        <f t="shared" ref="AA57:AA67" si="133">(AA56+8000)*1.00407-(0.00125*(AA56+8000))</f>
        <v>3450872.04845007</v>
      </c>
      <c r="AB57">
        <f t="shared" ref="AB57:AB67" si="134">(AB56+8000)*1.00407-(0.00125*(AB56+8000))</f>
        <v>3667255.9157476281</v>
      </c>
      <c r="AC57">
        <f t="shared" ref="AC57:AC67" si="135">(AC56+8000)*1.00407-(0.00125*(AC56+8000))</f>
        <v>3891076.8583756541</v>
      </c>
      <c r="AD57">
        <f t="shared" ref="AD57:AD67" si="136">(AD56+8000)*1.00407-(0.00125*(AD56+8000))</f>
        <v>4122590.4873007224</v>
      </c>
      <c r="AE57">
        <f t="shared" ref="AE57:AE67" si="137">(AE56+8000)*1.00407-(0.00125*(AE56+8000))</f>
        <v>4362061.1987932138</v>
      </c>
      <c r="AI57">
        <f t="shared" si="112"/>
        <v>16097.812519200002</v>
      </c>
      <c r="AJ57">
        <f t="shared" ref="AJ57:AJ67" si="138">(AJ56+8000)*1.00407-0</f>
        <v>115479.83909008022</v>
      </c>
      <c r="AK57">
        <f t="shared" ref="AK57:AK67" si="139">(AK56+8000)*1.00407-0</f>
        <v>219825.82420080691</v>
      </c>
      <c r="AL57">
        <f t="shared" ref="AL57:AL67" si="140">(AL56+8000)*1.00407-0</f>
        <v>329383.70890506485</v>
      </c>
      <c r="AM57">
        <f t="shared" ref="AM57:AM67" si="141">(AM56+8000)*1.00407-0</f>
        <v>444413.8184788503</v>
      </c>
      <c r="AN57">
        <f t="shared" ref="AN57:AN67" si="142">(AN56+8000)*1.00407-0</f>
        <v>565189.48099073186</v>
      </c>
      <c r="AO57">
        <f t="shared" ref="AO57:AO67" si="143">(AO56+8000)*1.00407-0</f>
        <v>691997.67676861503</v>
      </c>
      <c r="AP57">
        <f t="shared" ref="AP57:AP67" si="144">(AP56+8000)*1.00407-0</f>
        <v>825139.7203062356</v>
      </c>
      <c r="AQ57">
        <f t="shared" ref="AQ57:AQ67" si="145">(AQ56+8000)*1.00407-0</f>
        <v>964931.97622969246</v>
      </c>
      <c r="AR57">
        <f t="shared" ref="AR57:AR67" si="146">(AR56+8000)*1.00407-0</f>
        <v>1111706.6110252556</v>
      </c>
      <c r="AS57">
        <f t="shared" ref="AS57:AS67" si="147">(AS56+8000)*1.00407-0</f>
        <v>1265812.3823146664</v>
      </c>
      <c r="AT57">
        <f t="shared" ref="AT57:AT67" si="148">(AT56+8000)*1.00407-0</f>
        <v>1427615.4675533567</v>
      </c>
      <c r="AU57">
        <f t="shared" ref="AU57:AU67" si="149">(AU56+8000)*1.00407-0</f>
        <v>1597500.3341206987</v>
      </c>
      <c r="AV57">
        <f t="shared" ref="AV57:AV67" si="150">(AV56+8000)*1.00407-0</f>
        <v>1775870.6528697405</v>
      </c>
      <c r="AW57">
        <f t="shared" ref="AW57:AW67" si="151">(AW56+8000)*1.00407-0</f>
        <v>1963150.2573071553</v>
      </c>
      <c r="AX57">
        <f t="shared" ref="AX57:AX67" si="152">(AX56+8000)*1.00407-0</f>
        <v>2159784.1506825523</v>
      </c>
      <c r="AY57">
        <f t="shared" ref="AY57:AY67" si="153">(AY56+8000)*1.00407-0</f>
        <v>2366239.5633801362</v>
      </c>
      <c r="AZ57">
        <f t="shared" ref="AZ57:AZ67" si="154">(AZ56+8000)*1.00407-0</f>
        <v>2583007.0631252388</v>
      </c>
      <c r="BA57">
        <f t="shared" ref="BA57:BA67" si="155">(BA56+8000)*1.00407-0</f>
        <v>2810601.7206437183</v>
      </c>
      <c r="BB57">
        <f t="shared" ref="BB57:BB67" si="156">(BB56+8000)*1.00407-0</f>
        <v>3049564.3335440136</v>
      </c>
      <c r="BC57">
        <f t="shared" ref="BC57:BC67" si="157">(BC56+8000)*1.00407-0</f>
        <v>3300462.7113299696</v>
      </c>
      <c r="BD57">
        <f t="shared" ref="BD57:BD67" si="158">(BD56+8000)*1.00407-0</f>
        <v>3563893.0245977999</v>
      </c>
      <c r="BE57">
        <f t="shared" ref="BE57:BE67" si="159">(BE56+8000)*1.00407-0</f>
        <v>3840481.2216230887</v>
      </c>
      <c r="BF57">
        <f t="shared" ref="BF57:BF67" si="160">(BF56+8000)*1.00407-0</f>
        <v>4130884.5157038318</v>
      </c>
      <c r="BG57">
        <f t="shared" ref="BG57:BG67" si="161">(BG56+8000)*1.00407-0</f>
        <v>4435792.9467936633</v>
      </c>
      <c r="BH57">
        <f t="shared" ref="BH57:BH67" si="162">(BH56+8000)*1.00407-0</f>
        <v>4755931.0211359411</v>
      </c>
      <c r="BI57">
        <f t="shared" ref="BI57:BI67" si="163">(BI56+8000)*1.00407-0</f>
        <v>5092059.4327946762</v>
      </c>
      <c r="BJ57">
        <f t="shared" ref="BJ57:BJ67" si="164">(BJ56+8000)*1.00407-0</f>
        <v>5444976.8711729292</v>
      </c>
    </row>
    <row r="58" spans="1:62" x14ac:dyDescent="0.3">
      <c r="A58">
        <f>0.0175/12</f>
        <v>1.4583333333333334E-3</v>
      </c>
      <c r="B58">
        <v>1.75</v>
      </c>
      <c r="D58">
        <f t="shared" si="109"/>
        <v>24125.498129436652</v>
      </c>
      <c r="E58">
        <f t="shared" si="114"/>
        <v>122536.37870805366</v>
      </c>
      <c r="F58">
        <f t="shared" si="115"/>
        <v>224074.12066545399</v>
      </c>
      <c r="G58">
        <f t="shared" si="116"/>
        <v>328838.0754353879</v>
      </c>
      <c r="H58">
        <f t="shared" si="117"/>
        <v>437371.67142305465</v>
      </c>
      <c r="I58">
        <f t="shared" si="117"/>
        <v>550182.06260041206</v>
      </c>
      <c r="J58">
        <f t="shared" si="117"/>
        <v>666869.72701317084</v>
      </c>
      <c r="K58">
        <f t="shared" si="117"/>
        <v>787567.92585815047</v>
      </c>
      <c r="L58">
        <f t="shared" si="118"/>
        <v>914425.13007876754</v>
      </c>
      <c r="M58">
        <f t="shared" si="119"/>
        <v>1046145.2345223022</v>
      </c>
      <c r="N58">
        <f t="shared" si="120"/>
        <v>1182735.3080124066</v>
      </c>
      <c r="O58">
        <f t="shared" si="121"/>
        <v>1324375.4035380667</v>
      </c>
      <c r="P58">
        <f t="shared" si="122"/>
        <v>1471252.231025619</v>
      </c>
      <c r="Q58">
        <f t="shared" si="123"/>
        <v>1624227.9393861587</v>
      </c>
      <c r="R58">
        <f t="shared" si="124"/>
        <v>1786498.964954501</v>
      </c>
      <c r="S58">
        <f t="shared" si="125"/>
        <v>1955186.6859719232</v>
      </c>
      <c r="T58">
        <f t="shared" si="126"/>
        <v>2130544.8383123558</v>
      </c>
      <c r="U58">
        <f t="shared" si="127"/>
        <v>2309964.3780542021</v>
      </c>
      <c r="V58">
        <f t="shared" si="128"/>
        <v>2487135.4500735742</v>
      </c>
      <c r="W58">
        <f t="shared" si="129"/>
        <v>2670395.8605701788</v>
      </c>
      <c r="X58">
        <f t="shared" si="130"/>
        <v>2859954.8990328005</v>
      </c>
      <c r="Y58">
        <f t="shared" si="131"/>
        <v>3056029.0481930198</v>
      </c>
      <c r="Z58">
        <f t="shared" si="132"/>
        <v>3258842.2312556906</v>
      </c>
      <c r="AA58">
        <f t="shared" si="133"/>
        <v>3468626.0676266993</v>
      </c>
      <c r="AB58">
        <f t="shared" si="134"/>
        <v>3685620.1374300364</v>
      </c>
      <c r="AC58">
        <f t="shared" si="135"/>
        <v>3910072.2551162736</v>
      </c>
      <c r="AD58">
        <f t="shared" si="136"/>
        <v>4142238.7524749106</v>
      </c>
      <c r="AE58">
        <f t="shared" si="137"/>
        <v>4382384.7713738102</v>
      </c>
      <c r="AI58">
        <f t="shared" si="112"/>
        <v>24195.890616153145</v>
      </c>
      <c r="AJ58">
        <f t="shared" si="138"/>
        <v>123982.40203517684</v>
      </c>
      <c r="AK58">
        <f t="shared" si="139"/>
        <v>228753.0753053042</v>
      </c>
      <c r="AL58">
        <f t="shared" si="140"/>
        <v>338756.86060030846</v>
      </c>
      <c r="AM58">
        <f t="shared" si="141"/>
        <v>454255.1427200592</v>
      </c>
      <c r="AN58">
        <f t="shared" si="142"/>
        <v>575522.36217836419</v>
      </c>
      <c r="AO58">
        <f t="shared" si="143"/>
        <v>702846.66731306328</v>
      </c>
      <c r="AP58">
        <f t="shared" si="144"/>
        <v>836530.59896788199</v>
      </c>
      <c r="AQ58">
        <f t="shared" si="145"/>
        <v>976891.80937294732</v>
      </c>
      <c r="AR58">
        <f t="shared" si="146"/>
        <v>1124263.8169321285</v>
      </c>
      <c r="AS58">
        <f t="shared" si="147"/>
        <v>1278996.7987106871</v>
      </c>
      <c r="AT58">
        <f t="shared" si="148"/>
        <v>1441458.4225062989</v>
      </c>
      <c r="AU58">
        <f t="shared" si="149"/>
        <v>1612034.7204805701</v>
      </c>
      <c r="AV58">
        <f t="shared" si="150"/>
        <v>1791131.0064269204</v>
      </c>
      <c r="AW58">
        <f t="shared" si="151"/>
        <v>1979172.8388543956</v>
      </c>
      <c r="AX58">
        <f t="shared" si="152"/>
        <v>2176607.0321758301</v>
      </c>
      <c r="AY58">
        <f t="shared" si="153"/>
        <v>2383902.7184030935</v>
      </c>
      <c r="AZ58">
        <f t="shared" si="154"/>
        <v>2601552.4618721586</v>
      </c>
      <c r="BA58">
        <f t="shared" si="155"/>
        <v>2830073.4296467383</v>
      </c>
      <c r="BB58">
        <f t="shared" si="156"/>
        <v>3070008.6203815378</v>
      </c>
      <c r="BC58">
        <f t="shared" si="157"/>
        <v>3321928.1545650824</v>
      </c>
      <c r="BD58">
        <f t="shared" si="158"/>
        <v>3586430.6292079128</v>
      </c>
      <c r="BE58">
        <f t="shared" si="159"/>
        <v>3864144.5401950949</v>
      </c>
      <c r="BF58">
        <f t="shared" si="160"/>
        <v>4155729.7756827464</v>
      </c>
      <c r="BG58">
        <f t="shared" si="161"/>
        <v>4461879.1840871135</v>
      </c>
      <c r="BH58">
        <f t="shared" si="162"/>
        <v>4783320.2203919645</v>
      </c>
      <c r="BI58">
        <f t="shared" si="163"/>
        <v>5120816.6746861506</v>
      </c>
      <c r="BJ58">
        <f t="shared" si="164"/>
        <v>5475170.4870386031</v>
      </c>
    </row>
    <row r="59" spans="1:62" x14ac:dyDescent="0.3">
      <c r="A59">
        <f>0.015/12</f>
        <v>1.25E-3</v>
      </c>
      <c r="B59">
        <v>1.5</v>
      </c>
      <c r="D59">
        <f t="shared" si="109"/>
        <v>32209.345679554484</v>
      </c>
      <c r="E59">
        <f t="shared" si="114"/>
        <v>130877.07865648168</v>
      </c>
      <c r="F59">
        <f t="shared" si="115"/>
        <v>232679.83412039082</v>
      </c>
      <c r="G59">
        <f t="shared" si="116"/>
        <v>337717.22281227424</v>
      </c>
      <c r="H59">
        <f t="shared" si="117"/>
        <v>446627.61953646771</v>
      </c>
      <c r="I59">
        <f t="shared" si="117"/>
        <v>559756.13601694524</v>
      </c>
      <c r="J59">
        <f t="shared" si="117"/>
        <v>676772.85964334803</v>
      </c>
      <c r="K59">
        <f t="shared" si="117"/>
        <v>797811.42740907054</v>
      </c>
      <c r="L59">
        <f t="shared" si="118"/>
        <v>925220.07822290633</v>
      </c>
      <c r="M59">
        <f t="shared" si="119"/>
        <v>1057339.2945829048</v>
      </c>
      <c r="N59">
        <f t="shared" si="120"/>
        <v>1194343.2359956843</v>
      </c>
      <c r="O59">
        <f t="shared" si="121"/>
        <v>1336412.5010107872</v>
      </c>
      <c r="P59">
        <f t="shared" si="122"/>
        <v>1483734.3652856266</v>
      </c>
      <c r="Q59">
        <f t="shared" si="123"/>
        <v>1637511.4612259518</v>
      </c>
      <c r="R59">
        <f t="shared" si="124"/>
        <v>1800307.7581040589</v>
      </c>
      <c r="S59">
        <f t="shared" si="125"/>
        <v>1969541.5212744144</v>
      </c>
      <c r="T59">
        <f t="shared" si="126"/>
        <v>2145467.3079539728</v>
      </c>
      <c r="U59">
        <f t="shared" si="127"/>
        <v>2324501.0376003152</v>
      </c>
      <c r="V59">
        <f t="shared" si="128"/>
        <v>2502171.7320427815</v>
      </c>
      <c r="W59">
        <f t="shared" si="129"/>
        <v>2685948.9368969868</v>
      </c>
      <c r="X59">
        <f t="shared" si="130"/>
        <v>2876042.531848073</v>
      </c>
      <c r="Y59">
        <f t="shared" si="131"/>
        <v>3072669.6101089246</v>
      </c>
      <c r="Z59">
        <f t="shared" si="132"/>
        <v>3276054.7263478315</v>
      </c>
      <c r="AA59">
        <f t="shared" si="133"/>
        <v>3486430.1531374063</v>
      </c>
      <c r="AB59">
        <f t="shared" si="134"/>
        <v>3704036.1462175893</v>
      </c>
      <c r="AC59">
        <f t="shared" si="135"/>
        <v>3929121.2188757015</v>
      </c>
      <c r="AD59">
        <f t="shared" si="136"/>
        <v>4161942.4257568899</v>
      </c>
      <c r="AE59">
        <f t="shared" si="137"/>
        <v>4402765.656429084</v>
      </c>
      <c r="AI59">
        <f t="shared" si="112"/>
        <v>32326.927890960887</v>
      </c>
      <c r="AJ59">
        <f t="shared" si="138"/>
        <v>132519.57041146001</v>
      </c>
      <c r="AK59">
        <f t="shared" si="139"/>
        <v>237716.66032179678</v>
      </c>
      <c r="AL59">
        <f t="shared" si="140"/>
        <v>348168.16102295171</v>
      </c>
      <c r="AM59">
        <f t="shared" si="141"/>
        <v>464136.52115092985</v>
      </c>
      <c r="AN59">
        <f t="shared" si="142"/>
        <v>585897.29819243017</v>
      </c>
      <c r="AO59">
        <f t="shared" si="143"/>
        <v>713739.81324902747</v>
      </c>
      <c r="AP59">
        <f t="shared" si="144"/>
        <v>847967.83850568125</v>
      </c>
      <c r="AQ59">
        <f t="shared" si="145"/>
        <v>988900.31903709518</v>
      </c>
      <c r="AR59">
        <f t="shared" si="146"/>
        <v>1136872.1306670422</v>
      </c>
      <c r="AS59">
        <f t="shared" si="147"/>
        <v>1292234.8756814396</v>
      </c>
      <c r="AT59">
        <f t="shared" si="148"/>
        <v>1455357.7182858996</v>
      </c>
      <c r="AU59">
        <f t="shared" si="149"/>
        <v>1626628.2617929261</v>
      </c>
      <c r="AV59">
        <f t="shared" si="150"/>
        <v>1806453.4696230781</v>
      </c>
      <c r="AW59">
        <f t="shared" si="151"/>
        <v>1995260.6323085329</v>
      </c>
      <c r="AX59">
        <f t="shared" si="152"/>
        <v>2193498.3827967858</v>
      </c>
      <c r="AY59">
        <f t="shared" si="153"/>
        <v>2401637.7624669941</v>
      </c>
      <c r="AZ59">
        <f t="shared" si="154"/>
        <v>2620173.3403919782</v>
      </c>
      <c r="BA59">
        <f t="shared" si="155"/>
        <v>2849624.3885054006</v>
      </c>
      <c r="BB59">
        <f t="shared" si="156"/>
        <v>3090536.1154664909</v>
      </c>
      <c r="BC59">
        <f t="shared" si="157"/>
        <v>3343480.9621541621</v>
      </c>
      <c r="BD59">
        <f t="shared" si="158"/>
        <v>3609059.961868789</v>
      </c>
      <c r="BE59">
        <f t="shared" si="159"/>
        <v>3887904.1684736889</v>
      </c>
      <c r="BF59">
        <f t="shared" si="160"/>
        <v>4180676.1558697755</v>
      </c>
      <c r="BG59">
        <f t="shared" si="161"/>
        <v>4488071.592366348</v>
      </c>
      <c r="BH59">
        <f t="shared" si="162"/>
        <v>4810820.89368896</v>
      </c>
      <c r="BI59">
        <f t="shared" si="163"/>
        <v>5149690.958552123</v>
      </c>
      <c r="BJ59">
        <f t="shared" si="164"/>
        <v>5505486.9909208501</v>
      </c>
    </row>
    <row r="60" spans="1:62" x14ac:dyDescent="0.3">
      <c r="A60">
        <f>0.0125/12</f>
        <v>1.0416666666666667E-3</v>
      </c>
      <c r="B60">
        <v>1.25</v>
      </c>
      <c r="D60">
        <f t="shared" si="109"/>
        <v>40314.292071778123</v>
      </c>
      <c r="E60">
        <f t="shared" si="114"/>
        <v>139239.54783177513</v>
      </c>
      <c r="F60">
        <f t="shared" si="115"/>
        <v>241308.00848744504</v>
      </c>
      <c r="G60">
        <f t="shared" si="116"/>
        <v>346619.54476381431</v>
      </c>
      <c r="H60">
        <f t="shared" ref="H60:J67" si="165">(H59+8000)*1.00407-(0.00125*(H59+8000))</f>
        <v>455909.66942356055</v>
      </c>
      <c r="I60">
        <f t="shared" si="165"/>
        <v>569357.20832051302</v>
      </c>
      <c r="J60">
        <f t="shared" si="165"/>
        <v>686703.91910754237</v>
      </c>
      <c r="K60">
        <f t="shared" ref="K60:K67" si="166">(K59+8000)*1.00407-(0.00104*(K59+8000))</f>
        <v>808253.03603412013</v>
      </c>
      <c r="L60">
        <f t="shared" si="118"/>
        <v>936047.73505992175</v>
      </c>
      <c r="M60">
        <f t="shared" si="119"/>
        <v>1068567.2726454912</v>
      </c>
      <c r="N60">
        <f t="shared" si="120"/>
        <v>1205986.3360007512</v>
      </c>
      <c r="O60">
        <f t="shared" si="121"/>
        <v>1348486.0708888499</v>
      </c>
      <c r="P60">
        <f t="shared" si="122"/>
        <v>1496254.3204124421</v>
      </c>
      <c r="Q60">
        <f t="shared" si="123"/>
        <v>1650837.9818259403</v>
      </c>
      <c r="R60">
        <f t="shared" si="124"/>
        <v>1814161.2503170418</v>
      </c>
      <c r="S60">
        <f t="shared" si="125"/>
        <v>1983942.8231787798</v>
      </c>
      <c r="T60">
        <f t="shared" si="126"/>
        <v>2160438.0816298197</v>
      </c>
      <c r="U60">
        <f t="shared" si="127"/>
        <v>2339078.6905263481</v>
      </c>
      <c r="V60">
        <f t="shared" si="128"/>
        <v>2517250.4163271422</v>
      </c>
      <c r="W60">
        <f t="shared" si="129"/>
        <v>2701545.8728990359</v>
      </c>
      <c r="X60">
        <f t="shared" si="130"/>
        <v>2892175.5317878849</v>
      </c>
      <c r="Y60">
        <f t="shared" si="131"/>
        <v>3089357.098409432</v>
      </c>
      <c r="Z60">
        <f t="shared" si="132"/>
        <v>3293315.7606761325</v>
      </c>
      <c r="AA60">
        <f t="shared" si="133"/>
        <v>3504284.4461692539</v>
      </c>
      <c r="AB60">
        <f t="shared" si="134"/>
        <v>3722504.0881499229</v>
      </c>
      <c r="AC60">
        <f t="shared" si="135"/>
        <v>3948223.9007129311</v>
      </c>
      <c r="AD60">
        <f t="shared" si="136"/>
        <v>4181701.6633975245</v>
      </c>
      <c r="AE60">
        <f t="shared" si="137"/>
        <v>4423204.0155802146</v>
      </c>
      <c r="AI60">
        <f t="shared" si="112"/>
        <v>40491.058487477094</v>
      </c>
      <c r="AJ60">
        <f t="shared" si="138"/>
        <v>141091.48506303466</v>
      </c>
      <c r="AK60">
        <f t="shared" si="139"/>
        <v>246716.7271293065</v>
      </c>
      <c r="AL60">
        <f t="shared" si="140"/>
        <v>357617.76543831511</v>
      </c>
      <c r="AM60">
        <f t="shared" si="141"/>
        <v>474058.11679201416</v>
      </c>
      <c r="AN60">
        <f t="shared" si="142"/>
        <v>596314.4601960734</v>
      </c>
      <c r="AO60">
        <f t="shared" si="143"/>
        <v>724677.29428895097</v>
      </c>
      <c r="AP60">
        <f t="shared" si="144"/>
        <v>859451.62760839937</v>
      </c>
      <c r="AQ60">
        <f t="shared" si="145"/>
        <v>1000957.7033355762</v>
      </c>
      <c r="AR60">
        <f t="shared" si="146"/>
        <v>1149531.760238857</v>
      </c>
      <c r="AS60">
        <f t="shared" si="147"/>
        <v>1305526.8316254632</v>
      </c>
      <c r="AT60">
        <f t="shared" si="148"/>
        <v>1469313.5841993233</v>
      </c>
      <c r="AU60">
        <f t="shared" si="149"/>
        <v>1641281.1988184233</v>
      </c>
      <c r="AV60">
        <f t="shared" si="150"/>
        <v>1821838.2952444442</v>
      </c>
      <c r="AW60">
        <f t="shared" si="151"/>
        <v>2011413.9030820287</v>
      </c>
      <c r="AX60">
        <f t="shared" si="152"/>
        <v>2210458.4812147687</v>
      </c>
      <c r="AY60">
        <f t="shared" si="153"/>
        <v>2419444.9881602349</v>
      </c>
      <c r="AZ60">
        <f t="shared" si="154"/>
        <v>2638870.0058873734</v>
      </c>
      <c r="BA60">
        <f t="shared" si="155"/>
        <v>2869254.9197666175</v>
      </c>
      <c r="BB60">
        <f t="shared" si="156"/>
        <v>3111147.1574564395</v>
      </c>
      <c r="BC60">
        <f t="shared" si="157"/>
        <v>3365121.4896701295</v>
      </c>
      <c r="BD60">
        <f t="shared" si="158"/>
        <v>3631781.3959135949</v>
      </c>
      <c r="BE60">
        <f t="shared" si="159"/>
        <v>3911760.4984393767</v>
      </c>
      <c r="BF60">
        <f t="shared" si="160"/>
        <v>4205724.0678241653</v>
      </c>
      <c r="BG60">
        <f t="shared" si="161"/>
        <v>4514370.6037472794</v>
      </c>
      <c r="BH60">
        <f t="shared" si="162"/>
        <v>4838433.4947262742</v>
      </c>
      <c r="BI60">
        <f t="shared" si="163"/>
        <v>5178682.7607534304</v>
      </c>
      <c r="BJ60">
        <f t="shared" si="164"/>
        <v>5535926.8829738982</v>
      </c>
    </row>
    <row r="61" spans="1:62" x14ac:dyDescent="0.3">
      <c r="A61">
        <f>0.01/12</f>
        <v>8.3333333333333339E-4</v>
      </c>
      <c r="B61">
        <v>1</v>
      </c>
      <c r="D61">
        <f t="shared" si="109"/>
        <v>48440.392374085466</v>
      </c>
      <c r="E61">
        <f t="shared" si="114"/>
        <v>147623.84305161604</v>
      </c>
      <c r="F61">
        <f t="shared" si="115"/>
        <v>249958.70238959725</v>
      </c>
      <c r="G61">
        <f t="shared" si="116"/>
        <v>355545.10177564784</v>
      </c>
      <c r="H61">
        <f t="shared" si="165"/>
        <v>465217.89469133498</v>
      </c>
      <c r="I61">
        <f t="shared" si="165"/>
        <v>578985.35564797686</v>
      </c>
      <c r="J61">
        <f t="shared" si="165"/>
        <v>696662.9841594256</v>
      </c>
      <c r="K61">
        <f t="shared" si="166"/>
        <v>818726.28273330349</v>
      </c>
      <c r="L61">
        <f t="shared" si="118"/>
        <v>946908.19969715329</v>
      </c>
      <c r="M61">
        <f t="shared" si="119"/>
        <v>1079829.2714816069</v>
      </c>
      <c r="N61">
        <f t="shared" si="120"/>
        <v>1217664.7145988334</v>
      </c>
      <c r="O61">
        <f t="shared" si="121"/>
        <v>1360596.2236836432</v>
      </c>
      <c r="P61">
        <f t="shared" si="122"/>
        <v>1508812.2110032917</v>
      </c>
      <c r="Q61">
        <f t="shared" si="123"/>
        <v>1664207.640373111</v>
      </c>
      <c r="R61">
        <f t="shared" si="124"/>
        <v>1828059.586284318</v>
      </c>
      <c r="S61">
        <f t="shared" si="125"/>
        <v>1998390.7420974094</v>
      </c>
      <c r="T61">
        <f t="shared" si="126"/>
        <v>2175457.3157000556</v>
      </c>
      <c r="U61">
        <f t="shared" si="127"/>
        <v>2353697.4524336327</v>
      </c>
      <c r="V61">
        <f t="shared" si="128"/>
        <v>2532371.6225011847</v>
      </c>
      <c r="W61">
        <f t="shared" si="129"/>
        <v>2717186.792260611</v>
      </c>
      <c r="X61">
        <f t="shared" si="130"/>
        <v>2908354.0267875269</v>
      </c>
      <c r="Y61">
        <f t="shared" si="131"/>
        <v>3106091.6454269467</v>
      </c>
      <c r="Z61">
        <f t="shared" si="132"/>
        <v>3310625.471121239</v>
      </c>
      <c r="AA61">
        <f t="shared" si="133"/>
        <v>3522189.088307451</v>
      </c>
      <c r="AB61">
        <f t="shared" si="134"/>
        <v>3741024.1096785059</v>
      </c>
      <c r="AC61">
        <f t="shared" si="135"/>
        <v>3967380.4521129415</v>
      </c>
      <c r="AD61">
        <f t="shared" si="136"/>
        <v>4201516.6220883057</v>
      </c>
      <c r="AE61">
        <f t="shared" si="137"/>
        <v>4443700.0109041501</v>
      </c>
      <c r="AI61">
        <f t="shared" si="112"/>
        <v>48688.417095521123</v>
      </c>
      <c r="AJ61">
        <f t="shared" si="138"/>
        <v>149698.28740724121</v>
      </c>
      <c r="AK61">
        <f t="shared" si="139"/>
        <v>255753.42420872278</v>
      </c>
      <c r="AL61">
        <f t="shared" si="140"/>
        <v>367105.82974364905</v>
      </c>
      <c r="AM61">
        <f t="shared" si="141"/>
        <v>484020.09332735767</v>
      </c>
      <c r="AN61">
        <f t="shared" si="142"/>
        <v>606774.02004907141</v>
      </c>
      <c r="AO61">
        <f t="shared" si="143"/>
        <v>735659.29087670706</v>
      </c>
      <c r="AP61">
        <f t="shared" si="144"/>
        <v>870982.15573276556</v>
      </c>
      <c r="AQ61">
        <f t="shared" si="145"/>
        <v>1013064.161188152</v>
      </c>
      <c r="AR61">
        <f t="shared" si="146"/>
        <v>1162242.9145030291</v>
      </c>
      <c r="AS61">
        <f t="shared" si="147"/>
        <v>1318872.8858301789</v>
      </c>
      <c r="AT61">
        <f t="shared" si="148"/>
        <v>1483326.2504870147</v>
      </c>
      <c r="AU61">
        <f t="shared" si="149"/>
        <v>1655993.7732976144</v>
      </c>
      <c r="AV61">
        <f t="shared" si="150"/>
        <v>1837285.737106089</v>
      </c>
      <c r="AW61">
        <f t="shared" si="151"/>
        <v>2027632.9176675726</v>
      </c>
      <c r="AX61">
        <f t="shared" si="152"/>
        <v>2227487.6072333129</v>
      </c>
      <c r="AY61">
        <f t="shared" si="153"/>
        <v>2437324.6892620469</v>
      </c>
      <c r="AZ61">
        <f t="shared" si="154"/>
        <v>2657642.766811335</v>
      </c>
      <c r="BA61">
        <f t="shared" si="155"/>
        <v>2888965.3472900675</v>
      </c>
      <c r="BB61">
        <f t="shared" si="156"/>
        <v>3131842.0863872874</v>
      </c>
      <c r="BC61">
        <f t="shared" si="157"/>
        <v>3386850.094133087</v>
      </c>
      <c r="BD61">
        <f t="shared" si="158"/>
        <v>3654595.3061949634</v>
      </c>
      <c r="BE61">
        <f t="shared" si="159"/>
        <v>3935713.9236680251</v>
      </c>
      <c r="BF61">
        <f t="shared" si="160"/>
        <v>4230873.9247802095</v>
      </c>
      <c r="BG61">
        <f t="shared" si="161"/>
        <v>4540776.6521045305</v>
      </c>
      <c r="BH61">
        <f t="shared" si="162"/>
        <v>4866158.4790498102</v>
      </c>
      <c r="BI61">
        <f t="shared" si="163"/>
        <v>5207792.559589697</v>
      </c>
      <c r="BJ61">
        <f t="shared" si="164"/>
        <v>5566490.6653876025</v>
      </c>
    </row>
    <row r="62" spans="1:62" x14ac:dyDescent="0.3">
      <c r="D62">
        <f t="shared" si="109"/>
        <v>56587.701798181835</v>
      </c>
      <c r="E62">
        <f t="shared" si="114"/>
        <v>156030.02128198076</v>
      </c>
      <c r="F62">
        <f t="shared" si="115"/>
        <v>258631.97460283409</v>
      </c>
      <c r="G62">
        <f t="shared" si="116"/>
        <v>364493.95449128229</v>
      </c>
      <c r="H62">
        <f t="shared" si="165"/>
        <v>474552.36915436457</v>
      </c>
      <c r="I62">
        <f t="shared" si="165"/>
        <v>588640.65435090417</v>
      </c>
      <c r="J62">
        <f t="shared" si="165"/>
        <v>706650.13377475517</v>
      </c>
      <c r="K62">
        <f t="shared" si="166"/>
        <v>829231.26336998539</v>
      </c>
      <c r="L62">
        <f t="shared" si="118"/>
        <v>957801.57154223567</v>
      </c>
      <c r="M62">
        <f t="shared" si="119"/>
        <v>1091125.3941741961</v>
      </c>
      <c r="N62">
        <f t="shared" si="120"/>
        <v>1229378.4786840677</v>
      </c>
      <c r="O62">
        <f t="shared" si="121"/>
        <v>1372743.0702414047</v>
      </c>
      <c r="P62">
        <f t="shared" si="122"/>
        <v>1521408.1520026317</v>
      </c>
      <c r="Q62">
        <f t="shared" si="123"/>
        <v>1677620.5765049988</v>
      </c>
      <c r="R62">
        <f t="shared" si="124"/>
        <v>1842002.9111651205</v>
      </c>
      <c r="S62">
        <f t="shared" si="125"/>
        <v>2012885.4289295787</v>
      </c>
      <c r="T62">
        <f t="shared" si="126"/>
        <v>2190525.1670309766</v>
      </c>
      <c r="U62">
        <f t="shared" si="127"/>
        <v>2368357.4392494955</v>
      </c>
      <c r="V62">
        <f t="shared" si="128"/>
        <v>2547535.4704766381</v>
      </c>
      <c r="W62">
        <f t="shared" si="129"/>
        <v>2732871.8190147858</v>
      </c>
      <c r="X62">
        <f t="shared" si="130"/>
        <v>2924578.1451430679</v>
      </c>
      <c r="Y62">
        <f t="shared" si="131"/>
        <v>3122873.3838670505</v>
      </c>
      <c r="Z62">
        <f t="shared" si="132"/>
        <v>3327983.9949498014</v>
      </c>
      <c r="AA62">
        <f t="shared" si="133"/>
        <v>3540144.221536478</v>
      </c>
      <c r="AB62">
        <f t="shared" si="134"/>
        <v>3759596.3576677996</v>
      </c>
      <c r="AC62">
        <f t="shared" si="135"/>
        <v>3986591.0249879002</v>
      </c>
      <c r="AD62">
        <f t="shared" si="136"/>
        <v>4221387.4589625951</v>
      </c>
      <c r="AE62">
        <f t="shared" si="137"/>
        <v>4464253.8049349003</v>
      </c>
      <c r="AI62">
        <f t="shared" si="112"/>
        <v>56919.138953099893</v>
      </c>
      <c r="AJ62">
        <f t="shared" si="138"/>
        <v>158340.11943698869</v>
      </c>
      <c r="AK62">
        <f t="shared" si="139"/>
        <v>264826.90064525226</v>
      </c>
      <c r="AL62">
        <f t="shared" si="140"/>
        <v>376632.51047070569</v>
      </c>
      <c r="AM62">
        <f t="shared" si="141"/>
        <v>494022.61510719999</v>
      </c>
      <c r="AN62">
        <f t="shared" si="142"/>
        <v>617276.15031067119</v>
      </c>
      <c r="AO62">
        <f t="shared" si="143"/>
        <v>746685.98419057531</v>
      </c>
      <c r="AP62">
        <f t="shared" si="144"/>
        <v>882559.61310659791</v>
      </c>
      <c r="AQ62">
        <f t="shared" si="145"/>
        <v>1025219.8923241878</v>
      </c>
      <c r="AR62">
        <f t="shared" si="146"/>
        <v>1175005.8031650565</v>
      </c>
      <c r="AS62">
        <f t="shared" si="147"/>
        <v>1332273.2584755076</v>
      </c>
      <c r="AT62">
        <f t="shared" si="148"/>
        <v>1497395.9483264969</v>
      </c>
      <c r="AU62">
        <f t="shared" si="149"/>
        <v>1670766.2279549357</v>
      </c>
      <c r="AV62">
        <f t="shared" si="150"/>
        <v>1852796.0500561108</v>
      </c>
      <c r="AW62">
        <f t="shared" si="151"/>
        <v>2043917.9436424796</v>
      </c>
      <c r="AX62">
        <f t="shared" si="152"/>
        <v>2244586.0417947527</v>
      </c>
      <c r="AY62">
        <f t="shared" si="153"/>
        <v>2455277.1607473437</v>
      </c>
      <c r="AZ62">
        <f t="shared" si="154"/>
        <v>2676491.9328722572</v>
      </c>
      <c r="BA62">
        <f t="shared" si="155"/>
        <v>2908755.9962535379</v>
      </c>
      <c r="BB62">
        <f t="shared" si="156"/>
        <v>3152621.2436788836</v>
      </c>
      <c r="BC62">
        <f t="shared" si="157"/>
        <v>3408667.1340162088</v>
      </c>
      <c r="BD62">
        <f t="shared" si="158"/>
        <v>3677502.0690911771</v>
      </c>
      <c r="BE62">
        <f t="shared" si="159"/>
        <v>3959764.8393373541</v>
      </c>
      <c r="BF62">
        <f t="shared" si="160"/>
        <v>4256126.1416540649</v>
      </c>
      <c r="BG62">
        <f t="shared" si="161"/>
        <v>4567290.1730785957</v>
      </c>
      <c r="BH62">
        <f t="shared" si="162"/>
        <v>4893996.3040595427</v>
      </c>
      <c r="BI62">
        <f t="shared" si="163"/>
        <v>5237020.8353072274</v>
      </c>
      <c r="BJ62">
        <f t="shared" si="164"/>
        <v>5597178.8423957303</v>
      </c>
    </row>
    <row r="63" spans="1:62" x14ac:dyDescent="0.3">
      <c r="D63">
        <f t="shared" si="109"/>
        <v>64756.275699875092</v>
      </c>
      <c r="E63">
        <f t="shared" si="114"/>
        <v>164458.13963752674</v>
      </c>
      <c r="F63">
        <f t="shared" si="115"/>
        <v>267327.88405654748</v>
      </c>
      <c r="G63">
        <f t="shared" si="116"/>
        <v>373466.16371250455</v>
      </c>
      <c r="H63">
        <f t="shared" si="165"/>
        <v>483913.16683537984</v>
      </c>
      <c r="I63">
        <f t="shared" si="165"/>
        <v>598323.18099617376</v>
      </c>
      <c r="J63">
        <f t="shared" si="165"/>
        <v>716665.44715200004</v>
      </c>
      <c r="K63">
        <f t="shared" si="166"/>
        <v>839768.07409799646</v>
      </c>
      <c r="L63">
        <f t="shared" si="118"/>
        <v>968727.95030400867</v>
      </c>
      <c r="M63">
        <f t="shared" si="119"/>
        <v>1102455.7441185438</v>
      </c>
      <c r="N63">
        <f t="shared" si="120"/>
        <v>1241127.7354744805</v>
      </c>
      <c r="O63">
        <f t="shared" si="121"/>
        <v>1384926.7217442363</v>
      </c>
      <c r="P63">
        <f t="shared" si="122"/>
        <v>1534042.2587031997</v>
      </c>
      <c r="Q63">
        <f t="shared" si="123"/>
        <v>1691076.9303111455</v>
      </c>
      <c r="R63">
        <f t="shared" si="124"/>
        <v>1855991.370588562</v>
      </c>
      <c r="S63">
        <f t="shared" si="125"/>
        <v>2027427.0350630239</v>
      </c>
      <c r="T63">
        <f t="shared" si="126"/>
        <v>2205641.7929966557</v>
      </c>
      <c r="U63">
        <f t="shared" si="127"/>
        <v>2383058.7672281791</v>
      </c>
      <c r="V63">
        <f t="shared" si="128"/>
        <v>2562742.0805033823</v>
      </c>
      <c r="W63">
        <f t="shared" si="129"/>
        <v>2748601.0775444075</v>
      </c>
      <c r="X63">
        <f t="shared" si="130"/>
        <v>2940848.0155123714</v>
      </c>
      <c r="Y63">
        <f t="shared" si="131"/>
        <v>3139702.4468095559</v>
      </c>
      <c r="Z63">
        <f t="shared" si="132"/>
        <v>3345391.4698155597</v>
      </c>
      <c r="AA63">
        <f t="shared" si="133"/>
        <v>3558149.988241211</v>
      </c>
      <c r="AB63">
        <f t="shared" si="134"/>
        <v>3778220.9793964229</v>
      </c>
      <c r="AC63">
        <f t="shared" si="135"/>
        <v>4005855.7716783662</v>
      </c>
      <c r="AD63">
        <f t="shared" si="136"/>
        <v>4241314.331596869</v>
      </c>
      <c r="AE63">
        <f t="shared" si="137"/>
        <v>4484865.5606648168</v>
      </c>
      <c r="AI63">
        <f t="shared" si="112"/>
        <v>65183.359848639011</v>
      </c>
      <c r="AJ63">
        <f t="shared" si="138"/>
        <v>167017.12372309723</v>
      </c>
      <c r="AK63">
        <f t="shared" si="139"/>
        <v>273937.30613087845</v>
      </c>
      <c r="AL63">
        <f t="shared" si="140"/>
        <v>386197.96478832146</v>
      </c>
      <c r="AM63">
        <f t="shared" si="141"/>
        <v>504065.84715068631</v>
      </c>
      <c r="AN63">
        <f t="shared" si="142"/>
        <v>627821.02424243558</v>
      </c>
      <c r="AO63">
        <f t="shared" si="143"/>
        <v>757757.55614623101</v>
      </c>
      <c r="AP63">
        <f t="shared" si="144"/>
        <v>894184.19073194184</v>
      </c>
      <c r="AQ63">
        <f t="shared" si="145"/>
        <v>1037425.0972859473</v>
      </c>
      <c r="AR63">
        <f t="shared" si="146"/>
        <v>1187820.6367839384</v>
      </c>
      <c r="AS63">
        <f t="shared" si="147"/>
        <v>1345728.170637503</v>
      </c>
      <c r="AT63">
        <f t="shared" si="148"/>
        <v>1511522.9098361856</v>
      </c>
      <c r="AU63">
        <f t="shared" si="149"/>
        <v>1685598.8065027124</v>
      </c>
      <c r="AV63">
        <f t="shared" si="150"/>
        <v>1868369.4899798392</v>
      </c>
      <c r="AW63">
        <f t="shared" si="151"/>
        <v>2060269.2496731046</v>
      </c>
      <c r="AX63">
        <f t="shared" si="152"/>
        <v>2261754.0669848574</v>
      </c>
      <c r="AY63">
        <f t="shared" si="153"/>
        <v>2473302.6987915854</v>
      </c>
      <c r="AZ63">
        <f t="shared" si="154"/>
        <v>2695417.8150390475</v>
      </c>
      <c r="BA63">
        <f t="shared" si="155"/>
        <v>2928627.1931582899</v>
      </c>
      <c r="BB63">
        <f t="shared" si="156"/>
        <v>3173484.9721406568</v>
      </c>
      <c r="BC63">
        <f t="shared" si="157"/>
        <v>3430572.969251655</v>
      </c>
      <c r="BD63">
        <f t="shared" si="158"/>
        <v>3700502.0625123782</v>
      </c>
      <c r="BE63">
        <f t="shared" si="159"/>
        <v>3983913.642233457</v>
      </c>
      <c r="BF63">
        <f t="shared" si="160"/>
        <v>4281481.1350505967</v>
      </c>
      <c r="BG63">
        <f t="shared" si="161"/>
        <v>4593911.6040830258</v>
      </c>
      <c r="BH63">
        <f t="shared" si="162"/>
        <v>4921947.4290170651</v>
      </c>
      <c r="BI63">
        <f t="shared" si="163"/>
        <v>5266368.0701069282</v>
      </c>
      <c r="BJ63">
        <f t="shared" si="164"/>
        <v>5627991.9202842815</v>
      </c>
    </row>
    <row r="64" spans="1:62" x14ac:dyDescent="0.3">
      <c r="D64">
        <f t="shared" si="109"/>
        <v>72946.169579451758</v>
      </c>
      <c r="E64">
        <f t="shared" si="114"/>
        <v>172908.25538198068</v>
      </c>
      <c r="F64">
        <f t="shared" si="115"/>
        <v>276046.48983393505</v>
      </c>
      <c r="G64">
        <f t="shared" si="116"/>
        <v>382461.79039979418</v>
      </c>
      <c r="H64">
        <f t="shared" si="165"/>
        <v>493300.36196585558</v>
      </c>
      <c r="I64">
        <f t="shared" si="165"/>
        <v>608033.01236658299</v>
      </c>
      <c r="J64">
        <f t="shared" si="165"/>
        <v>726709.00371296867</v>
      </c>
      <c r="K64">
        <f t="shared" si="166"/>
        <v>850336.81136251346</v>
      </c>
      <c r="L64">
        <f t="shared" si="118"/>
        <v>979687.43599342986</v>
      </c>
      <c r="M64">
        <f t="shared" si="119"/>
        <v>1113820.425023223</v>
      </c>
      <c r="N64">
        <f t="shared" si="120"/>
        <v>1252912.5925129682</v>
      </c>
      <c r="O64">
        <f t="shared" si="121"/>
        <v>1397147.2897111212</v>
      </c>
      <c r="P64">
        <f t="shared" si="122"/>
        <v>1546714.6467470706</v>
      </c>
      <c r="Q64">
        <f t="shared" si="123"/>
        <v>1704576.8423345627</v>
      </c>
      <c r="R64">
        <f t="shared" si="124"/>
        <v>1870025.1106551571</v>
      </c>
      <c r="S64">
        <f t="shared" si="125"/>
        <v>2042015.7123755228</v>
      </c>
      <c r="T64">
        <f t="shared" si="126"/>
        <v>2220807.351480586</v>
      </c>
      <c r="U64">
        <f t="shared" si="127"/>
        <v>2397801.5529517625</v>
      </c>
      <c r="V64">
        <f t="shared" si="128"/>
        <v>2577991.5731704021</v>
      </c>
      <c r="W64">
        <f t="shared" si="129"/>
        <v>2764374.6925830827</v>
      </c>
      <c r="X64">
        <f t="shared" si="130"/>
        <v>2957163.7669161162</v>
      </c>
      <c r="Y64">
        <f t="shared" si="131"/>
        <v>3156578.967709559</v>
      </c>
      <c r="Z64">
        <f t="shared" si="132"/>
        <v>3362848.0337604396</v>
      </c>
      <c r="AA64">
        <f t="shared" si="133"/>
        <v>3576206.5312080514</v>
      </c>
      <c r="AB64">
        <f t="shared" si="134"/>
        <v>3796898.1225583209</v>
      </c>
      <c r="AC64">
        <f t="shared" si="135"/>
        <v>4025174.8449544995</v>
      </c>
      <c r="AD64">
        <f t="shared" si="136"/>
        <v>4261297.3980119722</v>
      </c>
      <c r="AE64">
        <f t="shared" si="137"/>
        <v>4505535.4415458916</v>
      </c>
      <c r="AI64">
        <f t="shared" si="112"/>
        <v>73481.21612322297</v>
      </c>
      <c r="AJ64">
        <f t="shared" si="138"/>
        <v>175729.44341665023</v>
      </c>
      <c r="AK64">
        <f t="shared" si="139"/>
        <v>283084.79096683115</v>
      </c>
      <c r="AL64">
        <f t="shared" si="140"/>
        <v>395802.35050500993</v>
      </c>
      <c r="AM64">
        <f t="shared" si="141"/>
        <v>514149.95514858962</v>
      </c>
      <c r="AN64">
        <f t="shared" si="142"/>
        <v>638408.81581110228</v>
      </c>
      <c r="AO64">
        <f t="shared" si="143"/>
        <v>768874.18939974613</v>
      </c>
      <c r="AP64">
        <f t="shared" si="144"/>
        <v>905856.08038822084</v>
      </c>
      <c r="AQ64">
        <f t="shared" si="145"/>
        <v>1049679.977431901</v>
      </c>
      <c r="AR64">
        <f t="shared" si="146"/>
        <v>1200687.6267756491</v>
      </c>
      <c r="AS64">
        <f t="shared" si="147"/>
        <v>1359237.8442919976</v>
      </c>
      <c r="AT64">
        <f t="shared" si="148"/>
        <v>1525707.368079219</v>
      </c>
      <c r="AU64">
        <f t="shared" si="149"/>
        <v>1700491.7536451784</v>
      </c>
      <c r="AV64">
        <f t="shared" si="150"/>
        <v>1884006.3138040572</v>
      </c>
      <c r="AW64">
        <f t="shared" si="151"/>
        <v>2076687.1055192742</v>
      </c>
      <c r="AX64">
        <f t="shared" si="152"/>
        <v>2278991.9660374857</v>
      </c>
      <c r="AY64">
        <f t="shared" si="153"/>
        <v>2491401.600775667</v>
      </c>
      <c r="AZ64">
        <f t="shared" si="154"/>
        <v>2714420.7255462566</v>
      </c>
      <c r="BA64">
        <f t="shared" si="155"/>
        <v>2948579.2658344442</v>
      </c>
      <c r="BB64">
        <f t="shared" si="156"/>
        <v>3194433.6159772691</v>
      </c>
      <c r="BC64">
        <f t="shared" si="157"/>
        <v>3452567.9612365095</v>
      </c>
      <c r="BD64">
        <f t="shared" si="158"/>
        <v>3723595.6659068037</v>
      </c>
      <c r="BE64">
        <f t="shared" si="159"/>
        <v>4008160.7307573473</v>
      </c>
      <c r="BF64">
        <f t="shared" si="160"/>
        <v>4306939.3232702529</v>
      </c>
      <c r="BG64">
        <f t="shared" si="161"/>
        <v>4620641.3843116434</v>
      </c>
      <c r="BH64">
        <f t="shared" si="162"/>
        <v>4950012.315053165</v>
      </c>
      <c r="BI64">
        <f t="shared" si="163"/>
        <v>5295834.7481522635</v>
      </c>
      <c r="BJ64">
        <f t="shared" si="164"/>
        <v>5658930.4073998388</v>
      </c>
    </row>
    <row r="65" spans="1:62" x14ac:dyDescent="0.3">
      <c r="D65">
        <f t="shared" si="109"/>
        <v>81157.43908205413</v>
      </c>
      <c r="E65">
        <f t="shared" si="114"/>
        <v>181380.42592852763</v>
      </c>
      <c r="F65">
        <f t="shared" si="115"/>
        <v>284787.85117240163</v>
      </c>
      <c r="G65">
        <f t="shared" si="116"/>
        <v>391480.89567273762</v>
      </c>
      <c r="H65">
        <f t="shared" si="165"/>
        <v>502714.0289865993</v>
      </c>
      <c r="I65">
        <f t="shared" si="165"/>
        <v>617770.22546145681</v>
      </c>
      <c r="J65">
        <f t="shared" si="165"/>
        <v>736780.88310343924</v>
      </c>
      <c r="K65">
        <f t="shared" si="166"/>
        <v>860937.5719009419</v>
      </c>
      <c r="L65">
        <f t="shared" si="118"/>
        <v>990680.12892448995</v>
      </c>
      <c r="M65">
        <f t="shared" si="119"/>
        <v>1125219.5409110435</v>
      </c>
      <c r="N65">
        <f t="shared" si="120"/>
        <v>1264733.1576682825</v>
      </c>
      <c r="O65">
        <f t="shared" si="121"/>
        <v>1409404.8859989459</v>
      </c>
      <c r="P65">
        <f t="shared" si="122"/>
        <v>1559425.4321267144</v>
      </c>
      <c r="Q65">
        <f t="shared" si="123"/>
        <v>1718120.4535731997</v>
      </c>
      <c r="R65">
        <f t="shared" si="124"/>
        <v>1884104.277938348</v>
      </c>
      <c r="S65">
        <f t="shared" si="125"/>
        <v>2056651.6132364825</v>
      </c>
      <c r="T65">
        <f t="shared" si="126"/>
        <v>2236022.0008773287</v>
      </c>
      <c r="U65">
        <f t="shared" si="127"/>
        <v>2412585.9133310867</v>
      </c>
      <c r="V65">
        <f t="shared" si="128"/>
        <v>2593284.0694067422</v>
      </c>
      <c r="W65">
        <f t="shared" si="129"/>
        <v>2780192.7892161668</v>
      </c>
      <c r="X65">
        <f t="shared" si="130"/>
        <v>2973525.5287388195</v>
      </c>
      <c r="Y65">
        <f t="shared" si="131"/>
        <v>3173503.0803985</v>
      </c>
      <c r="Z65">
        <f t="shared" si="132"/>
        <v>3380353.8252156442</v>
      </c>
      <c r="AA65">
        <f t="shared" si="133"/>
        <v>3594313.9936260581</v>
      </c>
      <c r="AB65">
        <f t="shared" si="134"/>
        <v>3815627.9352639355</v>
      </c>
      <c r="AC65">
        <f t="shared" si="135"/>
        <v>4044548.3980172714</v>
      </c>
      <c r="AD65">
        <f t="shared" si="136"/>
        <v>4281336.8166743657</v>
      </c>
      <c r="AE65">
        <f t="shared" si="137"/>
        <v>4526263.6114910506</v>
      </c>
      <c r="AI65">
        <f t="shared" si="112"/>
        <v>81812.844672844483</v>
      </c>
      <c r="AJ65">
        <f t="shared" si="138"/>
        <v>184477.222251356</v>
      </c>
      <c r="AK65">
        <f t="shared" si="139"/>
        <v>292269.50606606615</v>
      </c>
      <c r="AL65">
        <f t="shared" si="140"/>
        <v>405445.82607156533</v>
      </c>
      <c r="AM65">
        <f t="shared" si="141"/>
        <v>524275.10546604439</v>
      </c>
      <c r="AN65">
        <f t="shared" si="142"/>
        <v>649039.69969145348</v>
      </c>
      <c r="AO65">
        <f t="shared" si="143"/>
        <v>780036.06735060306</v>
      </c>
      <c r="AP65">
        <f t="shared" si="144"/>
        <v>917575.47463540093</v>
      </c>
      <c r="AQ65">
        <f t="shared" si="145"/>
        <v>1061984.7349400488</v>
      </c>
      <c r="AR65">
        <f t="shared" si="146"/>
        <v>1213606.9854166261</v>
      </c>
      <c r="AS65">
        <f t="shared" si="147"/>
        <v>1372802.5023182661</v>
      </c>
      <c r="AT65">
        <f t="shared" si="148"/>
        <v>1539949.5570673014</v>
      </c>
      <c r="AU65">
        <f t="shared" si="149"/>
        <v>1715445.3150825142</v>
      </c>
      <c r="AV65">
        <f t="shared" si="150"/>
        <v>1899706.7795012398</v>
      </c>
      <c r="AW65">
        <f t="shared" si="151"/>
        <v>2093171.7820387378</v>
      </c>
      <c r="AX65">
        <f t="shared" si="152"/>
        <v>2296300.0233392585</v>
      </c>
      <c r="AY65">
        <f t="shared" si="153"/>
        <v>2509574.1652908241</v>
      </c>
      <c r="AZ65">
        <f t="shared" si="154"/>
        <v>2733500.9778992301</v>
      </c>
      <c r="BA65">
        <f t="shared" si="155"/>
        <v>2968612.5434463904</v>
      </c>
      <c r="BB65">
        <f t="shared" si="156"/>
        <v>3215467.5207942966</v>
      </c>
      <c r="BC65">
        <f t="shared" si="157"/>
        <v>3474652.4728387422</v>
      </c>
      <c r="BD65">
        <f t="shared" si="158"/>
        <v>3746783.2602670444</v>
      </c>
      <c r="BE65">
        <f t="shared" si="159"/>
        <v>4032506.50493153</v>
      </c>
      <c r="BF65">
        <f t="shared" si="160"/>
        <v>4332501.1263159625</v>
      </c>
      <c r="BG65">
        <f t="shared" si="161"/>
        <v>4647479.9547457919</v>
      </c>
      <c r="BH65">
        <f t="shared" si="162"/>
        <v>4978191.4251754312</v>
      </c>
      <c r="BI65">
        <f t="shared" si="163"/>
        <v>5325421.3555772435</v>
      </c>
      <c r="BJ65">
        <f t="shared" si="164"/>
        <v>5689994.8141579563</v>
      </c>
    </row>
    <row r="66" spans="1:62" x14ac:dyDescent="0.3">
      <c r="D66">
        <f t="shared" si="109"/>
        <v>89390.139998058294</v>
      </c>
      <c r="E66">
        <f>(E65+8000)*1.00407-(0.00146*(E65+8000))</f>
        <v>189874.70884020108</v>
      </c>
      <c r="F66">
        <f>(F65+8000)*1.00407-(0.00146*(F65+8000))</f>
        <v>293552.02746396163</v>
      </c>
      <c r="G66">
        <f>(G65+8000)*1.00407-(0.00125*(G65+8000))</f>
        <v>400607.43179853476</v>
      </c>
      <c r="H66">
        <f t="shared" si="165"/>
        <v>512154.24254834151</v>
      </c>
      <c r="I66">
        <f t="shared" si="165"/>
        <v>627534.89749725815</v>
      </c>
      <c r="J66">
        <f t="shared" si="165"/>
        <v>746881.16519379092</v>
      </c>
      <c r="K66">
        <f t="shared" si="166"/>
        <v>871570.45274380175</v>
      </c>
      <c r="L66">
        <f t="shared" si="118"/>
        <v>1001706.1297151312</v>
      </c>
      <c r="M66">
        <f t="shared" si="119"/>
        <v>1136653.1961200039</v>
      </c>
      <c r="N66">
        <f t="shared" si="120"/>
        <v>1276589.5391360174</v>
      </c>
      <c r="O66">
        <f t="shared" si="121"/>
        <v>1421699.6228035227</v>
      </c>
      <c r="P66">
        <f t="shared" si="122"/>
        <v>1572174.7311860584</v>
      </c>
      <c r="Q66">
        <f t="shared" si="123"/>
        <v>1731707.905481416</v>
      </c>
      <c r="R66">
        <f t="shared" si="124"/>
        <v>1898229.0194860343</v>
      </c>
      <c r="S66">
        <f t="shared" si="125"/>
        <v>2071334.890508529</v>
      </c>
      <c r="T66">
        <f t="shared" si="126"/>
        <v>2251285.9000941687</v>
      </c>
      <c r="U66">
        <f t="shared" si="127"/>
        <v>2427411.9656066806</v>
      </c>
      <c r="V66">
        <f t="shared" si="128"/>
        <v>2608619.6904824693</v>
      </c>
      <c r="W66">
        <f t="shared" si="129"/>
        <v>2796055.4928817563</v>
      </c>
      <c r="X66">
        <f t="shared" si="130"/>
        <v>2989933.4307298632</v>
      </c>
      <c r="Y66">
        <f t="shared" si="131"/>
        <v>3190474.9190852237</v>
      </c>
      <c r="Z66">
        <f t="shared" si="132"/>
        <v>3397908.9830027525</v>
      </c>
      <c r="AA66">
        <f t="shared" si="133"/>
        <v>3612472.5190880834</v>
      </c>
      <c r="AB66">
        <f t="shared" si="134"/>
        <v>3834410.5660413797</v>
      </c>
      <c r="AC66">
        <f t="shared" si="135"/>
        <v>4063976.5844996804</v>
      </c>
      <c r="AD66">
        <f t="shared" si="136"/>
        <v>4301432.7464973871</v>
      </c>
      <c r="AE66">
        <f t="shared" si="137"/>
        <v>4547050.2348754555</v>
      </c>
      <c r="AI66">
        <f t="shared" si="112"/>
        <v>90178.382950662955</v>
      </c>
      <c r="AJ66">
        <f t="shared" si="138"/>
        <v>193260.60454591902</v>
      </c>
      <c r="AK66">
        <f t="shared" si="139"/>
        <v>301491.60295575502</v>
      </c>
      <c r="AL66">
        <f t="shared" si="140"/>
        <v>415128.55058367661</v>
      </c>
      <c r="AM66">
        <f t="shared" si="141"/>
        <v>534441.46514529118</v>
      </c>
      <c r="AN66">
        <f t="shared" si="142"/>
        <v>659713.85126919777</v>
      </c>
      <c r="AO66">
        <f t="shared" si="143"/>
        <v>791243.37414472003</v>
      </c>
      <c r="AP66">
        <f t="shared" si="144"/>
        <v>929342.56681716698</v>
      </c>
      <c r="AQ66">
        <f t="shared" si="145"/>
        <v>1074339.5728112548</v>
      </c>
      <c r="AR66">
        <f t="shared" si="146"/>
        <v>1226578.9258472717</v>
      </c>
      <c r="AS66">
        <f t="shared" si="147"/>
        <v>1386422.3685027014</v>
      </c>
      <c r="AT66">
        <f t="shared" si="148"/>
        <v>1554249.7117645652</v>
      </c>
      <c r="AU66">
        <f t="shared" si="149"/>
        <v>1730459.7375149</v>
      </c>
      <c r="AV66">
        <f t="shared" si="150"/>
        <v>1915471.1460938097</v>
      </c>
      <c r="AW66">
        <f t="shared" si="151"/>
        <v>2109723.5511916359</v>
      </c>
      <c r="AX66">
        <f t="shared" si="152"/>
        <v>2313678.5244342494</v>
      </c>
      <c r="AY66">
        <f t="shared" si="153"/>
        <v>2527820.6921435581</v>
      </c>
      <c r="AZ66">
        <f t="shared" si="154"/>
        <v>2752658.8868792802</v>
      </c>
      <c r="BA66">
        <f t="shared" si="155"/>
        <v>2988727.3564982172</v>
      </c>
      <c r="BB66">
        <f t="shared" si="156"/>
        <v>3236587.0336039294</v>
      </c>
      <c r="BC66">
        <f t="shared" si="157"/>
        <v>3496826.8684031959</v>
      </c>
      <c r="BD66">
        <f t="shared" si="158"/>
        <v>3770065.2281363313</v>
      </c>
      <c r="BE66">
        <f t="shared" si="159"/>
        <v>4056951.3664066014</v>
      </c>
      <c r="BF66">
        <f t="shared" si="160"/>
        <v>4358166.9659000682</v>
      </c>
      <c r="BG66">
        <f t="shared" si="161"/>
        <v>4674427.7581616072</v>
      </c>
      <c r="BH66">
        <f t="shared" si="162"/>
        <v>5006485.2242758954</v>
      </c>
      <c r="BI66">
        <f t="shared" si="163"/>
        <v>5355128.3804944428</v>
      </c>
      <c r="BJ66">
        <f t="shared" si="164"/>
        <v>5721185.6530515794</v>
      </c>
    </row>
    <row r="67" spans="1:62" x14ac:dyDescent="0.3">
      <c r="D67">
        <f t="shared" si="109"/>
        <v>97644.328263453222</v>
      </c>
      <c r="E67">
        <f>(E66+8000)*1.00407-(0.00146*(E66+8000))</f>
        <v>198391.16183027404</v>
      </c>
      <c r="F67">
        <f>(F66+8000)*1.00407-(0.00146*(F66+8000))</f>
        <v>302339.07825564255</v>
      </c>
      <c r="G67">
        <f>(G66+8000)*1.00407-(0.00125*(G66+8000))</f>
        <v>409759.70475620666</v>
      </c>
      <c r="H67">
        <f t="shared" si="165"/>
        <v>521621.07751232781</v>
      </c>
      <c r="I67">
        <f t="shared" si="165"/>
        <v>637327.10590820038</v>
      </c>
      <c r="J67">
        <f t="shared" si="165"/>
        <v>757009.93007963744</v>
      </c>
      <c r="K67">
        <f t="shared" si="166"/>
        <v>882235.55121561547</v>
      </c>
      <c r="L67">
        <f t="shared" si="118"/>
        <v>1012765.5392881682</v>
      </c>
      <c r="M67">
        <f t="shared" si="119"/>
        <v>1148121.4953042476</v>
      </c>
      <c r="N67">
        <f t="shared" si="120"/>
        <v>1288481.8454395996</v>
      </c>
      <c r="O67">
        <f t="shared" si="121"/>
        <v>1434031.6126606176</v>
      </c>
      <c r="P67">
        <f t="shared" si="122"/>
        <v>1584962.6606215523</v>
      </c>
      <c r="Q67">
        <f t="shared" si="123"/>
        <v>1745339.3399714595</v>
      </c>
      <c r="R67">
        <f t="shared" si="124"/>
        <v>1912399.4828221106</v>
      </c>
      <c r="S67">
        <f t="shared" si="125"/>
        <v>2086065.6975491052</v>
      </c>
      <c r="T67">
        <f t="shared" si="126"/>
        <v>2266599.2085527736</v>
      </c>
      <c r="U67">
        <f t="shared" si="127"/>
        <v>2442279.8273496917</v>
      </c>
      <c r="V67">
        <f t="shared" si="128"/>
        <v>2623998.5580096301</v>
      </c>
      <c r="W67" s="3">
        <f t="shared" si="129"/>
        <v>2811962.9293716829</v>
      </c>
      <c r="X67">
        <f t="shared" si="130"/>
        <v>3006387.6030045217</v>
      </c>
      <c r="Y67">
        <f t="shared" si="131"/>
        <v>3207494.6183570442</v>
      </c>
      <c r="Z67">
        <f t="shared" si="132"/>
        <v>3415513.6463348204</v>
      </c>
      <c r="AA67">
        <f t="shared" si="133"/>
        <v>3630682.251591912</v>
      </c>
      <c r="AB67" s="3">
        <f t="shared" si="134"/>
        <v>3853246.1638376168</v>
      </c>
      <c r="AC67">
        <f t="shared" si="135"/>
        <v>4083459.5584679698</v>
      </c>
      <c r="AD67">
        <f t="shared" si="136"/>
        <v>4321585.3468425097</v>
      </c>
      <c r="AE67">
        <f t="shared" si="137"/>
        <v>4567895.4765378051</v>
      </c>
      <c r="AI67">
        <f t="shared" si="112"/>
        <v>98577.968969272159</v>
      </c>
      <c r="AJ67">
        <f t="shared" si="138"/>
        <v>202079.73520642091</v>
      </c>
      <c r="AK67">
        <f t="shared" si="139"/>
        <v>310751.23377978493</v>
      </c>
      <c r="AL67">
        <f t="shared" si="140"/>
        <v>424850.68378455221</v>
      </c>
      <c r="AM67">
        <f t="shared" si="141"/>
        <v>544649.20190843253</v>
      </c>
      <c r="AN67">
        <f t="shared" si="142"/>
        <v>670431.44664386346</v>
      </c>
      <c r="AO67">
        <f t="shared" si="143"/>
        <v>802496.29467748909</v>
      </c>
      <c r="AP67">
        <f t="shared" si="144"/>
        <v>941157.55106411292</v>
      </c>
      <c r="AQ67">
        <f t="shared" si="145"/>
        <v>1086744.6948725965</v>
      </c>
      <c r="AR67">
        <f t="shared" si="146"/>
        <v>1239603.6620754702</v>
      </c>
      <c r="AS67">
        <f t="shared" si="147"/>
        <v>1400097.6675425074</v>
      </c>
      <c r="AT67">
        <f t="shared" si="148"/>
        <v>1568608.068091447</v>
      </c>
      <c r="AU67">
        <f t="shared" si="149"/>
        <v>1745535.2686465858</v>
      </c>
      <c r="AV67">
        <f t="shared" si="150"/>
        <v>1931299.6736584115</v>
      </c>
      <c r="AW67">
        <f t="shared" si="151"/>
        <v>2126342.6860449859</v>
      </c>
      <c r="AX67">
        <f t="shared" si="152"/>
        <v>2331127.7560286969</v>
      </c>
      <c r="AY67">
        <f t="shared" si="153"/>
        <v>2546141.4823605823</v>
      </c>
      <c r="AZ67">
        <f t="shared" si="154"/>
        <v>2771894.7685488788</v>
      </c>
      <c r="BA67">
        <f t="shared" si="155"/>
        <v>3008924.0368391648</v>
      </c>
      <c r="BB67" s="3">
        <f t="shared" si="156"/>
        <v>3257792.5028306977</v>
      </c>
      <c r="BC67">
        <f t="shared" si="157"/>
        <v>3519091.5137575967</v>
      </c>
      <c r="BD67">
        <f t="shared" si="158"/>
        <v>3793441.9536148463</v>
      </c>
      <c r="BE67">
        <f t="shared" si="159"/>
        <v>4081495.7184678763</v>
      </c>
      <c r="BF67">
        <f t="shared" si="160"/>
        <v>4383937.2654512813</v>
      </c>
      <c r="BG67" s="3">
        <f t="shared" si="161"/>
        <v>4701485.2391373254</v>
      </c>
      <c r="BH67">
        <f t="shared" si="162"/>
        <v>5034894.1791386986</v>
      </c>
      <c r="BI67">
        <f t="shared" si="163"/>
        <v>5384956.3130030548</v>
      </c>
      <c r="BJ67">
        <f t="shared" si="164"/>
        <v>5752503.4386594994</v>
      </c>
    </row>
    <row r="70" spans="1:62" x14ac:dyDescent="0.3">
      <c r="D70" t="s">
        <v>57</v>
      </c>
      <c r="AI70" t="s">
        <v>57</v>
      </c>
      <c r="AJ70" t="s">
        <v>66</v>
      </c>
    </row>
    <row r="71" spans="1:62" x14ac:dyDescent="0.3">
      <c r="D71" t="s">
        <v>58</v>
      </c>
      <c r="AI71" t="s">
        <v>58</v>
      </c>
    </row>
    <row r="72" spans="1:62" x14ac:dyDescent="0.3">
      <c r="D72" t="s">
        <v>77</v>
      </c>
      <c r="AI72" t="s">
        <v>77</v>
      </c>
    </row>
    <row r="73" spans="1:62" x14ac:dyDescent="0.3">
      <c r="D73" t="s">
        <v>15</v>
      </c>
      <c r="E73" t="s">
        <v>16</v>
      </c>
      <c r="F73" t="s">
        <v>17</v>
      </c>
      <c r="G73" t="s">
        <v>18</v>
      </c>
      <c r="H73" t="s">
        <v>19</v>
      </c>
      <c r="I73" t="s">
        <v>20</v>
      </c>
      <c r="J73" t="s">
        <v>21</v>
      </c>
      <c r="K73" t="s">
        <v>22</v>
      </c>
      <c r="L73" t="s">
        <v>23</v>
      </c>
      <c r="M73" t="s">
        <v>24</v>
      </c>
      <c r="N73" t="s">
        <v>25</v>
      </c>
      <c r="O73" t="s">
        <v>26</v>
      </c>
      <c r="P73" t="s">
        <v>27</v>
      </c>
      <c r="Q73" t="s">
        <v>28</v>
      </c>
      <c r="R73" t="s">
        <v>29</v>
      </c>
      <c r="S73" t="s">
        <v>30</v>
      </c>
      <c r="T73" t="s">
        <v>31</v>
      </c>
      <c r="U73" t="s">
        <v>32</v>
      </c>
      <c r="V73" t="s">
        <v>33</v>
      </c>
      <c r="W73" t="s">
        <v>34</v>
      </c>
      <c r="X73" t="s">
        <v>35</v>
      </c>
      <c r="Y73" t="s">
        <v>36</v>
      </c>
      <c r="Z73" t="s">
        <v>37</v>
      </c>
      <c r="AA73" t="s">
        <v>38</v>
      </c>
      <c r="AB73" t="s">
        <v>39</v>
      </c>
      <c r="AC73" t="s">
        <v>67</v>
      </c>
      <c r="AD73" t="s">
        <v>68</v>
      </c>
      <c r="AE73" t="s">
        <v>69</v>
      </c>
      <c r="AI73" t="s">
        <v>15</v>
      </c>
      <c r="AJ73" t="s">
        <v>16</v>
      </c>
      <c r="AK73" t="s">
        <v>17</v>
      </c>
      <c r="AL73" t="s">
        <v>18</v>
      </c>
      <c r="AM73" t="s">
        <v>19</v>
      </c>
      <c r="AN73" t="s">
        <v>20</v>
      </c>
      <c r="AO73" t="s">
        <v>21</v>
      </c>
      <c r="AP73" t="s">
        <v>22</v>
      </c>
      <c r="AQ73" t="s">
        <v>23</v>
      </c>
      <c r="AR73" t="s">
        <v>24</v>
      </c>
      <c r="AS73" t="s">
        <v>25</v>
      </c>
      <c r="AT73" t="s">
        <v>26</v>
      </c>
      <c r="AU73" t="s">
        <v>27</v>
      </c>
      <c r="AV73" t="s">
        <v>28</v>
      </c>
      <c r="AW73" t="s">
        <v>29</v>
      </c>
      <c r="AX73" t="s">
        <v>30</v>
      </c>
      <c r="AY73" t="s">
        <v>31</v>
      </c>
      <c r="AZ73" t="s">
        <v>32</v>
      </c>
      <c r="BA73" t="s">
        <v>33</v>
      </c>
      <c r="BB73" t="s">
        <v>34</v>
      </c>
      <c r="BC73" t="s">
        <v>35</v>
      </c>
      <c r="BD73" t="s">
        <v>36</v>
      </c>
      <c r="BE73" t="s">
        <v>37</v>
      </c>
      <c r="BF73" t="s">
        <v>38</v>
      </c>
      <c r="BG73" t="s">
        <v>39</v>
      </c>
      <c r="BH73" t="s">
        <v>67</v>
      </c>
      <c r="BI73" t="s">
        <v>68</v>
      </c>
      <c r="BJ73" t="s">
        <v>69</v>
      </c>
    </row>
    <row r="74" spans="1:62" x14ac:dyDescent="0.3">
      <c r="D74">
        <v>0</v>
      </c>
      <c r="AI74">
        <v>0</v>
      </c>
    </row>
    <row r="75" spans="1:62" x14ac:dyDescent="0.3">
      <c r="D75">
        <f t="shared" ref="D75:D86" si="167">(D74+8000)*1.00487-(0.00146*(D74+8000))</f>
        <v>8027.2799999999988</v>
      </c>
      <c r="E75">
        <f>(D86+8000)*1.00487-(0.00146*(D86+8000))</f>
        <v>106516.66073566944</v>
      </c>
      <c r="F75">
        <f>(E86+8000)*1.00487-(0.00146*(E86+8000))</f>
        <v>209112.67884969607</v>
      </c>
      <c r="G75">
        <f>(F86+8000)*1.00487-(0.00146*(F86+8000))</f>
        <v>315986.56570155593</v>
      </c>
      <c r="H75">
        <f>(G86+8000)*1.00487-(0.00125*(G86+8000))</f>
        <v>427579.99565194943</v>
      </c>
      <c r="I75">
        <f>(H86+8000)*1.00487-(0.00125*(H86+8000))</f>
        <v>544817.51541475602</v>
      </c>
      <c r="J75">
        <f>(I86+8000)*1.00487-(0.00125*(I86+8000))</f>
        <v>667250.46419615275</v>
      </c>
      <c r="K75">
        <f>(J86+8000)*1.00487-(0.00125*(J86+8000))</f>
        <v>795109.079574876</v>
      </c>
      <c r="L75">
        <f t="shared" ref="L75:Q75" si="168">(K86+8000)*1.00487-(0.00104*(K86+8000))</f>
        <v>930322.98778723169</v>
      </c>
      <c r="M75">
        <f t="shared" si="168"/>
        <v>1072416.7266252562</v>
      </c>
      <c r="N75">
        <f t="shared" si="168"/>
        <v>1221180.4328927633</v>
      </c>
      <c r="O75">
        <f t="shared" si="168"/>
        <v>1376927.1989601417</v>
      </c>
      <c r="P75">
        <f t="shared" si="168"/>
        <v>1539984.8139460685</v>
      </c>
      <c r="Q75">
        <f t="shared" si="168"/>
        <v>1710696.4535919072</v>
      </c>
      <c r="R75">
        <f>(Q86+8000)*1.00487-(0.000833*(Q86+8000))</f>
        <v>1893991.2458246506</v>
      </c>
      <c r="S75">
        <f>(R86+8000)*1.00487-(0.000833*(R86+8000))</f>
        <v>2086365.4050084178</v>
      </c>
      <c r="T75">
        <f>(S86+8000)*1.00487-(0.000833*(S86+8000))</f>
        <v>2288268.6706214962</v>
      </c>
      <c r="U75">
        <f t="shared" ref="U75:AE75" si="169">(T86+8000)*1.00487-(0.00125*(T86+8000))</f>
        <v>2499134.679417388</v>
      </c>
      <c r="V75">
        <f t="shared" si="169"/>
        <v>2708173.9989743736</v>
      </c>
      <c r="W75">
        <f t="shared" si="169"/>
        <v>2926476.982152442</v>
      </c>
      <c r="X75">
        <f t="shared" si="169"/>
        <v>3154454.1520238388</v>
      </c>
      <c r="Y75">
        <f t="shared" si="169"/>
        <v>3392534.224159989</v>
      </c>
      <c r="Z75">
        <f t="shared" si="169"/>
        <v>3641164.9128396031</v>
      </c>
      <c r="AA75">
        <f t="shared" si="169"/>
        <v>3900813.7729842179</v>
      </c>
      <c r="AB75">
        <f t="shared" si="169"/>
        <v>4171969.0794044663</v>
      </c>
      <c r="AC75">
        <f t="shared" si="169"/>
        <v>4455140.7450104989</v>
      </c>
      <c r="AD75">
        <f t="shared" si="169"/>
        <v>4750861.2797132898</v>
      </c>
      <c r="AE75">
        <f t="shared" si="169"/>
        <v>5059686.79182004</v>
      </c>
      <c r="AI75">
        <f t="shared" ref="AI75:AI86" si="170">(AI74+8000)*1.00487-0</f>
        <v>8038.9599999999991</v>
      </c>
      <c r="AJ75">
        <f t="shared" ref="AJ75:BJ75" si="171">(AI86+8000)*1.00487-0</f>
        <v>107615.35762227334</v>
      </c>
      <c r="AK75">
        <f t="shared" si="171"/>
        <v>213169.42659772039</v>
      </c>
      <c r="AL75">
        <f t="shared" si="171"/>
        <v>325060.01255301357</v>
      </c>
      <c r="AM75">
        <f t="shared" si="171"/>
        <v>443667.50297890173</v>
      </c>
      <c r="AN75">
        <f t="shared" si="171"/>
        <v>569395.12040998763</v>
      </c>
      <c r="AO75">
        <f t="shared" si="171"/>
        <v>702670.29323538998</v>
      </c>
      <c r="AP75">
        <f t="shared" si="171"/>
        <v>843946.10880054813</v>
      </c>
      <c r="AQ75">
        <f t="shared" si="171"/>
        <v>993702.8537401912</v>
      </c>
      <c r="AR75">
        <f t="shared" si="171"/>
        <v>1152449.6467790441</v>
      </c>
      <c r="AS75">
        <f t="shared" si="171"/>
        <v>1320726.1695512035</v>
      </c>
      <c r="AT75">
        <f t="shared" si="171"/>
        <v>1499104.5013223439</v>
      </c>
      <c r="AU75">
        <f t="shared" si="171"/>
        <v>1688191.063852143</v>
      </c>
      <c r="AV75">
        <f t="shared" si="171"/>
        <v>1888628.6830087551</v>
      </c>
      <c r="AW75">
        <f t="shared" si="171"/>
        <v>2101098.7741440767</v>
      </c>
      <c r="AX75">
        <f t="shared" si="171"/>
        <v>2326323.6586592882</v>
      </c>
      <c r="AY75">
        <f t="shared" si="171"/>
        <v>2565069.019636156</v>
      </c>
      <c r="AZ75">
        <f t="shared" si="171"/>
        <v>2818146.5048823529</v>
      </c>
      <c r="BA75">
        <f t="shared" si="171"/>
        <v>3086416.4862402086</v>
      </c>
      <c r="BB75">
        <f t="shared" si="171"/>
        <v>3370790.9845395428</v>
      </c>
      <c r="BC75">
        <f t="shared" si="171"/>
        <v>3672236.7701383573</v>
      </c>
      <c r="BD75">
        <f t="shared" si="171"/>
        <v>3991778.6495921072</v>
      </c>
      <c r="BE75">
        <f t="shared" si="171"/>
        <v>4330502.9496250357</v>
      </c>
      <c r="BF75">
        <f t="shared" si="171"/>
        <v>4689561.2102478147</v>
      </c>
      <c r="BG75">
        <f t="shared" si="171"/>
        <v>5070174.0995767545</v>
      </c>
      <c r="BH75">
        <f t="shared" si="171"/>
        <v>5473635.5636635497</v>
      </c>
      <c r="BI75">
        <f t="shared" si="171"/>
        <v>5901317.2254434749</v>
      </c>
      <c r="BJ75">
        <f t="shared" si="171"/>
        <v>6354673.0477568768</v>
      </c>
    </row>
    <row r="76" spans="1:62" x14ac:dyDescent="0.3">
      <c r="D76">
        <f t="shared" si="167"/>
        <v>16081.933024799997</v>
      </c>
      <c r="E76">
        <f t="shared" ref="E76:E84" si="172">(E75+8000)*1.00487-(0.00146*(E75+8000))</f>
        <v>114907.16254877807</v>
      </c>
      <c r="F76">
        <f t="shared" ref="F76:F84" si="173">(F75+8000)*1.00487-(0.00146*(F75+8000))</f>
        <v>217853.03308457352</v>
      </c>
      <c r="G76">
        <f t="shared" ref="G76:G84" si="174">(G75+8000)*1.00487-(0.00146*(G75+8000))</f>
        <v>325091.35989059822</v>
      </c>
      <c r="H76">
        <f t="shared" ref="H76:K78" si="175">(H75+8000)*1.00487-(0.00125*(H75+8000))</f>
        <v>437156.79523620947</v>
      </c>
      <c r="I76">
        <f t="shared" si="175"/>
        <v>554818.71482055739</v>
      </c>
      <c r="J76">
        <f t="shared" si="175"/>
        <v>677694.87087654276</v>
      </c>
      <c r="K76">
        <f t="shared" si="175"/>
        <v>806016.33444293693</v>
      </c>
      <c r="L76">
        <f t="shared" ref="L76:L86" si="176">(L75+8000)*1.00487-(0.00104*(L75+8000))</f>
        <v>941916.7648304567</v>
      </c>
      <c r="M76">
        <f t="shared" ref="M76:M86" si="177">(M75+8000)*1.00487-(0.00104*(M75+8000))</f>
        <v>1084554.7226882309</v>
      </c>
      <c r="N76">
        <f t="shared" ref="N76:N86" si="178">(N75+8000)*1.00487-(0.00104*(N75+8000))</f>
        <v>1233888.1939507425</v>
      </c>
      <c r="O76">
        <f t="shared" ref="O76:O86" si="179">(O75+8000)*1.00487-(0.00104*(O75+8000))</f>
        <v>1390231.4701321588</v>
      </c>
      <c r="P76">
        <f t="shared" ref="P76:P86" si="180">(P75+8000)*1.00487-(0.00104*(P75+8000))</f>
        <v>1553913.5957834818</v>
      </c>
      <c r="Q76">
        <f t="shared" ref="Q76:Q86" si="181">(Q75+8000)*1.00487-(0.000833*(Q75+8000))</f>
        <v>1725634.8311750577</v>
      </c>
      <c r="R76">
        <f t="shared" ref="R76:R86" si="182">(R75+8000)*1.00487-(0.000833*(R75+8000))</f>
        <v>1909669.5844840447</v>
      </c>
      <c r="S76">
        <f t="shared" ref="S76:S86" si="183">(S75+8000)*1.00487-(0.000833*(S75+8000))</f>
        <v>2102820.358148437</v>
      </c>
      <c r="T76">
        <f t="shared" ref="T76:T86" si="184">(T75+8000)*1.00487-(0.000833*(T75+8000))</f>
        <v>2305538.7072447953</v>
      </c>
      <c r="U76">
        <f t="shared" ref="U76:U86" si="185">(U75+8000)*1.00487-(0.00125*(U75+8000))</f>
        <v>2516210.506956879</v>
      </c>
      <c r="V76">
        <f t="shared" ref="V76:V86" si="186">(V75+8000)*1.00487-(0.00125*(V75+8000))</f>
        <v>2726006.5488506607</v>
      </c>
      <c r="W76">
        <f t="shared" ref="W76:W86" si="187">(W75+8000)*1.00487-(0.00125*(W75+8000))</f>
        <v>2945099.7888278337</v>
      </c>
      <c r="X76">
        <f t="shared" ref="X76:X86" si="188">(X75+8000)*1.00487-(0.00125*(X75+8000))</f>
        <v>3173902.2360541648</v>
      </c>
      <c r="Y76">
        <f t="shared" ref="Y76:Y86" si="189">(Y75+8000)*1.00487-(0.00125*(Y75+8000))</f>
        <v>3412844.1580514479</v>
      </c>
      <c r="Z76">
        <f t="shared" ref="Z76:Z86" si="190">(Z75+8000)*1.00487-(0.00125*(Z75+8000))</f>
        <v>3662374.8898240821</v>
      </c>
      <c r="AA76">
        <f t="shared" ref="AA76:AA86" si="191">(AA75+8000)*1.00487-(0.00125*(AA75+8000))</f>
        <v>3922963.6788424202</v>
      </c>
      <c r="AB76">
        <f t="shared" ref="AB76:AB86" si="192">(AB75+8000)*1.00487-(0.00125*(AB75+8000))</f>
        <v>4195100.5674719103</v>
      </c>
      <c r="AC76">
        <f t="shared" ref="AC76:AC86" si="193">(AC75+8000)*1.00487-(0.00125*(AC75+8000))</f>
        <v>4479297.3145074369</v>
      </c>
      <c r="AD76">
        <f t="shared" ref="AD76:AD86" si="194">(AD75+8000)*1.00487-(0.00125*(AD75+8000))</f>
        <v>4776088.3575458517</v>
      </c>
      <c r="AE76">
        <f t="shared" ref="AE76:AE86" si="195">(AE75+8000)*1.00487-(0.00125*(AE75+8000))</f>
        <v>5086031.818006428</v>
      </c>
      <c r="AI76">
        <f t="shared" si="170"/>
        <v>16117.069735199999</v>
      </c>
      <c r="AJ76">
        <f t="shared" ref="AJ76:AJ86" si="196">(AJ75+8000)*1.00487-0</f>
        <v>116178.4044138938</v>
      </c>
      <c r="AK76">
        <f t="shared" ref="AK76:AK86" si="197">(AK75+8000)*1.00487-0</f>
        <v>222246.52170525127</v>
      </c>
      <c r="AL76">
        <f t="shared" ref="AL76:AL86" si="198">(AL75+8000)*1.00487-0</f>
        <v>334682.01481414674</v>
      </c>
      <c r="AM76">
        <f t="shared" ref="AM76:AM86" si="199">(AM75+8000)*1.00487-0</f>
        <v>453867.12371840893</v>
      </c>
      <c r="AN76">
        <f t="shared" ref="AN76:AN86" si="200">(AN75+8000)*1.00487-0</f>
        <v>580207.03464638419</v>
      </c>
      <c r="AO76">
        <f t="shared" ref="AO76:AO86" si="201">(AO75+8000)*1.00487-0</f>
        <v>714131.2575634463</v>
      </c>
      <c r="AP76">
        <f t="shared" ref="AP76:AP86" si="202">(AP75+8000)*1.00487-0</f>
        <v>856095.08635040675</v>
      </c>
      <c r="AQ76">
        <f t="shared" ref="AQ76:AQ86" si="203">(AQ75+8000)*1.00487-0</f>
        <v>1006581.1466379059</v>
      </c>
      <c r="AR76">
        <f t="shared" ref="AR76:AR86" si="204">(AR75+8000)*1.00487-0</f>
        <v>1166101.0365588579</v>
      </c>
      <c r="AS76">
        <f t="shared" ref="AS76:AS86" si="205">(AS75+8000)*1.00487-0</f>
        <v>1335197.0659969177</v>
      </c>
      <c r="AT76">
        <f t="shared" ref="AT76:AT86" si="206">(AT75+8000)*1.00487-0</f>
        <v>1514444.1002437836</v>
      </c>
      <c r="AU76">
        <f t="shared" ref="AU76:AU86" si="207">(AU75+8000)*1.00487-0</f>
        <v>1704451.5143331029</v>
      </c>
      <c r="AV76">
        <f t="shared" ref="AV76:AV86" si="208">(AV75+8000)*1.00487-0</f>
        <v>1905865.2646950076</v>
      </c>
      <c r="AW76">
        <f t="shared" ref="AW76:AW86" si="209">(AW75+8000)*1.00487-0</f>
        <v>2119370.0851741582</v>
      </c>
      <c r="AX76">
        <f t="shared" ref="AX76:AX86" si="210">(AX75+8000)*1.00487-0</f>
        <v>2345691.8148769587</v>
      </c>
      <c r="AY76">
        <f t="shared" ref="AY76:AY86" si="211">(AY75+8000)*1.00487-0</f>
        <v>2585599.8657617839</v>
      </c>
      <c r="AZ76">
        <f t="shared" ref="AZ76:AZ86" si="212">(AZ75+8000)*1.00487-0</f>
        <v>2839909.8383611296</v>
      </c>
      <c r="BA76">
        <f t="shared" ref="BA76:BA86" si="213">(BA75+8000)*1.00487-0</f>
        <v>3109486.2945281984</v>
      </c>
      <c r="BB76">
        <f t="shared" ref="BB76:BB86" si="214">(BB75+8000)*1.00487-0</f>
        <v>3395245.6966342502</v>
      </c>
      <c r="BC76">
        <f t="shared" ref="BC76:BC86" si="215">(BC75+8000)*1.00487-0</f>
        <v>3698159.5232089306</v>
      </c>
      <c r="BD76">
        <f t="shared" ref="BD76:BD86" si="216">(BD75+8000)*1.00487-0</f>
        <v>4019257.5716156205</v>
      </c>
      <c r="BE76">
        <f t="shared" ref="BE76:BE86" si="217">(BE75+8000)*1.00487-0</f>
        <v>4359631.4589897096</v>
      </c>
      <c r="BF76">
        <f t="shared" ref="BF76:BF86" si="218">(BF75+8000)*1.00487-0</f>
        <v>4720438.3333417214</v>
      </c>
      <c r="BG76">
        <f t="shared" ref="BG76:BG86" si="219">(BG75+8000)*1.00487-0</f>
        <v>5102904.8074416928</v>
      </c>
      <c r="BH76">
        <f t="shared" ref="BH76:BH86" si="220">(BH75+8000)*1.00487-0</f>
        <v>5508331.1288585905</v>
      </c>
      <c r="BI76">
        <f t="shared" ref="BI76:BI86" si="221">(BI75+8000)*1.00487-0</f>
        <v>5938095.6003313847</v>
      </c>
      <c r="BJ76">
        <f t="shared" ref="BJ76:BJ86" si="222">(BJ75+8000)*1.00487-0</f>
        <v>6393659.2654994521</v>
      </c>
    </row>
    <row r="77" spans="1:62" x14ac:dyDescent="0.3">
      <c r="A77">
        <f>0.0175/12</f>
        <v>1.4583333333333334E-3</v>
      </c>
      <c r="B77">
        <v>1.75</v>
      </c>
      <c r="D77">
        <f t="shared" si="167"/>
        <v>24164.052416414565</v>
      </c>
      <c r="E77">
        <f t="shared" si="172"/>
        <v>123326.27597306939</v>
      </c>
      <c r="F77">
        <f t="shared" si="173"/>
        <v>226623.19192739189</v>
      </c>
      <c r="G77">
        <f t="shared" si="174"/>
        <v>334227.20142782514</v>
      </c>
      <c r="H77">
        <f t="shared" si="175"/>
        <v>446768.26283496455</v>
      </c>
      <c r="I77">
        <f t="shared" si="175"/>
        <v>564856.11856820772</v>
      </c>
      <c r="J77">
        <f t="shared" si="175"/>
        <v>688177.08630911587</v>
      </c>
      <c r="K77">
        <f t="shared" si="175"/>
        <v>816963.07357362029</v>
      </c>
      <c r="L77">
        <f t="shared" si="176"/>
        <v>953554.94603975734</v>
      </c>
      <c r="M77">
        <f t="shared" si="177"/>
        <v>1096739.2072761266</v>
      </c>
      <c r="N77">
        <f t="shared" si="178"/>
        <v>1246644.6257335737</v>
      </c>
      <c r="O77">
        <f t="shared" si="179"/>
        <v>1403586.6966627648</v>
      </c>
      <c r="P77">
        <f t="shared" si="180"/>
        <v>1567895.7248553324</v>
      </c>
      <c r="Q77">
        <f t="shared" si="181"/>
        <v>1740633.5149885113</v>
      </c>
      <c r="R77">
        <f t="shared" si="182"/>
        <v>1925411.2165966067</v>
      </c>
      <c r="S77">
        <f t="shared" si="183"/>
        <v>2119341.7399342819</v>
      </c>
      <c r="T77">
        <f t="shared" si="184"/>
        <v>2322878.4630059423</v>
      </c>
      <c r="U77">
        <f t="shared" si="185"/>
        <v>2533348.1489920625</v>
      </c>
      <c r="V77">
        <f t="shared" si="186"/>
        <v>2743903.6525575002</v>
      </c>
      <c r="W77">
        <f t="shared" si="187"/>
        <v>2963790.0100633902</v>
      </c>
      <c r="X77">
        <f t="shared" si="188"/>
        <v>3193420.7221486806</v>
      </c>
      <c r="Y77">
        <f t="shared" si="189"/>
        <v>3433227.6139035937</v>
      </c>
      <c r="Z77">
        <f t="shared" si="190"/>
        <v>3683661.6469252449</v>
      </c>
      <c r="AA77">
        <f t="shared" si="191"/>
        <v>3945193.7673598295</v>
      </c>
      <c r="AB77">
        <f t="shared" si="192"/>
        <v>4218315.7915261583</v>
      </c>
      <c r="AC77">
        <f t="shared" si="193"/>
        <v>4503541.3307859534</v>
      </c>
      <c r="AD77">
        <f t="shared" si="194"/>
        <v>4801406.7574001672</v>
      </c>
      <c r="AE77">
        <f t="shared" si="195"/>
        <v>5112472.2131876107</v>
      </c>
      <c r="AI77">
        <f t="shared" si="170"/>
        <v>24234.51986481042</v>
      </c>
      <c r="AJ77">
        <f t="shared" si="196"/>
        <v>124783.15324338946</v>
      </c>
      <c r="AK77">
        <f t="shared" si="197"/>
        <v>231367.82226595582</v>
      </c>
      <c r="AL77">
        <f t="shared" si="198"/>
        <v>344350.87622629158</v>
      </c>
      <c r="AM77">
        <f t="shared" si="199"/>
        <v>464116.41661091754</v>
      </c>
      <c r="AN77">
        <f t="shared" si="200"/>
        <v>591071.60290511209</v>
      </c>
      <c r="AO77">
        <f t="shared" si="201"/>
        <v>725648.03678778023</v>
      </c>
      <c r="AP77">
        <f t="shared" si="202"/>
        <v>868303.22942093317</v>
      </c>
      <c r="AQ77">
        <f t="shared" si="203"/>
        <v>1019522.1568220324</v>
      </c>
      <c r="AR77">
        <f t="shared" si="204"/>
        <v>1179818.9086068994</v>
      </c>
      <c r="AS77">
        <f t="shared" si="205"/>
        <v>1349738.4357083226</v>
      </c>
      <c r="AT77">
        <f t="shared" si="206"/>
        <v>1529858.4030119707</v>
      </c>
      <c r="AU77">
        <f t="shared" si="207"/>
        <v>1720791.1532079049</v>
      </c>
      <c r="AV77">
        <f t="shared" si="208"/>
        <v>1923185.7885340722</v>
      </c>
      <c r="AW77">
        <f t="shared" si="209"/>
        <v>2137730.3774889563</v>
      </c>
      <c r="AX77">
        <f t="shared" si="210"/>
        <v>2365154.2940154094</v>
      </c>
      <c r="AY77">
        <f t="shared" si="211"/>
        <v>2606230.6971080438</v>
      </c>
      <c r="AZ77">
        <f t="shared" si="212"/>
        <v>2861779.1592739481</v>
      </c>
      <c r="BA77">
        <f t="shared" si="213"/>
        <v>3132668.4527825504</v>
      </c>
      <c r="BB77">
        <f t="shared" si="214"/>
        <v>3419819.5031768586</v>
      </c>
      <c r="BC77">
        <f t="shared" si="215"/>
        <v>3724208.5200869581</v>
      </c>
      <c r="BD77">
        <f t="shared" si="216"/>
        <v>4046870.3159893882</v>
      </c>
      <c r="BE77">
        <f t="shared" si="217"/>
        <v>4388901.8241949892</v>
      </c>
      <c r="BF77">
        <f t="shared" si="218"/>
        <v>4751465.8280250952</v>
      </c>
      <c r="BG77">
        <f t="shared" si="219"/>
        <v>5135794.9138539331</v>
      </c>
      <c r="BH77">
        <f t="shared" si="220"/>
        <v>5543195.6614561314</v>
      </c>
      <c r="BI77">
        <f t="shared" si="221"/>
        <v>5975053.0859049978</v>
      </c>
      <c r="BJ77">
        <f t="shared" si="222"/>
        <v>6432835.3461224344</v>
      </c>
    </row>
    <row r="78" spans="1:62" x14ac:dyDescent="0.3">
      <c r="A78">
        <f>0.015/12</f>
        <v>1.25E-3</v>
      </c>
      <c r="B78">
        <v>1.5</v>
      </c>
      <c r="D78">
        <f t="shared" si="167"/>
        <v>32273.731835154536</v>
      </c>
      <c r="E78">
        <f t="shared" si="172"/>
        <v>131774.09857413755</v>
      </c>
      <c r="F78">
        <f t="shared" si="173"/>
        <v>235423.25701186428</v>
      </c>
      <c r="G78">
        <f t="shared" si="174"/>
        <v>343394.19618469401</v>
      </c>
      <c r="H78">
        <f t="shared" si="175"/>
        <v>456414.52394642704</v>
      </c>
      <c r="I78">
        <f t="shared" si="175"/>
        <v>574929.85771742463</v>
      </c>
      <c r="J78">
        <f t="shared" si="175"/>
        <v>698697.24736155476</v>
      </c>
      <c r="K78">
        <f t="shared" si="175"/>
        <v>827949.43989995669</v>
      </c>
      <c r="L78">
        <f t="shared" si="176"/>
        <v>965237.70148308959</v>
      </c>
      <c r="M78">
        <f t="shared" si="177"/>
        <v>1108970.3584399943</v>
      </c>
      <c r="N78">
        <f t="shared" si="178"/>
        <v>1259449.9146501331</v>
      </c>
      <c r="O78">
        <f t="shared" si="179"/>
        <v>1416993.0737109829</v>
      </c>
      <c r="P78">
        <f t="shared" si="180"/>
        <v>1581931.4054815283</v>
      </c>
      <c r="Q78">
        <f t="shared" si="181"/>
        <v>1755692.7484885198</v>
      </c>
      <c r="R78">
        <f t="shared" si="182"/>
        <v>1941216.3976780069</v>
      </c>
      <c r="S78">
        <f t="shared" si="183"/>
        <v>2135929.8185383962</v>
      </c>
      <c r="T78">
        <f t="shared" si="184"/>
        <v>2340288.2193610971</v>
      </c>
      <c r="U78">
        <f t="shared" si="185"/>
        <v>2550547.829291414</v>
      </c>
      <c r="V78">
        <f t="shared" si="186"/>
        <v>2761865.5437797583</v>
      </c>
      <c r="W78">
        <f t="shared" si="187"/>
        <v>2982547.8898998196</v>
      </c>
      <c r="X78">
        <f t="shared" si="188"/>
        <v>3213009.8651628587</v>
      </c>
      <c r="Y78">
        <f t="shared" si="189"/>
        <v>3453684.8578659245</v>
      </c>
      <c r="Z78">
        <f t="shared" si="190"/>
        <v>3705025.4620871139</v>
      </c>
      <c r="AA78">
        <f t="shared" si="191"/>
        <v>3967504.3287976719</v>
      </c>
      <c r="AB78">
        <f t="shared" si="192"/>
        <v>4241615.0546914823</v>
      </c>
      <c r="AC78">
        <f t="shared" si="193"/>
        <v>4527873.1104033981</v>
      </c>
      <c r="AD78">
        <f t="shared" si="194"/>
        <v>4826816.8098619552</v>
      </c>
      <c r="AE78">
        <f t="shared" si="195"/>
        <v>5139008.3225993495</v>
      </c>
      <c r="AI78">
        <f t="shared" si="170"/>
        <v>32391.501976552045</v>
      </c>
      <c r="AJ78">
        <f t="shared" si="196"/>
        <v>133429.80719968476</v>
      </c>
      <c r="AK78">
        <f t="shared" si="197"/>
        <v>240533.543560391</v>
      </c>
      <c r="AL78">
        <f t="shared" si="198"/>
        <v>354066.82499351358</v>
      </c>
      <c r="AM78">
        <f t="shared" si="199"/>
        <v>474415.62355981267</v>
      </c>
      <c r="AN78">
        <f t="shared" si="200"/>
        <v>601989.08161125996</v>
      </c>
      <c r="AO78">
        <f t="shared" si="201"/>
        <v>737220.90272693662</v>
      </c>
      <c r="AP78">
        <f t="shared" si="202"/>
        <v>880570.826148213</v>
      </c>
      <c r="AQ78">
        <f t="shared" si="203"/>
        <v>1032526.1897257556</v>
      </c>
      <c r="AR78">
        <f t="shared" si="204"/>
        <v>1193603.5866918149</v>
      </c>
      <c r="AS78">
        <f t="shared" si="205"/>
        <v>1364350.621890222</v>
      </c>
      <c r="AT78">
        <f t="shared" si="206"/>
        <v>1545347.773434639</v>
      </c>
      <c r="AU78">
        <f t="shared" si="207"/>
        <v>1737210.3661240272</v>
      </c>
      <c r="AV78">
        <f t="shared" si="208"/>
        <v>1940590.6633242329</v>
      </c>
      <c r="AW78">
        <f t="shared" si="209"/>
        <v>2156180.0844273274</v>
      </c>
      <c r="AX78">
        <f t="shared" si="210"/>
        <v>2384711.5554272644</v>
      </c>
      <c r="AY78">
        <f t="shared" si="211"/>
        <v>2626962.0006029597</v>
      </c>
      <c r="AZ78">
        <f t="shared" si="212"/>
        <v>2883754.983779612</v>
      </c>
      <c r="BA78">
        <f t="shared" si="213"/>
        <v>3155963.508147601</v>
      </c>
      <c r="BB78">
        <f t="shared" si="214"/>
        <v>3444512.9841573299</v>
      </c>
      <c r="BC78">
        <f t="shared" si="215"/>
        <v>3750384.3755797814</v>
      </c>
      <c r="BD78">
        <f t="shared" si="216"/>
        <v>4074617.5344282561</v>
      </c>
      <c r="BE78">
        <f t="shared" si="217"/>
        <v>4418314.7360788183</v>
      </c>
      <c r="BF78">
        <f t="shared" si="218"/>
        <v>4782644.4266075771</v>
      </c>
      <c r="BG78">
        <f t="shared" si="219"/>
        <v>5168845.1950844014</v>
      </c>
      <c r="BH78">
        <f t="shared" si="220"/>
        <v>5578229.9843274225</v>
      </c>
      <c r="BI78">
        <f t="shared" si="221"/>
        <v>6012190.5544333551</v>
      </c>
      <c r="BJ78">
        <f t="shared" si="222"/>
        <v>6472202.2142580505</v>
      </c>
    </row>
    <row r="79" spans="1:62" x14ac:dyDescent="0.3">
      <c r="A79">
        <f>0.0125/12</f>
        <v>1.0416666666666667E-3</v>
      </c>
      <c r="B79">
        <v>1.25</v>
      </c>
      <c r="D79">
        <f t="shared" si="167"/>
        <v>40411.065260712414</v>
      </c>
      <c r="E79">
        <f t="shared" si="172"/>
        <v>140250.72825027537</v>
      </c>
      <c r="F79">
        <f t="shared" si="173"/>
        <v>244253.3303182747</v>
      </c>
      <c r="G79">
        <f t="shared" si="174"/>
        <v>352592.4503936838</v>
      </c>
      <c r="H79">
        <f t="shared" ref="H79:J86" si="223">(H78+8000)*1.00487-(0.00125*(H78+8000))</f>
        <v>466095.70452311303</v>
      </c>
      <c r="I79">
        <f t="shared" si="223"/>
        <v>585040.0638023616</v>
      </c>
      <c r="J79">
        <f t="shared" si="223"/>
        <v>709255.49139700353</v>
      </c>
      <c r="K79">
        <f t="shared" ref="K79:K86" si="224">(K78+8000)*1.00487-(0.00104*(K78+8000))</f>
        <v>839151.12625477347</v>
      </c>
      <c r="L79">
        <f t="shared" si="176"/>
        <v>976965.2018797698</v>
      </c>
      <c r="M79">
        <f t="shared" si="177"/>
        <v>1121248.3549128193</v>
      </c>
      <c r="N79">
        <f t="shared" si="178"/>
        <v>1272304.247823243</v>
      </c>
      <c r="O79">
        <f t="shared" si="179"/>
        <v>1430450.7971832959</v>
      </c>
      <c r="P79">
        <f t="shared" si="180"/>
        <v>1596020.8427645222</v>
      </c>
      <c r="Q79">
        <f t="shared" si="181"/>
        <v>1770812.7761141679</v>
      </c>
      <c r="R79">
        <f t="shared" si="182"/>
        <v>1957085.3842754329</v>
      </c>
      <c r="S79">
        <f t="shared" si="183"/>
        <v>2152584.8632158358</v>
      </c>
      <c r="T79">
        <f t="shared" si="184"/>
        <v>2357768.2589026578</v>
      </c>
      <c r="U79">
        <f t="shared" si="185"/>
        <v>2567809.7724334486</v>
      </c>
      <c r="V79">
        <f t="shared" si="186"/>
        <v>2779892.457048241</v>
      </c>
      <c r="W79">
        <f t="shared" si="187"/>
        <v>3001373.6732612569</v>
      </c>
      <c r="X79">
        <f t="shared" si="188"/>
        <v>3232669.9208747479</v>
      </c>
      <c r="Y79">
        <f t="shared" si="189"/>
        <v>3474216.1570513989</v>
      </c>
      <c r="Z79">
        <f t="shared" si="190"/>
        <v>3726466.6142598689</v>
      </c>
      <c r="AA79">
        <f t="shared" si="191"/>
        <v>3989895.6544679189</v>
      </c>
      <c r="AB79">
        <f t="shared" si="192"/>
        <v>4264998.6611894649</v>
      </c>
      <c r="AC79">
        <f t="shared" si="193"/>
        <v>4552292.9710630588</v>
      </c>
      <c r="AD79">
        <f t="shared" si="194"/>
        <v>4852318.8467136547</v>
      </c>
      <c r="AE79">
        <f t="shared" si="195"/>
        <v>5165640.4927271586</v>
      </c>
      <c r="AI79">
        <f t="shared" si="170"/>
        <v>40588.208591177849</v>
      </c>
      <c r="AJ79">
        <f t="shared" si="196"/>
        <v>142118.57036074722</v>
      </c>
      <c r="AK79">
        <f t="shared" si="197"/>
        <v>249743.90191753008</v>
      </c>
      <c r="AL79">
        <f t="shared" si="198"/>
        <v>363830.09043123195</v>
      </c>
      <c r="AM79">
        <f t="shared" si="199"/>
        <v>484764.98764654889</v>
      </c>
      <c r="AN79">
        <f t="shared" si="200"/>
        <v>612959.72843870672</v>
      </c>
      <c r="AO79">
        <f t="shared" si="201"/>
        <v>748850.1285232167</v>
      </c>
      <c r="AP79">
        <f t="shared" si="202"/>
        <v>892898.16607155476</v>
      </c>
      <c r="AQ79">
        <f t="shared" si="203"/>
        <v>1045593.55226972</v>
      </c>
      <c r="AR79">
        <f t="shared" si="204"/>
        <v>1207455.396159004</v>
      </c>
      <c r="AS79">
        <f t="shared" si="205"/>
        <v>1379033.9694188272</v>
      </c>
      <c r="AT79">
        <f t="shared" si="206"/>
        <v>1560912.5770912655</v>
      </c>
      <c r="AU79">
        <f t="shared" si="207"/>
        <v>1753709.540607051</v>
      </c>
      <c r="AV79">
        <f t="shared" si="208"/>
        <v>1958080.2998546218</v>
      </c>
      <c r="AW79">
        <f t="shared" si="209"/>
        <v>2174719.6414384884</v>
      </c>
      <c r="AX79">
        <f t="shared" si="210"/>
        <v>2404364.0607021949</v>
      </c>
      <c r="AY79">
        <f t="shared" si="211"/>
        <v>2647794.2655458958</v>
      </c>
      <c r="AZ79">
        <f t="shared" si="212"/>
        <v>2905837.8305506185</v>
      </c>
      <c r="BA79">
        <f t="shared" si="213"/>
        <v>3179372.0104322797</v>
      </c>
      <c r="BB79">
        <f t="shared" si="214"/>
        <v>3469326.7223901758</v>
      </c>
      <c r="BC79">
        <f t="shared" si="215"/>
        <v>3776687.7074888544</v>
      </c>
      <c r="BD79">
        <f t="shared" si="216"/>
        <v>4102499.8818209213</v>
      </c>
      <c r="BE79">
        <f t="shared" si="217"/>
        <v>4447870.8888435215</v>
      </c>
      <c r="BF79">
        <f t="shared" si="218"/>
        <v>4813974.8649651557</v>
      </c>
      <c r="BG79">
        <f t="shared" si="219"/>
        <v>5202056.4311844623</v>
      </c>
      <c r="BH79">
        <f t="shared" si="220"/>
        <v>5613434.9243510962</v>
      </c>
      <c r="BI79">
        <f t="shared" si="221"/>
        <v>6049508.8824334452</v>
      </c>
      <c r="BJ79">
        <f t="shared" si="222"/>
        <v>6511760.7990414863</v>
      </c>
    </row>
    <row r="80" spans="1:62" x14ac:dyDescent="0.3">
      <c r="A80">
        <f>0.01/12</f>
        <v>8.3333333333333339E-4</v>
      </c>
      <c r="B80">
        <v>1</v>
      </c>
      <c r="D80">
        <f t="shared" si="167"/>
        <v>48576.146993251437</v>
      </c>
      <c r="E80">
        <f t="shared" si="172"/>
        <v>148756.26323360877</v>
      </c>
      <c r="F80">
        <f t="shared" si="173"/>
        <v>253113.51417466</v>
      </c>
      <c r="G80">
        <f t="shared" si="174"/>
        <v>361822.07064952626</v>
      </c>
      <c r="H80">
        <f t="shared" si="223"/>
        <v>475811.93097348668</v>
      </c>
      <c r="I80">
        <f t="shared" si="223"/>
        <v>595186.86883332615</v>
      </c>
      <c r="J80">
        <f t="shared" si="223"/>
        <v>719851.95627586066</v>
      </c>
      <c r="K80">
        <f t="shared" si="224"/>
        <v>850395.71506832924</v>
      </c>
      <c r="L80">
        <f t="shared" si="176"/>
        <v>988737.61860296922</v>
      </c>
      <c r="M80">
        <f t="shared" si="177"/>
        <v>1133573.3761121354</v>
      </c>
      <c r="N80">
        <f t="shared" si="178"/>
        <v>1285207.8130924059</v>
      </c>
      <c r="O80">
        <f t="shared" si="179"/>
        <v>1443960.0637365079</v>
      </c>
      <c r="P80">
        <f t="shared" si="180"/>
        <v>1610164.2425923103</v>
      </c>
      <c r="Q80">
        <f t="shared" si="181"/>
        <v>1785993.8432913406</v>
      </c>
      <c r="R80">
        <f t="shared" si="182"/>
        <v>1973018.4339717526</v>
      </c>
      <c r="S80">
        <f t="shared" si="183"/>
        <v>2169307.1443086378</v>
      </c>
      <c r="T80">
        <f t="shared" si="184"/>
        <v>2375318.8653638475</v>
      </c>
      <c r="U80">
        <f t="shared" si="185"/>
        <v>2585134.2038096576</v>
      </c>
      <c r="V80">
        <f t="shared" si="186"/>
        <v>2797984.6277427557</v>
      </c>
      <c r="W80">
        <f t="shared" si="187"/>
        <v>3020267.6059584622</v>
      </c>
      <c r="X80">
        <f t="shared" si="188"/>
        <v>3252401.1459883144</v>
      </c>
      <c r="Y80">
        <f t="shared" si="189"/>
        <v>3494821.7795399246</v>
      </c>
      <c r="Z80">
        <f t="shared" si="190"/>
        <v>3747985.3834034894</v>
      </c>
      <c r="AA80">
        <f t="shared" si="191"/>
        <v>4012368.0367370928</v>
      </c>
      <c r="AB80">
        <f t="shared" si="192"/>
        <v>4288466.91634297</v>
      </c>
      <c r="AC80">
        <f t="shared" si="193"/>
        <v>4576801.2316183066</v>
      </c>
      <c r="AD80">
        <f t="shared" si="194"/>
        <v>4877913.2009387575</v>
      </c>
      <c r="AE80">
        <f t="shared" si="195"/>
        <v>5192369.0713108312</v>
      </c>
      <c r="AI80">
        <f t="shared" si="170"/>
        <v>48824.833167016885</v>
      </c>
      <c r="AJ80">
        <f t="shared" si="196"/>
        <v>150849.64779840404</v>
      </c>
      <c r="AK80">
        <f t="shared" si="197"/>
        <v>258999.11471986843</v>
      </c>
      <c r="AL80">
        <f t="shared" si="198"/>
        <v>373640.90297163202</v>
      </c>
      <c r="AM80">
        <f t="shared" si="199"/>
        <v>495164.75313638756</v>
      </c>
      <c r="AN80">
        <f t="shared" si="200"/>
        <v>623983.80231620313</v>
      </c>
      <c r="AO80">
        <f t="shared" si="201"/>
        <v>760535.98864912475</v>
      </c>
      <c r="AP80">
        <f t="shared" si="202"/>
        <v>905285.54014032322</v>
      </c>
      <c r="AQ80">
        <f t="shared" si="203"/>
        <v>1058724.5528692736</v>
      </c>
      <c r="AR80">
        <f t="shared" si="204"/>
        <v>1221374.6639382981</v>
      </c>
      <c r="AS80">
        <f t="shared" si="205"/>
        <v>1393788.8248498968</v>
      </c>
      <c r="AT80">
        <f t="shared" si="206"/>
        <v>1576553.1813416998</v>
      </c>
      <c r="AU80">
        <f t="shared" si="207"/>
        <v>1770289.0660698072</v>
      </c>
      <c r="AV80">
        <f t="shared" si="208"/>
        <v>1975655.1109149137</v>
      </c>
      <c r="AW80">
        <f t="shared" si="209"/>
        <v>2193349.4860922936</v>
      </c>
      <c r="AX80">
        <f t="shared" si="210"/>
        <v>2424112.2736778143</v>
      </c>
      <c r="AY80">
        <f t="shared" si="211"/>
        <v>2668727.9836191041</v>
      </c>
      <c r="AZ80">
        <f t="shared" si="212"/>
        <v>2928028.2207853999</v>
      </c>
      <c r="BA80">
        <f t="shared" si="213"/>
        <v>3202894.5121230846</v>
      </c>
      <c r="BB80">
        <f t="shared" si="214"/>
        <v>3494261.3035282157</v>
      </c>
      <c r="BC80">
        <f t="shared" si="215"/>
        <v>3803119.1366243251</v>
      </c>
      <c r="BD80">
        <f t="shared" si="216"/>
        <v>4130518.0162453889</v>
      </c>
      <c r="BE80">
        <f t="shared" si="217"/>
        <v>4477570.9800721891</v>
      </c>
      <c r="BF80">
        <f t="shared" si="218"/>
        <v>4845457.8825575355</v>
      </c>
      <c r="BG80">
        <f t="shared" si="219"/>
        <v>5235429.4060043301</v>
      </c>
      <c r="BH80">
        <f t="shared" si="220"/>
        <v>5648811.3124326859</v>
      </c>
      <c r="BI80">
        <f t="shared" si="221"/>
        <v>6087008.9506908953</v>
      </c>
      <c r="BJ80">
        <f t="shared" si="222"/>
        <v>6551512.0341328178</v>
      </c>
    </row>
    <row r="81" spans="1:62" x14ac:dyDescent="0.3">
      <c r="D81">
        <f t="shared" si="167"/>
        <v>56769.071654498417</v>
      </c>
      <c r="E81">
        <f t="shared" si="172"/>
        <v>157290.80209123538</v>
      </c>
      <c r="F81">
        <f t="shared" si="173"/>
        <v>262003.91125799558</v>
      </c>
      <c r="G81">
        <f t="shared" si="174"/>
        <v>371083.1639104411</v>
      </c>
      <c r="H81">
        <f t="shared" si="223"/>
        <v>485563.33016361063</v>
      </c>
      <c r="I81">
        <f t="shared" si="223"/>
        <v>605370.40529850277</v>
      </c>
      <c r="J81">
        <f t="shared" si="223"/>
        <v>730486.78035757923</v>
      </c>
      <c r="K81">
        <f t="shared" si="224"/>
        <v>861683.37065704085</v>
      </c>
      <c r="L81">
        <f t="shared" si="176"/>
        <v>1000555.1236822185</v>
      </c>
      <c r="M81">
        <f t="shared" si="177"/>
        <v>1145945.6021426448</v>
      </c>
      <c r="N81">
        <f t="shared" si="178"/>
        <v>1298160.7990165497</v>
      </c>
      <c r="O81">
        <f t="shared" si="179"/>
        <v>1457521.0707806186</v>
      </c>
      <c r="P81">
        <f t="shared" si="180"/>
        <v>1624361.8116414389</v>
      </c>
      <c r="Q81">
        <f t="shared" si="181"/>
        <v>1801236.1964367076</v>
      </c>
      <c r="R81">
        <f t="shared" si="182"/>
        <v>1989015.8053896965</v>
      </c>
      <c r="S81">
        <f t="shared" si="183"/>
        <v>2186096.9332502116</v>
      </c>
      <c r="T81">
        <f t="shared" si="184"/>
        <v>2392940.323623321</v>
      </c>
      <c r="U81">
        <f t="shared" si="185"/>
        <v>2602521.3496274487</v>
      </c>
      <c r="V81">
        <f t="shared" si="186"/>
        <v>2816142.2920951843</v>
      </c>
      <c r="W81">
        <f t="shared" si="187"/>
        <v>3039229.9346920317</v>
      </c>
      <c r="X81">
        <f t="shared" si="188"/>
        <v>3272203.7981367917</v>
      </c>
      <c r="Y81">
        <f t="shared" si="189"/>
        <v>3515501.994381859</v>
      </c>
      <c r="Z81">
        <f t="shared" si="190"/>
        <v>3769582.0504914094</v>
      </c>
      <c r="AA81">
        <f t="shared" si="191"/>
        <v>4034921.7690300811</v>
      </c>
      <c r="AB81">
        <f t="shared" si="192"/>
        <v>4312020.1265801312</v>
      </c>
      <c r="AC81">
        <f t="shared" si="193"/>
        <v>4601398.2120767646</v>
      </c>
      <c r="AD81">
        <f t="shared" si="194"/>
        <v>4903600.2067261552</v>
      </c>
      <c r="AE81">
        <f t="shared" si="195"/>
        <v>5219194.4073489765</v>
      </c>
      <c r="AI81">
        <f t="shared" si="170"/>
        <v>57101.570104540253</v>
      </c>
      <c r="AJ81">
        <f t="shared" si="196"/>
        <v>159623.24558318226</v>
      </c>
      <c r="AK81">
        <f t="shared" si="197"/>
        <v>268299.40040855412</v>
      </c>
      <c r="AL81">
        <f t="shared" si="198"/>
        <v>383499.49416910385</v>
      </c>
      <c r="AM81">
        <f t="shared" si="199"/>
        <v>505615.16548416176</v>
      </c>
      <c r="AN81">
        <f t="shared" si="200"/>
        <v>635061.56343348301</v>
      </c>
      <c r="AO81">
        <f t="shared" si="201"/>
        <v>772278.75891384587</v>
      </c>
      <c r="AP81">
        <f t="shared" si="202"/>
        <v>917733.24072080653</v>
      </c>
      <c r="AQ81">
        <f t="shared" si="203"/>
        <v>1071919.501441747</v>
      </c>
      <c r="AR81">
        <f t="shared" si="204"/>
        <v>1235361.7185516777</v>
      </c>
      <c r="AS81">
        <f t="shared" si="205"/>
        <v>1408615.5364269158</v>
      </c>
      <c r="AT81">
        <f t="shared" si="206"/>
        <v>1592269.9553348338</v>
      </c>
      <c r="AU81">
        <f t="shared" si="207"/>
        <v>1786949.333821567</v>
      </c>
      <c r="AV81">
        <f t="shared" si="208"/>
        <v>1993315.5113050691</v>
      </c>
      <c r="AW81">
        <f t="shared" si="209"/>
        <v>2212070.0580895632</v>
      </c>
      <c r="AX81">
        <f t="shared" si="210"/>
        <v>2443956.6604506252</v>
      </c>
      <c r="AY81">
        <f t="shared" si="211"/>
        <v>2689763.6488993289</v>
      </c>
      <c r="AZ81">
        <f t="shared" si="212"/>
        <v>2950326.6782206246</v>
      </c>
      <c r="BA81">
        <f t="shared" si="213"/>
        <v>3226531.5683971238</v>
      </c>
      <c r="BB81">
        <f t="shared" si="214"/>
        <v>3519317.3160763979</v>
      </c>
      <c r="BC81">
        <f t="shared" si="215"/>
        <v>3829679.2868196853</v>
      </c>
      <c r="BD81">
        <f t="shared" si="216"/>
        <v>4158672.5989845037</v>
      </c>
      <c r="BE81">
        <f t="shared" si="217"/>
        <v>4507415.71074514</v>
      </c>
      <c r="BF81">
        <f t="shared" si="218"/>
        <v>4877094.2224455904</v>
      </c>
      <c r="BG81">
        <f t="shared" si="219"/>
        <v>5268964.907211571</v>
      </c>
      <c r="BH81">
        <f t="shared" si="220"/>
        <v>5684359.9835242331</v>
      </c>
      <c r="BI81">
        <f t="shared" si="221"/>
        <v>6124691.6442807596</v>
      </c>
      <c r="BJ81">
        <f t="shared" si="222"/>
        <v>6591456.8577390444</v>
      </c>
    </row>
    <row r="82" spans="1:62" x14ac:dyDescent="0.3">
      <c r="D82">
        <f t="shared" si="167"/>
        <v>64989.934188840249</v>
      </c>
      <c r="E82">
        <f t="shared" si="172"/>
        <v>165854.44372636647</v>
      </c>
      <c r="F82">
        <f t="shared" si="173"/>
        <v>270924.62459538534</v>
      </c>
      <c r="G82">
        <f t="shared" si="174"/>
        <v>380375.83749937569</v>
      </c>
      <c r="H82">
        <f t="shared" si="223"/>
        <v>495350.02941880288</v>
      </c>
      <c r="I82">
        <f t="shared" si="223"/>
        <v>615590.80616568332</v>
      </c>
      <c r="J82">
        <f t="shared" si="223"/>
        <v>741160.10250247363</v>
      </c>
      <c r="K82">
        <f t="shared" si="224"/>
        <v>873014.25796665729</v>
      </c>
      <c r="L82">
        <f t="shared" si="176"/>
        <v>1012417.8898059214</v>
      </c>
      <c r="M82">
        <f t="shared" si="177"/>
        <v>1158365.2137988512</v>
      </c>
      <c r="N82">
        <f t="shared" si="178"/>
        <v>1311163.394876783</v>
      </c>
      <c r="O82">
        <f t="shared" si="179"/>
        <v>1471134.0164817083</v>
      </c>
      <c r="P82">
        <f t="shared" si="180"/>
        <v>1638613.7573800255</v>
      </c>
      <c r="Q82">
        <f t="shared" si="181"/>
        <v>1816540.0829617225</v>
      </c>
      <c r="R82">
        <f t="shared" si="182"/>
        <v>2005077.7581960545</v>
      </c>
      <c r="S82">
        <f t="shared" si="183"/>
        <v>2202954.5025697425</v>
      </c>
      <c r="T82">
        <f t="shared" si="184"/>
        <v>2410632.9197097886</v>
      </c>
      <c r="U82">
        <f t="shared" si="185"/>
        <v>2619971.4369130996</v>
      </c>
      <c r="V82">
        <f t="shared" si="186"/>
        <v>2834365.6871925686</v>
      </c>
      <c r="W82">
        <f t="shared" si="187"/>
        <v>3058260.9070556168</v>
      </c>
      <c r="X82">
        <f t="shared" si="188"/>
        <v>3292078.1358860466</v>
      </c>
      <c r="Y82">
        <f t="shared" si="189"/>
        <v>3536257.0716015212</v>
      </c>
      <c r="Z82">
        <f t="shared" si="190"/>
        <v>3791256.8975141877</v>
      </c>
      <c r="AA82">
        <f t="shared" si="191"/>
        <v>4057557.1458339696</v>
      </c>
      <c r="AB82">
        <f t="shared" si="192"/>
        <v>4335658.5994383506</v>
      </c>
      <c r="AC82">
        <f t="shared" si="193"/>
        <v>4626084.2336044824</v>
      </c>
      <c r="AD82">
        <f t="shared" si="194"/>
        <v>4929380.1994745033</v>
      </c>
      <c r="AE82">
        <f t="shared" si="195"/>
        <v>5246116.8511035796</v>
      </c>
      <c r="AI82">
        <f t="shared" si="170"/>
        <v>65418.61475094936</v>
      </c>
      <c r="AJ82">
        <f t="shared" si="196"/>
        <v>168439.57078917234</v>
      </c>
      <c r="AK82">
        <f t="shared" si="197"/>
        <v>277644.97848854377</v>
      </c>
      <c r="AL82">
        <f t="shared" si="198"/>
        <v>393406.09670570737</v>
      </c>
      <c r="AM82">
        <f t="shared" si="199"/>
        <v>516116.47134006961</v>
      </c>
      <c r="AN82">
        <f t="shared" si="200"/>
        <v>646193.27324740402</v>
      </c>
      <c r="AO82">
        <f t="shared" si="201"/>
        <v>784078.71646975621</v>
      </c>
      <c r="AP82">
        <f t="shared" si="202"/>
        <v>930241.5616031168</v>
      </c>
      <c r="AQ82">
        <f t="shared" si="203"/>
        <v>1085178.7094137683</v>
      </c>
      <c r="AR82">
        <f t="shared" si="204"/>
        <v>1249416.8901210243</v>
      </c>
      <c r="AS82">
        <f t="shared" si="205"/>
        <v>1423514.4540893147</v>
      </c>
      <c r="AT82">
        <f t="shared" si="206"/>
        <v>1608063.2700173142</v>
      </c>
      <c r="AU82">
        <f t="shared" si="207"/>
        <v>1803690.7370772779</v>
      </c>
      <c r="AV82">
        <f t="shared" si="208"/>
        <v>2011061.9178451246</v>
      </c>
      <c r="AW82">
        <f t="shared" si="209"/>
        <v>2230881.799272459</v>
      </c>
      <c r="AX82">
        <f t="shared" si="210"/>
        <v>2463897.6893870197</v>
      </c>
      <c r="AY82">
        <f t="shared" si="211"/>
        <v>2710901.7578694685</v>
      </c>
      <c r="AZ82">
        <f t="shared" si="212"/>
        <v>2972733.729143559</v>
      </c>
      <c r="BA82">
        <f t="shared" si="213"/>
        <v>3250283.7371352175</v>
      </c>
      <c r="BB82">
        <f t="shared" si="214"/>
        <v>3544495.3514056895</v>
      </c>
      <c r="BC82">
        <f t="shared" si="215"/>
        <v>3856368.7849464971</v>
      </c>
      <c r="BD82">
        <f t="shared" si="216"/>
        <v>4186964.2945415578</v>
      </c>
      <c r="BE82">
        <f t="shared" si="217"/>
        <v>4537405.7852564687</v>
      </c>
      <c r="BF82">
        <f t="shared" si="218"/>
        <v>4908884.6313089002</v>
      </c>
      <c r="BG82">
        <f t="shared" si="219"/>
        <v>5302663.7263096906</v>
      </c>
      <c r="BH82">
        <f t="shared" si="220"/>
        <v>5720081.7766439961</v>
      </c>
      <c r="BI82">
        <f t="shared" si="221"/>
        <v>6162557.8525884068</v>
      </c>
      <c r="BJ82">
        <f t="shared" si="222"/>
        <v>6631596.2126362333</v>
      </c>
    </row>
    <row r="83" spans="1:62" x14ac:dyDescent="0.3">
      <c r="D83">
        <f t="shared" si="167"/>
        <v>73238.829864424188</v>
      </c>
      <c r="E83">
        <f t="shared" si="172"/>
        <v>174447.28737947336</v>
      </c>
      <c r="F83">
        <f t="shared" si="173"/>
        <v>279875.75756525557</v>
      </c>
      <c r="G83">
        <f t="shared" si="174"/>
        <v>389700.19910524855</v>
      </c>
      <c r="H83">
        <f t="shared" si="223"/>
        <v>505172.15652529889</v>
      </c>
      <c r="I83">
        <f t="shared" si="223"/>
        <v>625848.20488400303</v>
      </c>
      <c r="J83">
        <f t="shared" si="223"/>
        <v>751872.06207353261</v>
      </c>
      <c r="K83">
        <f t="shared" si="224"/>
        <v>884388.54257466958</v>
      </c>
      <c r="L83">
        <f t="shared" si="176"/>
        <v>1024326.090323878</v>
      </c>
      <c r="M83">
        <f t="shared" si="177"/>
        <v>1170832.3925677009</v>
      </c>
      <c r="N83">
        <f t="shared" si="178"/>
        <v>1324215.790679161</v>
      </c>
      <c r="O83">
        <f t="shared" si="179"/>
        <v>1484799.099764833</v>
      </c>
      <c r="P83">
        <f t="shared" si="180"/>
        <v>1652920.2880707907</v>
      </c>
      <c r="Q83">
        <f t="shared" si="181"/>
        <v>1831905.7512766388</v>
      </c>
      <c r="R83">
        <f t="shared" si="182"/>
        <v>2021204.5531058917</v>
      </c>
      <c r="S83">
        <f t="shared" si="183"/>
        <v>2219880.1258966164</v>
      </c>
      <c r="T83">
        <f t="shared" si="184"/>
        <v>2428396.9408066566</v>
      </c>
      <c r="U83">
        <f t="shared" si="185"/>
        <v>2637484.6935147252</v>
      </c>
      <c r="V83">
        <f t="shared" si="186"/>
        <v>2852655.0509802052</v>
      </c>
      <c r="W83">
        <f t="shared" si="187"/>
        <v>3077360.7715391582</v>
      </c>
      <c r="X83">
        <f t="shared" si="188"/>
        <v>3312024.418737954</v>
      </c>
      <c r="Y83">
        <f t="shared" si="189"/>
        <v>3557087.2822007183</v>
      </c>
      <c r="Z83">
        <f t="shared" si="190"/>
        <v>3813010.2074831887</v>
      </c>
      <c r="AA83">
        <f t="shared" si="191"/>
        <v>4080274.4627018883</v>
      </c>
      <c r="AB83">
        <f t="shared" si="192"/>
        <v>4359382.6435683174</v>
      </c>
      <c r="AC83">
        <f t="shared" si="193"/>
        <v>4650859.61853013</v>
      </c>
      <c r="AD83">
        <f t="shared" si="194"/>
        <v>4955253.5157965999</v>
      </c>
      <c r="AE83">
        <f t="shared" si="195"/>
        <v>5273136.7541045742</v>
      </c>
      <c r="AI83">
        <f t="shared" si="170"/>
        <v>73776.163404786479</v>
      </c>
      <c r="AJ83">
        <f t="shared" si="196"/>
        <v>177298.83149891559</v>
      </c>
      <c r="AK83">
        <f t="shared" si="197"/>
        <v>287036.06953378295</v>
      </c>
      <c r="AL83">
        <f t="shared" si="198"/>
        <v>403360.94439666416</v>
      </c>
      <c r="AM83">
        <f t="shared" si="199"/>
        <v>526668.91855549568</v>
      </c>
      <c r="AN83">
        <f t="shared" si="200"/>
        <v>657379.19448811887</v>
      </c>
      <c r="AO83">
        <f t="shared" si="201"/>
        <v>795936.13981896383</v>
      </c>
      <c r="AP83">
        <f t="shared" si="202"/>
        <v>942810.79800812388</v>
      </c>
      <c r="AQ83">
        <f t="shared" si="203"/>
        <v>1098502.4897286133</v>
      </c>
      <c r="AR83">
        <f t="shared" si="204"/>
        <v>1263540.5103759137</v>
      </c>
      <c r="AS83">
        <f t="shared" si="205"/>
        <v>1438485.9294807296</v>
      </c>
      <c r="AT83">
        <f t="shared" si="206"/>
        <v>1623933.4981422985</v>
      </c>
      <c r="AU83">
        <f t="shared" si="207"/>
        <v>1820513.6709668441</v>
      </c>
      <c r="AV83">
        <f t="shared" si="208"/>
        <v>2028894.7493850302</v>
      </c>
      <c r="AW83">
        <f t="shared" si="209"/>
        <v>2249785.1536349156</v>
      </c>
      <c r="AX83">
        <f t="shared" si="210"/>
        <v>2483935.8311343342</v>
      </c>
      <c r="AY83">
        <f t="shared" si="211"/>
        <v>2732142.8094302928</v>
      </c>
      <c r="AZ83">
        <f t="shared" si="212"/>
        <v>2995249.9024044881</v>
      </c>
      <c r="BA83">
        <f t="shared" si="213"/>
        <v>3274151.5789350658</v>
      </c>
      <c r="BB83">
        <f t="shared" si="214"/>
        <v>3569796.003767035</v>
      </c>
      <c r="BC83">
        <f t="shared" si="215"/>
        <v>3883188.2609291864</v>
      </c>
      <c r="BD83">
        <f t="shared" si="216"/>
        <v>4215393.7706559757</v>
      </c>
      <c r="BE83">
        <f t="shared" si="217"/>
        <v>4567541.9114306672</v>
      </c>
      <c r="BF83">
        <f t="shared" si="218"/>
        <v>4940829.8594633741</v>
      </c>
      <c r="BG83">
        <f t="shared" si="219"/>
        <v>5336526.6586568188</v>
      </c>
      <c r="BH83">
        <f t="shared" si="220"/>
        <v>5755977.5348962517</v>
      </c>
      <c r="BI83">
        <f t="shared" si="221"/>
        <v>6200608.469330512</v>
      </c>
      <c r="BJ83">
        <f t="shared" si="222"/>
        <v>6671931.0461917715</v>
      </c>
    </row>
    <row r="84" spans="1:62" x14ac:dyDescent="0.3">
      <c r="D84">
        <f t="shared" si="167"/>
        <v>81515.854274261874</v>
      </c>
      <c r="E84">
        <f t="shared" si="172"/>
        <v>183069.43262943733</v>
      </c>
      <c r="F84">
        <f t="shared" si="173"/>
        <v>288857.41389855312</v>
      </c>
      <c r="G84">
        <f t="shared" si="174"/>
        <v>399056.35678419744</v>
      </c>
      <c r="H84">
        <f t="shared" si="223"/>
        <v>515029.83973192045</v>
      </c>
      <c r="I84">
        <f t="shared" si="223"/>
        <v>636142.73538568302</v>
      </c>
      <c r="J84">
        <f t="shared" si="223"/>
        <v>762622.79893823876</v>
      </c>
      <c r="K84">
        <f t="shared" si="224"/>
        <v>895806.39069273055</v>
      </c>
      <c r="L84">
        <f t="shared" si="176"/>
        <v>1036279.8992498184</v>
      </c>
      <c r="M84">
        <f t="shared" si="177"/>
        <v>1183347.3206312354</v>
      </c>
      <c r="N84">
        <f t="shared" si="178"/>
        <v>1337318.1771574621</v>
      </c>
      <c r="O84">
        <f t="shared" si="179"/>
        <v>1498516.5203169321</v>
      </c>
      <c r="P84">
        <f t="shared" si="180"/>
        <v>1667281.6127741018</v>
      </c>
      <c r="Q84">
        <f t="shared" si="181"/>
        <v>1847333.4507945427</v>
      </c>
      <c r="R84">
        <f t="shared" si="182"/>
        <v>2037396.4518867801</v>
      </c>
      <c r="S84">
        <f t="shared" si="183"/>
        <v>2236874.0779648609</v>
      </c>
      <c r="T84">
        <f t="shared" si="184"/>
        <v>2446232.6752566933</v>
      </c>
      <c r="U84">
        <f t="shared" si="185"/>
        <v>2655061.3481052485</v>
      </c>
      <c r="V84">
        <f t="shared" si="186"/>
        <v>2871010.6222647531</v>
      </c>
      <c r="W84">
        <f t="shared" si="187"/>
        <v>3096529.77753213</v>
      </c>
      <c r="X84">
        <f t="shared" si="188"/>
        <v>3332042.9071337851</v>
      </c>
      <c r="Y84">
        <f t="shared" si="189"/>
        <v>3577992.8981622844</v>
      </c>
      <c r="Z84">
        <f t="shared" si="190"/>
        <v>3834842.2644342775</v>
      </c>
      <c r="AA84">
        <f t="shared" si="191"/>
        <v>4103074.0162568688</v>
      </c>
      <c r="AB84">
        <f t="shared" si="192"/>
        <v>4383192.568738034</v>
      </c>
      <c r="AC84">
        <f t="shared" si="193"/>
        <v>4675724.6903492082</v>
      </c>
      <c r="AD84">
        <f t="shared" si="194"/>
        <v>4981220.493523784</v>
      </c>
      <c r="AE84">
        <f t="shared" si="195"/>
        <v>5300254.4691544324</v>
      </c>
      <c r="AI84">
        <f t="shared" si="170"/>
        <v>82174.413320567779</v>
      </c>
      <c r="AJ84">
        <f t="shared" si="196"/>
        <v>186201.2368083153</v>
      </c>
      <c r="AK84">
        <f t="shared" si="197"/>
        <v>296472.89519241243</v>
      </c>
      <c r="AL84">
        <f t="shared" si="198"/>
        <v>413364.27219587588</v>
      </c>
      <c r="AM84">
        <f t="shared" si="199"/>
        <v>537272.75618886086</v>
      </c>
      <c r="AN84">
        <f t="shared" si="200"/>
        <v>668619.59116527601</v>
      </c>
      <c r="AO84">
        <f t="shared" si="201"/>
        <v>807851.30881988211</v>
      </c>
      <c r="AP84">
        <f t="shared" si="202"/>
        <v>955441.24659442343</v>
      </c>
      <c r="AQ84">
        <f t="shared" si="203"/>
        <v>1111891.1568535916</v>
      </c>
      <c r="AR84">
        <f t="shared" si="204"/>
        <v>1277732.9126614444</v>
      </c>
      <c r="AS84">
        <f t="shared" si="205"/>
        <v>1453530.3159573006</v>
      </c>
      <c r="AT84">
        <f t="shared" si="206"/>
        <v>1639881.0142782514</v>
      </c>
      <c r="AU84">
        <f t="shared" si="207"/>
        <v>1837418.5325444525</v>
      </c>
      <c r="AV84">
        <f t="shared" si="208"/>
        <v>2046814.4268145352</v>
      </c>
      <c r="AW84">
        <f t="shared" si="209"/>
        <v>2268780.5673331176</v>
      </c>
      <c r="AX84">
        <f t="shared" si="210"/>
        <v>2504071.5586319584</v>
      </c>
      <c r="AY84">
        <f t="shared" si="211"/>
        <v>2753487.3049122184</v>
      </c>
      <c r="AZ84">
        <f t="shared" si="212"/>
        <v>3017875.7294291975</v>
      </c>
      <c r="BA84">
        <f t="shared" si="213"/>
        <v>3298135.6571244793</v>
      </c>
      <c r="BB84">
        <f t="shared" si="214"/>
        <v>3595219.8703053803</v>
      </c>
      <c r="BC84">
        <f t="shared" si="215"/>
        <v>3910138.3477599113</v>
      </c>
      <c r="BD84">
        <f t="shared" si="216"/>
        <v>4243961.69831907</v>
      </c>
      <c r="BE84">
        <f t="shared" si="217"/>
        <v>4597824.8005393343</v>
      </c>
      <c r="BF84">
        <f t="shared" si="218"/>
        <v>4972930.66087896</v>
      </c>
      <c r="BG84">
        <f t="shared" si="219"/>
        <v>5370554.5034844773</v>
      </c>
      <c r="BH84">
        <f t="shared" si="220"/>
        <v>5792048.1054911958</v>
      </c>
      <c r="BI84">
        <f t="shared" si="221"/>
        <v>6238844.3925761515</v>
      </c>
      <c r="BJ84">
        <f t="shared" si="222"/>
        <v>6712462.3103867248</v>
      </c>
    </row>
    <row r="85" spans="1:62" x14ac:dyDescent="0.3">
      <c r="D85">
        <f t="shared" si="167"/>
        <v>89821.103337337103</v>
      </c>
      <c r="E85">
        <f>(E84+8000)*1.00487-(0.00146*(E84+8000))</f>
        <v>191720.9793947037</v>
      </c>
      <c r="F85">
        <f>(F84+8000)*1.00487-(0.00146*(F84+8000))</f>
        <v>297869.69767994719</v>
      </c>
      <c r="G85">
        <f>(G84+8000)*1.00487-(0.00125*(G84+8000))</f>
        <v>408529.9007957562</v>
      </c>
      <c r="H85">
        <f t="shared" si="223"/>
        <v>524923.2077517499</v>
      </c>
      <c r="I85">
        <f t="shared" si="223"/>
        <v>646474.53208777914</v>
      </c>
      <c r="J85">
        <f t="shared" si="223"/>
        <v>773412.45347039518</v>
      </c>
      <c r="K85">
        <f t="shared" si="224"/>
        <v>907267.96916908375</v>
      </c>
      <c r="L85">
        <f t="shared" si="176"/>
        <v>1048279.4912639451</v>
      </c>
      <c r="M85">
        <f t="shared" si="177"/>
        <v>1195910.1808692529</v>
      </c>
      <c r="N85">
        <f t="shared" si="178"/>
        <v>1350470.7457759751</v>
      </c>
      <c r="O85">
        <f t="shared" si="179"/>
        <v>1512286.4785897457</v>
      </c>
      <c r="P85">
        <f t="shared" si="180"/>
        <v>1681697.9413510265</v>
      </c>
      <c r="Q85">
        <f t="shared" si="181"/>
        <v>1862823.4319354002</v>
      </c>
      <c r="R85">
        <f t="shared" si="182"/>
        <v>2053653.7173630469</v>
      </c>
      <c r="S85">
        <f t="shared" si="183"/>
        <v>2253936.6346176048</v>
      </c>
      <c r="T85">
        <f t="shared" si="184"/>
        <v>2464140.4125667047</v>
      </c>
      <c r="U85">
        <f t="shared" si="185"/>
        <v>2672701.6301853894</v>
      </c>
      <c r="V85">
        <f t="shared" si="186"/>
        <v>2889432.6407173513</v>
      </c>
      <c r="W85">
        <f t="shared" si="187"/>
        <v>3115768.1753267962</v>
      </c>
      <c r="X85">
        <f t="shared" si="188"/>
        <v>3352133.8624576093</v>
      </c>
      <c r="Y85">
        <f t="shared" si="189"/>
        <v>3598974.1924536312</v>
      </c>
      <c r="Z85">
        <f t="shared" si="190"/>
        <v>3856753.3534315294</v>
      </c>
      <c r="AA85">
        <f t="shared" si="191"/>
        <v>4125956.1041957182</v>
      </c>
      <c r="AB85">
        <f t="shared" si="192"/>
        <v>4407088.6858368656</v>
      </c>
      <c r="AC85">
        <f t="shared" si="193"/>
        <v>4700679.7737282719</v>
      </c>
      <c r="AD85">
        <f t="shared" si="194"/>
        <v>5007281.4717103401</v>
      </c>
      <c r="AE85">
        <f t="shared" si="195"/>
        <v>5327470.3503327705</v>
      </c>
      <c r="AI85">
        <f t="shared" si="170"/>
        <v>90613.562713438936</v>
      </c>
      <c r="AJ85">
        <f t="shared" si="196"/>
        <v>195146.99683157177</v>
      </c>
      <c r="AK85">
        <f t="shared" si="197"/>
        <v>305955.67819199944</v>
      </c>
      <c r="AL85">
        <f t="shared" si="198"/>
        <v>423416.31620146974</v>
      </c>
      <c r="AM85">
        <f t="shared" si="199"/>
        <v>547928.23451150057</v>
      </c>
      <c r="AN85">
        <f t="shared" si="200"/>
        <v>679914.72857425082</v>
      </c>
      <c r="AO85">
        <f t="shared" si="201"/>
        <v>819824.50469383493</v>
      </c>
      <c r="AP85">
        <f t="shared" si="202"/>
        <v>968133.20546533819</v>
      </c>
      <c r="AQ85">
        <f t="shared" si="203"/>
        <v>1125345.0267874685</v>
      </c>
      <c r="AR85">
        <f t="shared" si="204"/>
        <v>1291994.4319461056</v>
      </c>
      <c r="AS85">
        <f t="shared" si="205"/>
        <v>1468647.9685960126</v>
      </c>
      <c r="AT85">
        <f t="shared" si="206"/>
        <v>1655906.1948177863</v>
      </c>
      <c r="AU85">
        <f t="shared" si="207"/>
        <v>1854405.7207979439</v>
      </c>
      <c r="AV85">
        <f t="shared" si="208"/>
        <v>2064821.3730731218</v>
      </c>
      <c r="AW85">
        <f t="shared" si="209"/>
        <v>2287868.4886960299</v>
      </c>
      <c r="AX85">
        <f t="shared" si="210"/>
        <v>2524305.347122496</v>
      </c>
      <c r="AY85">
        <f t="shared" si="211"/>
        <v>2774935.7480871407</v>
      </c>
      <c r="AZ85">
        <f t="shared" si="212"/>
        <v>3040611.7442315174</v>
      </c>
      <c r="BA85">
        <f t="shared" si="213"/>
        <v>3322236.5377746751</v>
      </c>
      <c r="BB85">
        <f t="shared" si="214"/>
        <v>3620767.5510737672</v>
      </c>
      <c r="BC85">
        <f t="shared" si="215"/>
        <v>3937219.6815135018</v>
      </c>
      <c r="BD85">
        <f t="shared" si="216"/>
        <v>4272668.7517898837</v>
      </c>
      <c r="BE85">
        <f t="shared" si="217"/>
        <v>4628255.1673179604</v>
      </c>
      <c r="BF85">
        <f t="shared" si="218"/>
        <v>5005187.79319744</v>
      </c>
      <c r="BG85">
        <f t="shared" si="219"/>
        <v>5404748.0639164466</v>
      </c>
      <c r="BH85">
        <f t="shared" si="220"/>
        <v>5828294.3397649378</v>
      </c>
      <c r="BI85">
        <f t="shared" si="221"/>
        <v>6277266.5247679967</v>
      </c>
      <c r="BJ85">
        <f t="shared" si="222"/>
        <v>6753190.9618383078</v>
      </c>
    </row>
    <row r="86" spans="1:62" x14ac:dyDescent="0.3">
      <c r="D86">
        <f t="shared" si="167"/>
        <v>98154.673299717411</v>
      </c>
      <c r="E86">
        <f>(E85+8000)*1.00487-(0.00146*(E85+8000))</f>
        <v>200402.02793443963</v>
      </c>
      <c r="F86">
        <f>(F85+8000)*1.00487-(0.00146*(F85+8000))</f>
        <v>306912.71334903577</v>
      </c>
      <c r="G86">
        <f>(G85+8000)*1.00487-(0.00125*(G85+8000))</f>
        <v>418037.73903663683</v>
      </c>
      <c r="H86">
        <f t="shared" si="223"/>
        <v>534852.38976381114</v>
      </c>
      <c r="I86">
        <f t="shared" si="223"/>
        <v>656843.72989393678</v>
      </c>
      <c r="J86">
        <f t="shared" si="223"/>
        <v>784241.16655195795</v>
      </c>
      <c r="K86">
        <f t="shared" si="224"/>
        <v>918773.44549100124</v>
      </c>
      <c r="L86">
        <f t="shared" si="176"/>
        <v>1060325.041715486</v>
      </c>
      <c r="M86">
        <f t="shared" si="177"/>
        <v>1208521.1568619821</v>
      </c>
      <c r="N86">
        <f t="shared" si="178"/>
        <v>1363673.6887322969</v>
      </c>
      <c r="O86">
        <f t="shared" si="179"/>
        <v>1526109.1758027442</v>
      </c>
      <c r="P86">
        <f t="shared" si="180"/>
        <v>1696169.4844664009</v>
      </c>
      <c r="Q86">
        <f t="shared" si="181"/>
        <v>1878375.9461301235</v>
      </c>
      <c r="R86">
        <f t="shared" si="182"/>
        <v>2069976.6134200413</v>
      </c>
      <c r="S86">
        <f t="shared" si="183"/>
        <v>2271068.072811556</v>
      </c>
      <c r="T86">
        <f t="shared" si="184"/>
        <v>2482120.4434122359</v>
      </c>
      <c r="U86">
        <f t="shared" si="185"/>
        <v>2690405.77008666</v>
      </c>
      <c r="V86">
        <f t="shared" si="186"/>
        <v>2907921.3468767484</v>
      </c>
      <c r="W86" s="3">
        <f t="shared" si="187"/>
        <v>3135076.2161214794</v>
      </c>
      <c r="X86">
        <f t="shared" si="188"/>
        <v>3372297.5470397058</v>
      </c>
      <c r="Y86">
        <f t="shared" si="189"/>
        <v>3620031.4390303134</v>
      </c>
      <c r="Z86">
        <f t="shared" si="190"/>
        <v>3878743.7605709513</v>
      </c>
      <c r="AA86">
        <f t="shared" si="191"/>
        <v>4148921.0252929064</v>
      </c>
      <c r="AB86" s="3">
        <f t="shared" si="192"/>
        <v>4431071.3068795949</v>
      </c>
      <c r="AC86">
        <f t="shared" si="193"/>
        <v>4725725.1945091672</v>
      </c>
      <c r="AD86">
        <f t="shared" si="194"/>
        <v>5033436.7906379309</v>
      </c>
      <c r="AE86">
        <f t="shared" si="195"/>
        <v>5354784.7530009747</v>
      </c>
      <c r="AI86">
        <f t="shared" si="170"/>
        <v>99093.810763853384</v>
      </c>
      <c r="AJ86">
        <f t="shared" si="196"/>
        <v>204136.32270614151</v>
      </c>
      <c r="AK86">
        <f t="shared" si="197"/>
        <v>315484.64234479447</v>
      </c>
      <c r="AL86">
        <f t="shared" si="198"/>
        <v>433517.31366137089</v>
      </c>
      <c r="AM86">
        <f t="shared" si="199"/>
        <v>558635.60501357156</v>
      </c>
      <c r="AN86">
        <f t="shared" si="200"/>
        <v>691264.87330240733</v>
      </c>
      <c r="AO86">
        <f t="shared" si="201"/>
        <v>831856.01003169385</v>
      </c>
      <c r="AP86">
        <f t="shared" si="202"/>
        <v>980886.97417595435</v>
      </c>
      <c r="AQ86">
        <f t="shared" si="203"/>
        <v>1138864.4170679234</v>
      </c>
      <c r="AR86">
        <f t="shared" si="204"/>
        <v>1306325.404829683</v>
      </c>
      <c r="AS86">
        <f t="shared" si="205"/>
        <v>1483839.2442030751</v>
      </c>
      <c r="AT86">
        <f t="shared" si="206"/>
        <v>1672009.4179865487</v>
      </c>
      <c r="AU86">
        <f t="shared" si="207"/>
        <v>1871475.6366582296</v>
      </c>
      <c r="AV86">
        <f t="shared" si="208"/>
        <v>2082916.0131599877</v>
      </c>
      <c r="AW86">
        <f t="shared" si="209"/>
        <v>2307049.3682359792</v>
      </c>
      <c r="AX86">
        <f t="shared" si="210"/>
        <v>2544637.6741629825</v>
      </c>
      <c r="AY86">
        <f t="shared" si="211"/>
        <v>2796488.645180325</v>
      </c>
      <c r="AZ86">
        <f t="shared" si="212"/>
        <v>3063458.4834259246</v>
      </c>
      <c r="BA86">
        <f t="shared" si="213"/>
        <v>3346454.7897136374</v>
      </c>
      <c r="BB86" s="3">
        <f t="shared" si="214"/>
        <v>3646439.6490474963</v>
      </c>
      <c r="BC86">
        <f t="shared" si="215"/>
        <v>3964432.9013624722</v>
      </c>
      <c r="BD86">
        <f t="shared" si="216"/>
        <v>4301515.6086111004</v>
      </c>
      <c r="BE86">
        <f t="shared" si="217"/>
        <v>4658833.7299827989</v>
      </c>
      <c r="BF86">
        <f t="shared" si="218"/>
        <v>5037602.0177503107</v>
      </c>
      <c r="BG86" s="3">
        <f t="shared" si="219"/>
        <v>5439108.1469877195</v>
      </c>
      <c r="BH86">
        <f t="shared" si="220"/>
        <v>5864717.093199593</v>
      </c>
      <c r="BI86">
        <f t="shared" si="221"/>
        <v>6315875.7727436163</v>
      </c>
      <c r="BJ86">
        <f t="shared" si="222"/>
        <v>6794117.9618224595</v>
      </c>
    </row>
    <row r="89" spans="1:62" x14ac:dyDescent="0.3">
      <c r="D89" t="s">
        <v>59</v>
      </c>
      <c r="AI89" t="s">
        <v>59</v>
      </c>
      <c r="AJ89" t="s">
        <v>66</v>
      </c>
    </row>
    <row r="90" spans="1:62" x14ac:dyDescent="0.3">
      <c r="D90" t="s">
        <v>8</v>
      </c>
      <c r="AI90" t="s">
        <v>8</v>
      </c>
    </row>
    <row r="91" spans="1:62" x14ac:dyDescent="0.3">
      <c r="D91" t="s">
        <v>77</v>
      </c>
      <c r="AI91" t="s">
        <v>77</v>
      </c>
    </row>
    <row r="92" spans="1:62" x14ac:dyDescent="0.3">
      <c r="D92" t="s">
        <v>15</v>
      </c>
      <c r="E92" t="s">
        <v>16</v>
      </c>
      <c r="F92" t="s">
        <v>17</v>
      </c>
      <c r="G92" t="s">
        <v>18</v>
      </c>
      <c r="H92" t="s">
        <v>19</v>
      </c>
      <c r="I92" t="s">
        <v>20</v>
      </c>
      <c r="J92" t="s">
        <v>21</v>
      </c>
      <c r="K92" t="s">
        <v>22</v>
      </c>
      <c r="L92" t="s">
        <v>23</v>
      </c>
      <c r="M92" t="s">
        <v>24</v>
      </c>
      <c r="N92" t="s">
        <v>25</v>
      </c>
      <c r="O92" t="s">
        <v>26</v>
      </c>
      <c r="P92" t="s">
        <v>27</v>
      </c>
      <c r="Q92" t="s">
        <v>28</v>
      </c>
      <c r="R92" t="s">
        <v>29</v>
      </c>
      <c r="S92" t="s">
        <v>30</v>
      </c>
      <c r="T92" t="s">
        <v>31</v>
      </c>
      <c r="U92" t="s">
        <v>32</v>
      </c>
      <c r="V92" t="s">
        <v>33</v>
      </c>
      <c r="W92" t="s">
        <v>34</v>
      </c>
      <c r="X92" t="s">
        <v>35</v>
      </c>
      <c r="Y92" t="s">
        <v>36</v>
      </c>
      <c r="Z92" t="s">
        <v>37</v>
      </c>
      <c r="AA92" t="s">
        <v>38</v>
      </c>
      <c r="AB92" t="s">
        <v>39</v>
      </c>
      <c r="AC92" t="s">
        <v>67</v>
      </c>
      <c r="AD92" t="s">
        <v>68</v>
      </c>
      <c r="AE92" t="s">
        <v>69</v>
      </c>
      <c r="AI92" t="s">
        <v>15</v>
      </c>
      <c r="AJ92" t="s">
        <v>16</v>
      </c>
      <c r="AK92" t="s">
        <v>17</v>
      </c>
      <c r="AL92" t="s">
        <v>18</v>
      </c>
      <c r="AM92" t="s">
        <v>19</v>
      </c>
      <c r="AN92" t="s">
        <v>20</v>
      </c>
      <c r="AO92" t="s">
        <v>21</v>
      </c>
      <c r="AP92" t="s">
        <v>22</v>
      </c>
      <c r="AQ92" t="s">
        <v>23</v>
      </c>
      <c r="AR92" t="s">
        <v>24</v>
      </c>
      <c r="AS92" t="s">
        <v>25</v>
      </c>
      <c r="AT92" t="s">
        <v>26</v>
      </c>
      <c r="AU92" t="s">
        <v>27</v>
      </c>
      <c r="AV92" t="s">
        <v>28</v>
      </c>
      <c r="AW92" t="s">
        <v>29</v>
      </c>
      <c r="AX92" t="s">
        <v>30</v>
      </c>
      <c r="AY92" t="s">
        <v>31</v>
      </c>
      <c r="AZ92" t="s">
        <v>32</v>
      </c>
      <c r="BA92" t="s">
        <v>33</v>
      </c>
      <c r="BB92" t="s">
        <v>34</v>
      </c>
      <c r="BC92" t="s">
        <v>35</v>
      </c>
      <c r="BD92" t="s">
        <v>36</v>
      </c>
      <c r="BE92" t="s">
        <v>37</v>
      </c>
      <c r="BF92" t="s">
        <v>38</v>
      </c>
      <c r="BG92" t="s">
        <v>39</v>
      </c>
      <c r="BH92" t="s">
        <v>67</v>
      </c>
      <c r="BI92" t="s">
        <v>68</v>
      </c>
      <c r="BJ92" t="s">
        <v>69</v>
      </c>
    </row>
    <row r="93" spans="1:62" x14ac:dyDescent="0.3">
      <c r="D93">
        <v>0</v>
      </c>
      <c r="AI93">
        <v>0</v>
      </c>
    </row>
    <row r="94" spans="1:62" x14ac:dyDescent="0.3">
      <c r="D94">
        <f t="shared" ref="D94:D105" si="225">(D93+8000)*1.00566-(0.00146*(D93+8000))</f>
        <v>8033.5999999999995</v>
      </c>
      <c r="E94">
        <f>(D105+8000)*1.00566-(0.00146*(D105+8000))</f>
        <v>107109.56599194482</v>
      </c>
      <c r="F94">
        <f>(E105+8000)*1.00566-(0.00146*(E105+8000))</f>
        <v>211295.9391109898</v>
      </c>
      <c r="G94">
        <f>(F105+8000)*1.00566-(0.00146*(F105+8000))</f>
        <v>320856.31770556612</v>
      </c>
      <c r="H94">
        <f>(G105+8000)*1.00566-(0.00125*(G105+8000))</f>
        <v>436422.66297724936</v>
      </c>
      <c r="I94">
        <f>(H105+8000)*1.00566-(0.00125*(H105+8000))</f>
        <v>558883.48004862235</v>
      </c>
      <c r="J94">
        <f>(I105+8000)*1.00566-(0.00125*(I105+8000))</f>
        <v>687984.44490144891</v>
      </c>
      <c r="K94">
        <f>(J105+8000)*1.00566-(0.00104*(J105+8000))</f>
        <v>824597.55715975771</v>
      </c>
      <c r="L94">
        <f>(K105+8000)*1.00566-(0.00104*(K105+8000))</f>
        <v>970425.24266691576</v>
      </c>
      <c r="M94">
        <f>(L105+8000)*1.00566-(0.00104*(L105+8000))</f>
        <v>1124546.2437340536</v>
      </c>
      <c r="N94">
        <f>(M105+8000)*1.00566-(0.00104*(M105+8000))</f>
        <v>1287432.2066246239</v>
      </c>
      <c r="O94">
        <f>(N105+8000)*1.00566-(0.00104*(N105+8000))</f>
        <v>1459581.6004326129</v>
      </c>
      <c r="P94">
        <f>(O105+8000)*1.00566-(0.000833*(O105+8000))</f>
        <v>1642531.1710373953</v>
      </c>
      <c r="Q94">
        <f>(P105+8000)*1.00566-(0.000833*(P105+8000))</f>
        <v>1839306.1166916315</v>
      </c>
      <c r="R94">
        <f>(Q105+8000)*1.00566-(0.000833*(Q105+8000))</f>
        <v>2047786.5760044986</v>
      </c>
      <c r="S94">
        <f>(R105+8000)*1.00566-(0.000833*(R105+8000))</f>
        <v>2268668.8726342581</v>
      </c>
      <c r="T94">
        <f>(S105+8000)*1.00566-(0.000833*(S105+8000))</f>
        <v>2502690.7523118146</v>
      </c>
      <c r="U94">
        <f t="shared" ref="U94:AE94" si="226">(T105+8000)*1.00566-(0.00125*(T105+8000))</f>
        <v>2749492.342634608</v>
      </c>
      <c r="V94">
        <f t="shared" si="226"/>
        <v>2997373.8850370287</v>
      </c>
      <c r="W94">
        <f t="shared" si="226"/>
        <v>3258696.2170177777</v>
      </c>
      <c r="X94">
        <f t="shared" si="226"/>
        <v>3534188.1335598896</v>
      </c>
      <c r="Y94">
        <f t="shared" si="226"/>
        <v>3824617.9468283411</v>
      </c>
      <c r="Z94">
        <f t="shared" si="226"/>
        <v>4130795.6288956627</v>
      </c>
      <c r="AA94">
        <f t="shared" si="226"/>
        <v>4453575.0706517594</v>
      </c>
      <c r="AB94">
        <f t="shared" si="226"/>
        <v>4793856.4631977668</v>
      </c>
      <c r="AC94">
        <f t="shared" si="226"/>
        <v>5152588.8083653571</v>
      </c>
      <c r="AD94">
        <f t="shared" si="226"/>
        <v>5530772.5653630011</v>
      </c>
      <c r="AE94">
        <f t="shared" si="226"/>
        <v>5929462.4409303581</v>
      </c>
      <c r="AI94">
        <f t="shared" ref="AI94:AI105" si="227">(AI93+8000)*1.00566-0</f>
        <v>8045.28</v>
      </c>
      <c r="AJ94">
        <f t="shared" ref="AJ94:BJ94" si="228">(AI105+8000)*1.00566-0</f>
        <v>108215.23626709155</v>
      </c>
      <c r="AK94">
        <f t="shared" si="228"/>
        <v>215404.57747447563</v>
      </c>
      <c r="AL94">
        <f t="shared" si="228"/>
        <v>330105.18528783479</v>
      </c>
      <c r="AM94">
        <f t="shared" si="228"/>
        <v>452843.40985906404</v>
      </c>
      <c r="AN94">
        <f t="shared" si="228"/>
        <v>584182.48519692756</v>
      </c>
      <c r="AO94">
        <f t="shared" si="228"/>
        <v>724725.11379421689</v>
      </c>
      <c r="AP94">
        <f t="shared" si="228"/>
        <v>875116.23237202037</v>
      </c>
      <c r="AQ94">
        <f t="shared" si="228"/>
        <v>1036045.9714328356</v>
      </c>
      <c r="AR94">
        <f t="shared" si="228"/>
        <v>1208252.8222036397</v>
      </c>
      <c r="AS94">
        <f t="shared" si="228"/>
        <v>1392527.0255017094</v>
      </c>
      <c r="AT94">
        <f t="shared" si="228"/>
        <v>1589714.1980743781</v>
      </c>
      <c r="AU94">
        <f t="shared" si="228"/>
        <v>1800719.2130536546</v>
      </c>
      <c r="AV94">
        <f t="shared" si="228"/>
        <v>2026510.3523327413</v>
      </c>
      <c r="AW94">
        <f t="shared" si="228"/>
        <v>2268123.7499193097</v>
      </c>
      <c r="AX94">
        <f t="shared" si="228"/>
        <v>2526668.1466556629</v>
      </c>
      <c r="AY94">
        <f t="shared" si="228"/>
        <v>2803329.9781247326</v>
      </c>
      <c r="AZ94">
        <f t="shared" si="228"/>
        <v>3099378.8190898402</v>
      </c>
      <c r="BA94">
        <f t="shared" si="228"/>
        <v>3416173.2094522202</v>
      </c>
      <c r="BB94">
        <f t="shared" si="228"/>
        <v>3755166.8884610836</v>
      </c>
      <c r="BC94">
        <f t="shared" si="228"/>
        <v>4117915.4657844128</v>
      </c>
      <c r="BD94">
        <f t="shared" si="228"/>
        <v>4506083.5600533886</v>
      </c>
      <c r="BE94">
        <f t="shared" si="228"/>
        <v>4921452.4376385566</v>
      </c>
      <c r="BF94">
        <f t="shared" si="228"/>
        <v>5365928.1867113542</v>
      </c>
      <c r="BG94">
        <f t="shared" si="228"/>
        <v>5841550.4641009644</v>
      </c>
      <c r="BH94">
        <f t="shared" si="228"/>
        <v>6350501.8550850162</v>
      </c>
      <c r="BI94">
        <f t="shared" si="228"/>
        <v>6895117.8890653038</v>
      </c>
      <c r="BJ94">
        <f t="shared" si="228"/>
        <v>7477897.7570895031</v>
      </c>
    </row>
    <row r="95" spans="1:62" x14ac:dyDescent="0.3">
      <c r="D95">
        <f t="shared" si="225"/>
        <v>16100.941119999998</v>
      </c>
      <c r="E95">
        <f t="shared" ref="E95:G102" si="229">(E94+8000)*1.00566-(0.00146*(E94+8000))</f>
        <v>115593.02616911099</v>
      </c>
      <c r="F95">
        <f t="shared" si="229"/>
        <v>220216.98205525597</v>
      </c>
      <c r="G95">
        <f t="shared" si="229"/>
        <v>330237.5142399295</v>
      </c>
      <c r="H95">
        <f t="shared" ref="H95:H103" si="230">(H94+8000)*1.00566-(0.00125*(H94+8000))</f>
        <v>446382.56692097901</v>
      </c>
      <c r="I95">
        <f t="shared" ref="I95:I103" si="231">(I94+8000)*1.00566-(0.00125*(I94+8000))</f>
        <v>569383.43619563675</v>
      </c>
      <c r="J95">
        <f t="shared" ref="J95:J103" si="232">(J94+8000)*1.00566-(0.00125*(J94+8000))</f>
        <v>699053.73630346428</v>
      </c>
      <c r="K95">
        <f t="shared" ref="K95:K103" si="233">(K94+8000)*1.00566-(0.00104*(K94+8000))</f>
        <v>836444.15787383576</v>
      </c>
      <c r="L95">
        <f t="shared" ref="L95:L103" si="234">(L94+8000)*1.00566-(0.00104*(L94+8000))</f>
        <v>982945.56728803692</v>
      </c>
      <c r="M95">
        <f t="shared" ref="M95:M103" si="235">(M94+8000)*1.00566-(0.00104*(M94+8000))</f>
        <v>1137778.6073801049</v>
      </c>
      <c r="N95">
        <f t="shared" ref="N95:N103" si="236">(N94+8000)*1.00566-(0.00104*(N94+8000))</f>
        <v>1301417.1034192296</v>
      </c>
      <c r="O95">
        <f t="shared" ref="O95:O103" si="237">(O94+8000)*1.00566-(0.00104*(O94+8000))</f>
        <v>1474361.8274266117</v>
      </c>
      <c r="P95">
        <f t="shared" ref="P95:P105" si="238">(P94+8000)*1.00566-(0.000833*(P94+8000))</f>
        <v>1658498.2849999929</v>
      </c>
      <c r="Q95">
        <f t="shared" ref="Q95:Q105" si="239">(Q94+8000)*1.00566-(0.000833*(Q94+8000))</f>
        <v>1856223.0633169021</v>
      </c>
      <c r="R95">
        <f t="shared" ref="R95:R105" si="240">(R94+8000)*1.00566-(0.000833*(R94+8000))</f>
        <v>2065709.8578068723</v>
      </c>
      <c r="S95">
        <f t="shared" ref="S95:S105" si="241">(S94+8000)*1.00566-(0.000833*(S94+8000))</f>
        <v>2287658.3532824633</v>
      </c>
      <c r="T95">
        <f t="shared" ref="T95:T105" si="242">(T94+8000)*1.00566-(0.000833*(T94+8000))</f>
        <v>2522809.8565732236</v>
      </c>
      <c r="U95">
        <f t="shared" ref="U95:U105" si="243">(U94+8000)*1.00566-(0.00125*(U94+8000))</f>
        <v>2769652.883865627</v>
      </c>
      <c r="V95">
        <f t="shared" ref="V95:V105" si="244">(V94+8000)*1.00566-(0.00125*(V94+8000))</f>
        <v>3018627.5838700421</v>
      </c>
      <c r="W95">
        <f t="shared" ref="W95:W105" si="245">(W94+8000)*1.00566-(0.00125*(W94+8000))</f>
        <v>3281102.3473348264</v>
      </c>
      <c r="X95">
        <f t="shared" ref="X95:X105" si="246">(X94+8000)*1.00566-(0.00125*(X94+8000))</f>
        <v>3557809.183228889</v>
      </c>
      <c r="Y95">
        <f t="shared" ref="Y95:Y105" si="247">(Y94+8000)*1.00566-(0.00125*(Y94+8000))</f>
        <v>3849519.7919738544</v>
      </c>
      <c r="Z95">
        <f t="shared" ref="Z95:Z105" si="248">(Z94+8000)*1.00566-(0.00125*(Z94+8000))</f>
        <v>4157047.7176190927</v>
      </c>
      <c r="AA95">
        <f t="shared" ref="AA95:AA105" si="249">(AA94+8000)*1.00566-(0.00125*(AA94+8000))</f>
        <v>4481250.6167133339</v>
      </c>
      <c r="AB95">
        <f t="shared" ref="AB95:AB105" si="250">(AB94+8000)*1.00566-(0.00125*(AB94+8000))</f>
        <v>4823032.6502004694</v>
      </c>
      <c r="AC95">
        <f t="shared" ref="AC95:AC105" si="251">(AC94+8000)*1.00566-(0.00125*(AC94+8000))</f>
        <v>5183347.0050102482</v>
      </c>
      <c r="AD95">
        <f t="shared" ref="AD95:AD105" si="252">(AD94+8000)*1.00566-(0.00125*(AD94+8000))</f>
        <v>5563198.5523762517</v>
      </c>
      <c r="AE95">
        <f t="shared" ref="AE95:AE105" si="253">(AE94+8000)*1.00566-(0.00125*(AE94+8000))</f>
        <v>5963646.6502948608</v>
      </c>
      <c r="AI95">
        <f t="shared" si="227"/>
        <v>16136.096284799998</v>
      </c>
      <c r="AJ95">
        <f t="shared" ref="AJ95:AJ105" si="254">(AJ94+8000)*1.00566-0</f>
        <v>116873.01450436328</v>
      </c>
      <c r="AK95">
        <f t="shared" ref="AK95:AK105" si="255">(AK94+8000)*1.00566-0</f>
        <v>224669.04738298117</v>
      </c>
      <c r="AL95">
        <f t="shared" ref="AL95:AL105" si="256">(AL94+8000)*1.00566-0</f>
        <v>340018.86063656391</v>
      </c>
      <c r="AM95">
        <f t="shared" ref="AM95:AM105" si="257">(AM94+8000)*1.00566-0</f>
        <v>463451.78355886636</v>
      </c>
      <c r="AN95">
        <f t="shared" ref="AN95:AN105" si="258">(AN94+8000)*1.00566-0</f>
        <v>595534.23806314217</v>
      </c>
      <c r="AO95">
        <f t="shared" ref="AO95:AO105" si="259">(AO94+8000)*1.00566-0</f>
        <v>736872.33793829218</v>
      </c>
      <c r="AP95">
        <f t="shared" ref="AP95:AP105" si="260">(AP94+8000)*1.00566-0</f>
        <v>888114.67024724605</v>
      </c>
      <c r="AQ95">
        <f t="shared" ref="AQ95:AQ105" si="261">(AQ94+8000)*1.00566-0</f>
        <v>1049955.2716311454</v>
      </c>
      <c r="AR95">
        <f t="shared" ref="AR95:AR105" si="262">(AR94+8000)*1.00566-0</f>
        <v>1223136.8131773123</v>
      </c>
      <c r="AS95">
        <f t="shared" ref="AS95:AS105" si="263">(AS94+8000)*1.00566-0</f>
        <v>1408454.0084660491</v>
      </c>
      <c r="AT95">
        <f t="shared" ref="AT95:AT105" si="264">(AT94+8000)*1.00566-0</f>
        <v>1606757.260435479</v>
      </c>
      <c r="AU95">
        <f t="shared" ref="AU95:AU105" si="265">(AU94+8000)*1.00566-0</f>
        <v>1818956.5637995384</v>
      </c>
      <c r="AV95">
        <f t="shared" ref="AV95:AV105" si="266">(AV94+8000)*1.00566-0</f>
        <v>2046025.6809269446</v>
      </c>
      <c r="AW95">
        <f t="shared" ref="AW95:AW105" si="267">(AW94+8000)*1.00566-0</f>
        <v>2289006.610343853</v>
      </c>
      <c r="AX95">
        <f t="shared" ref="AX95:AX105" si="268">(AX94+8000)*1.00566-0</f>
        <v>2549014.3683657339</v>
      </c>
      <c r="AY95">
        <f t="shared" ref="AY95:AY105" si="269">(AY94+8000)*1.00566-0</f>
        <v>2827242.1058009188</v>
      </c>
      <c r="AZ95">
        <f t="shared" ref="AZ95:AZ105" si="270">(AZ94+8000)*1.00566-0</f>
        <v>3124966.5832058885</v>
      </c>
      <c r="BA95">
        <f t="shared" ref="BA95:BA105" si="271">(BA94+8000)*1.00566-0</f>
        <v>3443554.0298177199</v>
      </c>
      <c r="BB95">
        <f t="shared" ref="BB95:BB105" si="272">(BB94+8000)*1.00566-0</f>
        <v>3784466.4130497733</v>
      </c>
      <c r="BC95">
        <f t="shared" ref="BC95:BC105" si="273">(BC94+8000)*1.00566-0</f>
        <v>4149268.1473207525</v>
      </c>
      <c r="BD95">
        <f t="shared" ref="BD95:BD105" si="274">(BD94+8000)*1.00566-0</f>
        <v>4539633.2730032904</v>
      </c>
      <c r="BE95">
        <f t="shared" ref="BE95:BE105" si="275">(BE94+8000)*1.00566-0</f>
        <v>4957353.138435591</v>
      </c>
      <c r="BF95">
        <f t="shared" ref="BF95:BF105" si="276">(BF94+8000)*1.00566-0</f>
        <v>5404344.6202481408</v>
      </c>
      <c r="BG95">
        <f t="shared" ref="BG95:BG105" si="277">(BG94+8000)*1.00566-0</f>
        <v>5882658.9197277762</v>
      </c>
      <c r="BH95">
        <f t="shared" ref="BH95:BH105" si="278">(BH94+8000)*1.00566-0</f>
        <v>6394490.9755847976</v>
      </c>
      <c r="BI95">
        <f t="shared" ref="BI95:BI105" si="279">(BI94+8000)*1.00566-0</f>
        <v>6942189.5363174137</v>
      </c>
      <c r="BJ95">
        <f t="shared" ref="BJ95:BJ105" si="280">(BJ94+8000)*1.00566-0</f>
        <v>7528267.9383946294</v>
      </c>
    </row>
    <row r="96" spans="1:62" x14ac:dyDescent="0.3">
      <c r="A96">
        <f>0.0175/12</f>
        <v>1.4583333333333334E-3</v>
      </c>
      <c r="B96">
        <v>1.75</v>
      </c>
      <c r="D96">
        <f t="shared" si="225"/>
        <v>24202.165072703996</v>
      </c>
      <c r="E96">
        <f t="shared" si="229"/>
        <v>124112.11687902125</v>
      </c>
      <c r="F96">
        <f t="shared" si="229"/>
        <v>229175.49337988804</v>
      </c>
      <c r="G96">
        <f t="shared" si="229"/>
        <v>339658.11179973721</v>
      </c>
      <c r="H96">
        <f t="shared" si="230"/>
        <v>456386.39404110052</v>
      </c>
      <c r="I96">
        <f t="shared" si="231"/>
        <v>579929.6971492595</v>
      </c>
      <c r="J96">
        <f t="shared" si="232"/>
        <v>710171.84328056255</v>
      </c>
      <c r="K96">
        <f t="shared" si="233"/>
        <v>848345.48988321284</v>
      </c>
      <c r="L96">
        <f t="shared" si="234"/>
        <v>995523.73580890766</v>
      </c>
      <c r="M96">
        <f t="shared" si="235"/>
        <v>1151072.1045462009</v>
      </c>
      <c r="N96">
        <f t="shared" si="236"/>
        <v>1315466.6104370265</v>
      </c>
      <c r="O96">
        <f t="shared" si="237"/>
        <v>1489210.3390693225</v>
      </c>
      <c r="P96">
        <f t="shared" si="238"/>
        <v>1674542.4722216879</v>
      </c>
      <c r="Q96">
        <f t="shared" si="239"/>
        <v>1873221.6680435329</v>
      </c>
      <c r="R96">
        <f t="shared" si="240"/>
        <v>2083719.6552905061</v>
      </c>
      <c r="S96">
        <f t="shared" si="241"/>
        <v>2306739.4961537579</v>
      </c>
      <c r="T96">
        <f t="shared" si="242"/>
        <v>2543026.0757509023</v>
      </c>
      <c r="U96">
        <f t="shared" si="243"/>
        <v>2789902.3330834745</v>
      </c>
      <c r="V96">
        <f t="shared" si="244"/>
        <v>3039975.0115149091</v>
      </c>
      <c r="W96">
        <f t="shared" si="245"/>
        <v>3303607.288686573</v>
      </c>
      <c r="X96">
        <f t="shared" si="246"/>
        <v>3581534.4017269285</v>
      </c>
      <c r="Y96">
        <f t="shared" si="247"/>
        <v>3874531.4542564591</v>
      </c>
      <c r="Z96">
        <f t="shared" si="248"/>
        <v>4183415.5780537929</v>
      </c>
      <c r="AA96">
        <f t="shared" si="249"/>
        <v>4509048.2119330391</v>
      </c>
      <c r="AB96">
        <f t="shared" si="250"/>
        <v>4852337.504187854</v>
      </c>
      <c r="AC96">
        <f t="shared" si="251"/>
        <v>5214240.8453023434</v>
      </c>
      <c r="AD96">
        <f t="shared" si="252"/>
        <v>5595767.5379922315</v>
      </c>
      <c r="AE96">
        <f t="shared" si="253"/>
        <v>5997981.6120226607</v>
      </c>
      <c r="AI96">
        <f t="shared" si="227"/>
        <v>24272.706589771966</v>
      </c>
      <c r="AJ96">
        <f t="shared" si="254"/>
        <v>125579.79576645797</v>
      </c>
      <c r="AK96">
        <f t="shared" si="255"/>
        <v>233985.95419116883</v>
      </c>
      <c r="AL96">
        <f t="shared" si="256"/>
        <v>349988.64738776686</v>
      </c>
      <c r="AM96">
        <f t="shared" si="257"/>
        <v>474120.20065380953</v>
      </c>
      <c r="AN96">
        <f t="shared" si="258"/>
        <v>606950.24185057951</v>
      </c>
      <c r="AO96">
        <f t="shared" si="259"/>
        <v>749088.31537102291</v>
      </c>
      <c r="AP96">
        <f t="shared" si="260"/>
        <v>901186.67928084545</v>
      </c>
      <c r="AQ96">
        <f t="shared" si="261"/>
        <v>1063943.2984685777</v>
      </c>
      <c r="AR96">
        <f t="shared" si="262"/>
        <v>1238105.0475398959</v>
      </c>
      <c r="AS96">
        <f t="shared" si="263"/>
        <v>1424471.138153967</v>
      </c>
      <c r="AT96">
        <f t="shared" si="264"/>
        <v>1623896.7865295438</v>
      </c>
      <c r="AU96">
        <f t="shared" si="265"/>
        <v>1837297.1379506439</v>
      </c>
      <c r="AV96">
        <f t="shared" si="266"/>
        <v>2065651.4662809912</v>
      </c>
      <c r="AW96">
        <f t="shared" si="267"/>
        <v>2310007.6677583992</v>
      </c>
      <c r="AX96">
        <f t="shared" si="268"/>
        <v>2571487.0696906839</v>
      </c>
      <c r="AY96">
        <f t="shared" si="269"/>
        <v>2851289.5761197521</v>
      </c>
      <c r="AZ96">
        <f t="shared" si="270"/>
        <v>3150699.1740668337</v>
      </c>
      <c r="BA96">
        <f t="shared" si="271"/>
        <v>3471089.8256264883</v>
      </c>
      <c r="BB96">
        <f t="shared" si="272"/>
        <v>3813931.772947635</v>
      </c>
      <c r="BC96">
        <f t="shared" si="273"/>
        <v>4180798.2850345881</v>
      </c>
      <c r="BD96">
        <f t="shared" si="274"/>
        <v>4573372.877328489</v>
      </c>
      <c r="BE96">
        <f t="shared" si="275"/>
        <v>4993457.0371991368</v>
      </c>
      <c r="BF96">
        <f t="shared" si="276"/>
        <v>5442978.4907987453</v>
      </c>
      <c r="BG96">
        <f t="shared" si="277"/>
        <v>5924000.0492134355</v>
      </c>
      <c r="BH96">
        <f t="shared" si="278"/>
        <v>6438729.0745066078</v>
      </c>
      <c r="BI96">
        <f t="shared" si="279"/>
        <v>6989527.6090929704</v>
      </c>
      <c r="BJ96">
        <f t="shared" si="280"/>
        <v>7578923.2149259429</v>
      </c>
    </row>
    <row r="97" spans="1:62" x14ac:dyDescent="0.3">
      <c r="A97">
        <f>0.015/12</f>
        <v>1.25E-3</v>
      </c>
      <c r="B97">
        <v>1.5</v>
      </c>
      <c r="D97">
        <f t="shared" si="225"/>
        <v>32337.414166009352</v>
      </c>
      <c r="E97">
        <f t="shared" si="229"/>
        <v>132666.98776991316</v>
      </c>
      <c r="F97">
        <f t="shared" si="229"/>
        <v>238171.63045208357</v>
      </c>
      <c r="G97">
        <f t="shared" si="229"/>
        <v>349118.27586929611</v>
      </c>
      <c r="H97">
        <f t="shared" si="230"/>
        <v>466434.33803882182</v>
      </c>
      <c r="I97">
        <f t="shared" si="231"/>
        <v>590522.46711368777</v>
      </c>
      <c r="J97">
        <f t="shared" si="232"/>
        <v>721338.98110942985</v>
      </c>
      <c r="K97">
        <f t="shared" si="233"/>
        <v>860301.80604647333</v>
      </c>
      <c r="L97">
        <f t="shared" si="234"/>
        <v>1008160.0154683448</v>
      </c>
      <c r="M97">
        <f t="shared" si="235"/>
        <v>1164427.0176692044</v>
      </c>
      <c r="N97">
        <f t="shared" si="236"/>
        <v>1329581.0261772454</v>
      </c>
      <c r="O97">
        <f t="shared" si="237"/>
        <v>1504127.4508358228</v>
      </c>
      <c r="P97">
        <f t="shared" si="238"/>
        <v>1690664.104735102</v>
      </c>
      <c r="Q97">
        <f t="shared" si="239"/>
        <v>1890302.325035179</v>
      </c>
      <c r="R97">
        <f t="shared" si="240"/>
        <v>2101816.3860665932</v>
      </c>
      <c r="S97">
        <f t="shared" si="241"/>
        <v>2325912.7437016922</v>
      </c>
      <c r="T97">
        <f t="shared" si="242"/>
        <v>2563339.8786185519</v>
      </c>
      <c r="U97">
        <f t="shared" si="243"/>
        <v>2810241.082372373</v>
      </c>
      <c r="V97">
        <f t="shared" si="244"/>
        <v>3061416.5813156897</v>
      </c>
      <c r="W97">
        <f t="shared" si="245"/>
        <v>3326211.4768296806</v>
      </c>
      <c r="X97">
        <f t="shared" si="246"/>
        <v>3605364.2484385441</v>
      </c>
      <c r="Y97">
        <f t="shared" si="247"/>
        <v>3899653.4179697302</v>
      </c>
      <c r="Z97">
        <f t="shared" si="248"/>
        <v>4209899.7207530104</v>
      </c>
      <c r="AA97">
        <f t="shared" si="249"/>
        <v>4536968.3945476636</v>
      </c>
      <c r="AB97">
        <f t="shared" si="250"/>
        <v>4881771.5925813224</v>
      </c>
      <c r="AC97">
        <f t="shared" si="251"/>
        <v>5245270.9274301268</v>
      </c>
      <c r="AD97">
        <f t="shared" si="252"/>
        <v>5628480.1528347768</v>
      </c>
      <c r="AE97">
        <f t="shared" si="253"/>
        <v>6032467.9909316804</v>
      </c>
      <c r="AI97">
        <f t="shared" si="227"/>
        <v>32455.370109070074</v>
      </c>
      <c r="AJ97">
        <f t="shared" si="254"/>
        <v>134335.85741049613</v>
      </c>
      <c r="AK97">
        <f t="shared" si="255"/>
        <v>243355.59469189084</v>
      </c>
      <c r="AL97">
        <f t="shared" si="256"/>
        <v>360014.86313198163</v>
      </c>
      <c r="AM97">
        <f t="shared" si="257"/>
        <v>484849.0009895101</v>
      </c>
      <c r="AN97">
        <f t="shared" si="258"/>
        <v>618430.86021945381</v>
      </c>
      <c r="AO97">
        <f t="shared" si="259"/>
        <v>761373.43523602292</v>
      </c>
      <c r="AP97">
        <f t="shared" si="260"/>
        <v>914332.67588557501</v>
      </c>
      <c r="AQ97">
        <f t="shared" si="261"/>
        <v>1078010.4975379098</v>
      </c>
      <c r="AR97">
        <f t="shared" si="262"/>
        <v>1253158.0021089716</v>
      </c>
      <c r="AS97">
        <f t="shared" si="263"/>
        <v>1440578.9247959184</v>
      </c>
      <c r="AT97">
        <f t="shared" si="264"/>
        <v>1641133.322341301</v>
      </c>
      <c r="AU97">
        <f t="shared" si="265"/>
        <v>1855741.5197514445</v>
      </c>
      <c r="AV97">
        <f t="shared" si="266"/>
        <v>2085388.3335801417</v>
      </c>
      <c r="AW97">
        <f t="shared" si="267"/>
        <v>2331127.5911579118</v>
      </c>
      <c r="AX97">
        <f t="shared" si="268"/>
        <v>2594086.9665051331</v>
      </c>
      <c r="AY97">
        <f t="shared" si="269"/>
        <v>2875473.1551205898</v>
      </c>
      <c r="AZ97">
        <f t="shared" si="270"/>
        <v>3176577.4113920522</v>
      </c>
      <c r="BA97">
        <f t="shared" si="271"/>
        <v>3498781.4740395341</v>
      </c>
      <c r="BB97">
        <f t="shared" si="272"/>
        <v>3843563.9067825186</v>
      </c>
      <c r="BC97">
        <f t="shared" si="273"/>
        <v>4212506.8833278837</v>
      </c>
      <c r="BD97">
        <f t="shared" si="274"/>
        <v>4607303.4478141684</v>
      </c>
      <c r="BE97">
        <f t="shared" si="275"/>
        <v>5029765.284029684</v>
      </c>
      <c r="BF97">
        <f t="shared" si="276"/>
        <v>5481831.0290566664</v>
      </c>
      <c r="BG97">
        <f t="shared" si="277"/>
        <v>5965575.169491984</v>
      </c>
      <c r="BH97">
        <f t="shared" si="278"/>
        <v>6483217.5610683151</v>
      </c>
      <c r="BI97">
        <f t="shared" si="279"/>
        <v>7037133.615360437</v>
      </c>
      <c r="BJ97">
        <f t="shared" si="280"/>
        <v>7629865.2003224241</v>
      </c>
    </row>
    <row r="98" spans="1:62" x14ac:dyDescent="0.3">
      <c r="A98">
        <f>0.0125/12</f>
        <v>1.0416666666666667E-3</v>
      </c>
      <c r="B98">
        <v>1.25</v>
      </c>
      <c r="D98">
        <f t="shared" si="225"/>
        <v>40506.831305506588</v>
      </c>
      <c r="E98">
        <f t="shared" si="229"/>
        <v>141257.78911854679</v>
      </c>
      <c r="F98">
        <f t="shared" si="229"/>
        <v>247205.55129998233</v>
      </c>
      <c r="G98">
        <f t="shared" si="229"/>
        <v>358618.17262794718</v>
      </c>
      <c r="H98">
        <f t="shared" si="230"/>
        <v>476526.59346957301</v>
      </c>
      <c r="I98">
        <f t="shared" si="231"/>
        <v>601161.95119365922</v>
      </c>
      <c r="J98">
        <f t="shared" si="232"/>
        <v>732555.36601612251</v>
      </c>
      <c r="K98">
        <f t="shared" si="233"/>
        <v>872313.36039040796</v>
      </c>
      <c r="L98">
        <f t="shared" si="234"/>
        <v>1020854.6747398085</v>
      </c>
      <c r="M98">
        <f t="shared" si="235"/>
        <v>1177843.6304908362</v>
      </c>
      <c r="N98">
        <f t="shared" si="236"/>
        <v>1343760.6505181843</v>
      </c>
      <c r="O98">
        <f t="shared" si="237"/>
        <v>1519113.4796586842</v>
      </c>
      <c r="P98">
        <f t="shared" si="238"/>
        <v>1706863.5563686583</v>
      </c>
      <c r="Q98">
        <f t="shared" si="239"/>
        <v>1907465.4303581237</v>
      </c>
      <c r="R98">
        <f t="shared" si="240"/>
        <v>2120000.4697621367</v>
      </c>
      <c r="S98">
        <f t="shared" si="241"/>
        <v>2345178.5405155402</v>
      </c>
      <c r="T98">
        <f t="shared" si="242"/>
        <v>2583751.7362126433</v>
      </c>
      <c r="U98">
        <f t="shared" si="243"/>
        <v>2830669.5255456348</v>
      </c>
      <c r="V98">
        <f t="shared" si="244"/>
        <v>3082952.7084392919</v>
      </c>
      <c r="W98">
        <f t="shared" si="245"/>
        <v>3348915.3494424997</v>
      </c>
      <c r="X98">
        <f t="shared" si="246"/>
        <v>3629299.1847741581</v>
      </c>
      <c r="Y98">
        <f t="shared" si="247"/>
        <v>3924886.1695429767</v>
      </c>
      <c r="Z98">
        <f t="shared" si="248"/>
        <v>4236500.6585215311</v>
      </c>
      <c r="AA98">
        <f t="shared" si="249"/>
        <v>4565011.7051676186</v>
      </c>
      <c r="AB98">
        <f t="shared" si="250"/>
        <v>4911335.4853046061</v>
      </c>
      <c r="AC98">
        <f t="shared" si="251"/>
        <v>5276437.8522200938</v>
      </c>
      <c r="AD98">
        <f t="shared" si="252"/>
        <v>5661337.0303087775</v>
      </c>
      <c r="AE98">
        <f t="shared" si="253"/>
        <v>6067106.4547716891</v>
      </c>
      <c r="AI98">
        <f t="shared" si="227"/>
        <v>40684.347503887417</v>
      </c>
      <c r="AJ98">
        <f t="shared" si="254"/>
        <v>143141.47836343953</v>
      </c>
      <c r="AK98">
        <f t="shared" si="255"/>
        <v>252778.26735784695</v>
      </c>
      <c r="AL98">
        <f t="shared" si="256"/>
        <v>370097.82725730864</v>
      </c>
      <c r="AM98">
        <f t="shared" si="257"/>
        <v>495638.52633511071</v>
      </c>
      <c r="AN98">
        <f t="shared" si="258"/>
        <v>629976.45888829592</v>
      </c>
      <c r="AO98">
        <f t="shared" si="259"/>
        <v>773728.08887945884</v>
      </c>
      <c r="AP98">
        <f t="shared" si="260"/>
        <v>927553.07883108733</v>
      </c>
      <c r="AQ98">
        <f t="shared" si="261"/>
        <v>1092157.3169539743</v>
      </c>
      <c r="AR98">
        <f t="shared" si="262"/>
        <v>1268296.1564009083</v>
      </c>
      <c r="AS98">
        <f t="shared" si="263"/>
        <v>1456777.8815102633</v>
      </c>
      <c r="AT98">
        <f t="shared" si="264"/>
        <v>1658467.4169457527</v>
      </c>
      <c r="AU98">
        <f t="shared" si="265"/>
        <v>1874290.2967532377</v>
      </c>
      <c r="AV98">
        <f t="shared" si="266"/>
        <v>2105236.9115482052</v>
      </c>
      <c r="AW98">
        <f t="shared" si="267"/>
        <v>2352367.0533238654</v>
      </c>
      <c r="AX98">
        <f t="shared" si="268"/>
        <v>2616814.778735552</v>
      </c>
      <c r="AY98">
        <f t="shared" si="269"/>
        <v>2899793.6131785722</v>
      </c>
      <c r="AZ98">
        <f t="shared" si="270"/>
        <v>3202602.1195405312</v>
      </c>
      <c r="BA98">
        <f t="shared" si="271"/>
        <v>3526629.8571825977</v>
      </c>
      <c r="BB98">
        <f t="shared" si="272"/>
        <v>3873363.7584949075</v>
      </c>
      <c r="BC98">
        <f t="shared" si="273"/>
        <v>4244394.9522875194</v>
      </c>
      <c r="BD98">
        <f t="shared" si="274"/>
        <v>4641426.0653287964</v>
      </c>
      <c r="BE98">
        <f t="shared" si="275"/>
        <v>5066279.0355372922</v>
      </c>
      <c r="BF98">
        <f t="shared" si="276"/>
        <v>5520903.4726811275</v>
      </c>
      <c r="BG98">
        <f t="shared" si="277"/>
        <v>6007385.6049513081</v>
      </c>
      <c r="BH98">
        <f t="shared" si="278"/>
        <v>6527957.8524639616</v>
      </c>
      <c r="BI98">
        <f t="shared" si="279"/>
        <v>7085009.0716233766</v>
      </c>
      <c r="BJ98">
        <f t="shared" si="280"/>
        <v>7681095.5173562486</v>
      </c>
    </row>
    <row r="99" spans="1:62" x14ac:dyDescent="0.3">
      <c r="A99">
        <f>0.01/12</f>
        <v>8.3333333333333339E-4</v>
      </c>
      <c r="B99">
        <v>1</v>
      </c>
      <c r="D99">
        <f t="shared" si="225"/>
        <v>48710.559996989716</v>
      </c>
      <c r="E99">
        <f t="shared" si="229"/>
        <v>149884.6718328447</v>
      </c>
      <c r="F99">
        <f t="shared" si="229"/>
        <v>256277.41461544225</v>
      </c>
      <c r="G99">
        <f t="shared" si="229"/>
        <v>368157.96895298455</v>
      </c>
      <c r="H99">
        <f t="shared" si="230"/>
        <v>486663.35574677377</v>
      </c>
      <c r="I99">
        <f t="shared" si="231"/>
        <v>611848.35539842327</v>
      </c>
      <c r="J99">
        <f t="shared" si="232"/>
        <v>743821.21518025361</v>
      </c>
      <c r="K99">
        <f t="shared" si="233"/>
        <v>884380.40811541164</v>
      </c>
      <c r="L99">
        <f t="shared" si="234"/>
        <v>1033607.9833371064</v>
      </c>
      <c r="M99">
        <f t="shared" si="235"/>
        <v>1191322.228063704</v>
      </c>
      <c r="N99">
        <f t="shared" si="236"/>
        <v>1358005.7847235783</v>
      </c>
      <c r="O99">
        <f t="shared" si="237"/>
        <v>1534168.7439347075</v>
      </c>
      <c r="P99">
        <f t="shared" si="238"/>
        <v>1723141.2027552498</v>
      </c>
      <c r="Q99">
        <f t="shared" si="239"/>
        <v>1924711.3819904623</v>
      </c>
      <c r="R99">
        <f t="shared" si="240"/>
        <v>2138272.3280296787</v>
      </c>
      <c r="S99">
        <f t="shared" si="241"/>
        <v>2364537.3333306089</v>
      </c>
      <c r="T99">
        <f t="shared" si="242"/>
        <v>2604262.1218433417</v>
      </c>
      <c r="U99">
        <f t="shared" si="243"/>
        <v>2851188.0581532912</v>
      </c>
      <c r="V99">
        <f t="shared" si="244"/>
        <v>3104583.8098835093</v>
      </c>
      <c r="W99">
        <f t="shared" si="245"/>
        <v>3371719.3461335413</v>
      </c>
      <c r="X99">
        <f t="shared" si="246"/>
        <v>3653339.674179012</v>
      </c>
      <c r="Y99">
        <f t="shared" si="247"/>
        <v>3950230.1975506609</v>
      </c>
      <c r="Z99">
        <f t="shared" si="248"/>
        <v>4263218.9064256111</v>
      </c>
      <c r="AA99">
        <f t="shared" si="249"/>
        <v>4593178.6867874078</v>
      </c>
      <c r="AB99">
        <f t="shared" si="250"/>
        <v>4941029.7547947988</v>
      </c>
      <c r="AC99">
        <f t="shared" si="251"/>
        <v>5307742.2231483841</v>
      </c>
      <c r="AD99">
        <f t="shared" si="252"/>
        <v>5694338.8066124395</v>
      </c>
      <c r="AE99">
        <f t="shared" si="253"/>
        <v>6101897.6742372327</v>
      </c>
      <c r="AI99">
        <f t="shared" si="227"/>
        <v>48959.900910759417</v>
      </c>
      <c r="AJ99">
        <f t="shared" si="254"/>
        <v>151996.93913097659</v>
      </c>
      <c r="AK99">
        <f t="shared" si="255"/>
        <v>262254.27235109237</v>
      </c>
      <c r="AL99">
        <f t="shared" si="256"/>
        <v>380237.860959585</v>
      </c>
      <c r="AM99">
        <f t="shared" si="257"/>
        <v>506489.12039416743</v>
      </c>
      <c r="AN99">
        <f t="shared" si="258"/>
        <v>641587.40564560366</v>
      </c>
      <c r="AO99">
        <f t="shared" si="259"/>
        <v>786152.66986251657</v>
      </c>
      <c r="AP99">
        <f t="shared" si="260"/>
        <v>940848.30925727123</v>
      </c>
      <c r="AQ99">
        <f t="shared" si="261"/>
        <v>1106384.2073679338</v>
      </c>
      <c r="AR99">
        <f t="shared" si="262"/>
        <v>1283519.9926461375</v>
      </c>
      <c r="AS99">
        <f t="shared" si="263"/>
        <v>1473068.5243196115</v>
      </c>
      <c r="AT99">
        <f t="shared" si="264"/>
        <v>1675899.6225256657</v>
      </c>
      <c r="AU99">
        <f t="shared" si="265"/>
        <v>1892944.0598328609</v>
      </c>
      <c r="AV99">
        <f t="shared" si="266"/>
        <v>2125197.8324675681</v>
      </c>
      <c r="AW99">
        <f t="shared" si="267"/>
        <v>2373726.7308456786</v>
      </c>
      <c r="AX99">
        <f t="shared" si="268"/>
        <v>2639671.230383195</v>
      </c>
      <c r="AY99">
        <f t="shared" si="269"/>
        <v>2924251.7250291631</v>
      </c>
      <c r="AZ99">
        <f t="shared" si="270"/>
        <v>3228774.1275371304</v>
      </c>
      <c r="BA99">
        <f t="shared" si="271"/>
        <v>3554635.8621742511</v>
      </c>
      <c r="BB99">
        <f t="shared" si="272"/>
        <v>3903332.2773679886</v>
      </c>
      <c r="BC99">
        <f t="shared" si="273"/>
        <v>4276463.5077174669</v>
      </c>
      <c r="BD99">
        <f t="shared" si="274"/>
        <v>4675741.8168585571</v>
      </c>
      <c r="BE99">
        <f t="shared" si="275"/>
        <v>5102999.4548784336</v>
      </c>
      <c r="BF99">
        <f t="shared" si="276"/>
        <v>5560197.0663365023</v>
      </c>
      <c r="BG99">
        <f t="shared" si="277"/>
        <v>6049432.6874753321</v>
      </c>
      <c r="BH99">
        <f t="shared" si="278"/>
        <v>6572951.3739089072</v>
      </c>
      <c r="BI99">
        <f t="shared" si="279"/>
        <v>7133155.5029687649</v>
      </c>
      <c r="BJ99">
        <f t="shared" si="280"/>
        <v>7732615.7979844846</v>
      </c>
    </row>
    <row r="100" spans="1:62" x14ac:dyDescent="0.3">
      <c r="D100">
        <f t="shared" si="225"/>
        <v>56948.744348977074</v>
      </c>
      <c r="E100">
        <f t="shared" si="229"/>
        <v>158547.78745454267</v>
      </c>
      <c r="F100">
        <f t="shared" si="229"/>
        <v>265387.37975682714</v>
      </c>
      <c r="G100">
        <f t="shared" si="229"/>
        <v>377737.83242258709</v>
      </c>
      <c r="H100">
        <f t="shared" si="230"/>
        <v>496844.82114561705</v>
      </c>
      <c r="I100">
        <f t="shared" si="231"/>
        <v>622581.88664573035</v>
      </c>
      <c r="J100">
        <f t="shared" si="232"/>
        <v>755136.74673919857</v>
      </c>
      <c r="K100">
        <f t="shared" si="233"/>
        <v>896503.20560090488</v>
      </c>
      <c r="L100">
        <f t="shared" si="234"/>
        <v>1046420.2122201239</v>
      </c>
      <c r="M100">
        <f t="shared" si="235"/>
        <v>1204863.0967573584</v>
      </c>
      <c r="N100">
        <f t="shared" si="236"/>
        <v>1372316.7314490012</v>
      </c>
      <c r="O100">
        <f t="shared" si="237"/>
        <v>1549293.5635316859</v>
      </c>
      <c r="P100">
        <f t="shared" si="238"/>
        <v>1739497.4213409494</v>
      </c>
      <c r="Q100">
        <f t="shared" si="239"/>
        <v>1942040.5798313303</v>
      </c>
      <c r="R100">
        <f t="shared" si="240"/>
        <v>2156632.3845570777</v>
      </c>
      <c r="S100">
        <f t="shared" si="241"/>
        <v>2383989.5710385959</v>
      </c>
      <c r="T100">
        <f t="shared" si="242"/>
        <v>2624871.5111054797</v>
      </c>
      <c r="U100">
        <f t="shared" si="243"/>
        <v>2871797.0774897472</v>
      </c>
      <c r="V100">
        <f t="shared" si="244"/>
        <v>3126310.3044850957</v>
      </c>
      <c r="W100">
        <f t="shared" si="245"/>
        <v>3394623.9084499902</v>
      </c>
      <c r="X100">
        <f t="shared" si="246"/>
        <v>3677486.1821421417</v>
      </c>
      <c r="Y100">
        <f t="shared" si="247"/>
        <v>3975685.9927218594</v>
      </c>
      <c r="Z100">
        <f t="shared" si="248"/>
        <v>4290054.9818029478</v>
      </c>
      <c r="AA100">
        <f t="shared" si="249"/>
        <v>4621469.8847961407</v>
      </c>
      <c r="AB100">
        <f t="shared" si="250"/>
        <v>4970854.9760134434</v>
      </c>
      <c r="AC100">
        <f t="shared" si="251"/>
        <v>5339184.646352469</v>
      </c>
      <c r="AD100">
        <f t="shared" si="252"/>
        <v>5727486.1207496002</v>
      </c>
      <c r="AE100">
        <f t="shared" si="253"/>
        <v>6136842.322980619</v>
      </c>
      <c r="AI100">
        <f t="shared" si="227"/>
        <v>57282.293949914318</v>
      </c>
      <c r="AJ100">
        <f t="shared" si="254"/>
        <v>160902.52180645792</v>
      </c>
      <c r="AK100">
        <f t="shared" si="255"/>
        <v>271783.91153259954</v>
      </c>
      <c r="AL100">
        <f t="shared" si="256"/>
        <v>390435.28725261625</v>
      </c>
      <c r="AM100">
        <f t="shared" si="257"/>
        <v>517401.12881559844</v>
      </c>
      <c r="AN100">
        <f t="shared" si="258"/>
        <v>653264.07036155777</v>
      </c>
      <c r="AO100">
        <f t="shared" si="259"/>
        <v>798647.57397393847</v>
      </c>
      <c r="AP100">
        <f t="shared" si="260"/>
        <v>954218.79068766744</v>
      </c>
      <c r="AQ100">
        <f t="shared" si="261"/>
        <v>1120691.6219816364</v>
      </c>
      <c r="AR100">
        <f t="shared" si="262"/>
        <v>1298829.9958045147</v>
      </c>
      <c r="AS100">
        <f t="shared" si="263"/>
        <v>1489451.3721672604</v>
      </c>
      <c r="AT100">
        <f t="shared" si="264"/>
        <v>1693430.494389161</v>
      </c>
      <c r="AU100">
        <f t="shared" si="265"/>
        <v>1911703.4032115149</v>
      </c>
      <c r="AV100">
        <f t="shared" si="266"/>
        <v>2145271.7321993345</v>
      </c>
      <c r="AW100">
        <f t="shared" si="267"/>
        <v>2395207.3041422651</v>
      </c>
      <c r="AX100">
        <f t="shared" si="268"/>
        <v>2662657.0495471638</v>
      </c>
      <c r="AY100">
        <f t="shared" si="269"/>
        <v>2948848.2697928282</v>
      </c>
      <c r="AZ100">
        <f t="shared" si="270"/>
        <v>3255094.2690989906</v>
      </c>
      <c r="BA100">
        <f t="shared" si="271"/>
        <v>3582800.3811541572</v>
      </c>
      <c r="BB100">
        <f t="shared" si="272"/>
        <v>3933470.4180578915</v>
      </c>
      <c r="BC100">
        <f t="shared" si="273"/>
        <v>4308713.5711711477</v>
      </c>
      <c r="BD100">
        <f t="shared" si="274"/>
        <v>4710251.7955419766</v>
      </c>
      <c r="BE100">
        <f t="shared" si="275"/>
        <v>5139927.7117930455</v>
      </c>
      <c r="BF100">
        <f t="shared" si="276"/>
        <v>5599713.0617319671</v>
      </c>
      <c r="BG100">
        <f t="shared" si="277"/>
        <v>6091717.7564864429</v>
      </c>
      <c r="BH100">
        <f t="shared" si="278"/>
        <v>6618199.558685232</v>
      </c>
      <c r="BI100">
        <f t="shared" si="279"/>
        <v>7181574.4431155678</v>
      </c>
      <c r="BJ100">
        <f t="shared" si="280"/>
        <v>7784427.6834010771</v>
      </c>
    </row>
    <row r="101" spans="1:62" x14ac:dyDescent="0.3">
      <c r="D101">
        <f t="shared" si="225"/>
        <v>65221.529075242775</v>
      </c>
      <c r="E101">
        <f t="shared" si="229"/>
        <v>167247.28816185176</v>
      </c>
      <c r="F101">
        <f t="shared" si="229"/>
        <v>274535.60675180581</v>
      </c>
      <c r="G101">
        <f t="shared" si="229"/>
        <v>387357.93131876196</v>
      </c>
      <c r="H101">
        <f t="shared" si="230"/>
        <v>507071.18680686923</v>
      </c>
      <c r="I101">
        <f t="shared" si="231"/>
        <v>633362.75276583806</v>
      </c>
      <c r="J101">
        <f t="shared" si="232"/>
        <v>766502.17979231838</v>
      </c>
      <c r="K101">
        <f t="shared" si="233"/>
        <v>908682.01041078102</v>
      </c>
      <c r="L101">
        <f t="shared" si="234"/>
        <v>1059291.633600581</v>
      </c>
      <c r="M101">
        <f t="shared" si="235"/>
        <v>1218466.5242643773</v>
      </c>
      <c r="N101">
        <f t="shared" si="236"/>
        <v>1386693.7947482956</v>
      </c>
      <c r="O101">
        <f t="shared" si="237"/>
        <v>1564488.2597952024</v>
      </c>
      <c r="P101">
        <f t="shared" si="238"/>
        <v>1755932.591393762</v>
      </c>
      <c r="Q101">
        <f t="shared" si="239"/>
        <v>1959453.4257101761</v>
      </c>
      <c r="R101">
        <f t="shared" si="240"/>
        <v>2175081.0650773346</v>
      </c>
      <c r="S101">
        <f t="shared" si="241"/>
        <v>2403535.7046979992</v>
      </c>
      <c r="T101">
        <f t="shared" si="242"/>
        <v>2645580.3818895859</v>
      </c>
      <c r="U101">
        <f t="shared" si="243"/>
        <v>2892496.9826014773</v>
      </c>
      <c r="V101">
        <f t="shared" si="244"/>
        <v>3148132.6129278746</v>
      </c>
      <c r="W101">
        <f t="shared" si="245"/>
        <v>3417629.4798862548</v>
      </c>
      <c r="X101">
        <f t="shared" si="246"/>
        <v>3701739.1762053887</v>
      </c>
      <c r="Y101">
        <f t="shared" si="247"/>
        <v>4001254.047949763</v>
      </c>
      <c r="Z101">
        <f t="shared" si="248"/>
        <v>4317009.4042726988</v>
      </c>
      <c r="AA101">
        <f t="shared" si="249"/>
        <v>4649885.8469880912</v>
      </c>
      <c r="AB101">
        <f t="shared" si="250"/>
        <v>5000811.7264576629</v>
      </c>
      <c r="AC101">
        <f t="shared" si="251"/>
        <v>5370765.7306428831</v>
      </c>
      <c r="AD101">
        <f t="shared" si="252"/>
        <v>5760779.6145421062</v>
      </c>
      <c r="AE101">
        <f t="shared" si="253"/>
        <v>6171941.0776249636</v>
      </c>
      <c r="AI101">
        <f t="shared" si="227"/>
        <v>65651.791733670834</v>
      </c>
      <c r="AJ101">
        <f t="shared" si="254"/>
        <v>169858.51007988249</v>
      </c>
      <c r="AK101">
        <f t="shared" si="255"/>
        <v>281367.48847187404</v>
      </c>
      <c r="AL101">
        <f t="shared" si="256"/>
        <v>400690.43097846606</v>
      </c>
      <c r="AM101">
        <f t="shared" si="257"/>
        <v>528374.89920469467</v>
      </c>
      <c r="AN101">
        <f t="shared" si="258"/>
        <v>665006.82499980414</v>
      </c>
      <c r="AO101">
        <f t="shared" si="259"/>
        <v>811213.19924263097</v>
      </c>
      <c r="AP101">
        <f t="shared" si="260"/>
        <v>967664.9490429596</v>
      </c>
      <c r="AQ101">
        <f t="shared" si="261"/>
        <v>1135080.0165620525</v>
      </c>
      <c r="AR101">
        <f t="shared" si="262"/>
        <v>1314226.6535807683</v>
      </c>
      <c r="AS101">
        <f t="shared" si="263"/>
        <v>1505926.946933727</v>
      </c>
      <c r="AT101">
        <f t="shared" si="264"/>
        <v>1711060.5909874036</v>
      </c>
      <c r="AU101">
        <f t="shared" si="265"/>
        <v>1930568.9244736922</v>
      </c>
      <c r="AV101">
        <f t="shared" si="266"/>
        <v>2165459.2502035829</v>
      </c>
      <c r="AW101">
        <f t="shared" si="267"/>
        <v>2416809.4574837103</v>
      </c>
      <c r="AX101">
        <f t="shared" si="268"/>
        <v>2685772.9684476005</v>
      </c>
      <c r="AY101">
        <f t="shared" si="269"/>
        <v>2973584.0309998556</v>
      </c>
      <c r="AZ101">
        <f t="shared" si="270"/>
        <v>3281563.3826620909</v>
      </c>
      <c r="BA101">
        <f t="shared" si="271"/>
        <v>3611124.3113114899</v>
      </c>
      <c r="BB101">
        <f t="shared" si="272"/>
        <v>3963779.1406240994</v>
      </c>
      <c r="BC101">
        <f t="shared" si="273"/>
        <v>4341146.1699839765</v>
      </c>
      <c r="BD101">
        <f t="shared" si="274"/>
        <v>4744957.1007047445</v>
      </c>
      <c r="BE101">
        <f t="shared" si="275"/>
        <v>5177064.9826417938</v>
      </c>
      <c r="BF101">
        <f t="shared" si="276"/>
        <v>5639452.7176613705</v>
      </c>
      <c r="BG101">
        <f t="shared" si="277"/>
        <v>6134242.1589881564</v>
      </c>
      <c r="BH101">
        <f t="shared" si="278"/>
        <v>6663703.8481873907</v>
      </c>
      <c r="BI101">
        <f t="shared" si="279"/>
        <v>7230267.4344636016</v>
      </c>
      <c r="BJ101">
        <f t="shared" si="280"/>
        <v>7836532.8240891276</v>
      </c>
    </row>
    <row r="102" spans="1:62" x14ac:dyDescent="0.3">
      <c r="D102">
        <f t="shared" si="225"/>
        <v>73529.059497358801</v>
      </c>
      <c r="E102">
        <f t="shared" si="229"/>
        <v>175983.32677213155</v>
      </c>
      <c r="F102">
        <f t="shared" si="229"/>
        <v>283722.2563001634</v>
      </c>
      <c r="G102">
        <f t="shared" si="229"/>
        <v>397018.43463030079</v>
      </c>
      <c r="H102">
        <f t="shared" si="230"/>
        <v>517342.6507406875</v>
      </c>
      <c r="I102">
        <f t="shared" si="231"/>
        <v>644191.16250553529</v>
      </c>
      <c r="J102">
        <f t="shared" si="232"/>
        <v>777917.73440520244</v>
      </c>
      <c r="K102">
        <f t="shared" si="233"/>
        <v>920917.08129887888</v>
      </c>
      <c r="L102">
        <f t="shared" si="234"/>
        <v>1072222.5209478156</v>
      </c>
      <c r="M102">
        <f t="shared" si="235"/>
        <v>1232132.7996064788</v>
      </c>
      <c r="N102">
        <f t="shared" si="236"/>
        <v>1401137.2800800328</v>
      </c>
      <c r="O102">
        <f t="shared" si="237"/>
        <v>1579753.1555554562</v>
      </c>
      <c r="P102">
        <f t="shared" si="238"/>
        <v>1772447.0940124199</v>
      </c>
      <c r="Q102">
        <f t="shared" si="239"/>
        <v>1976950.3233960792</v>
      </c>
      <c r="R102">
        <f t="shared" si="240"/>
        <v>2193618.7973784632</v>
      </c>
      <c r="S102">
        <f t="shared" si="241"/>
        <v>2423176.1875445764</v>
      </c>
      <c r="T102">
        <f t="shared" si="242"/>
        <v>2666389.2143929671</v>
      </c>
      <c r="U102">
        <f t="shared" si="243"/>
        <v>2913288.1742947497</v>
      </c>
      <c r="V102">
        <f t="shared" si="244"/>
        <v>3170051.1577508864</v>
      </c>
      <c r="W102">
        <f t="shared" si="245"/>
        <v>3440736.5058925534</v>
      </c>
      <c r="X102">
        <f t="shared" si="246"/>
        <v>3726099.1259724544</v>
      </c>
      <c r="Y102">
        <f t="shared" si="247"/>
        <v>4026934.8583012219</v>
      </c>
      <c r="Z102">
        <f t="shared" si="248"/>
        <v>4344082.6957455417</v>
      </c>
      <c r="AA102">
        <f t="shared" si="249"/>
        <v>4678427.1235733088</v>
      </c>
      <c r="AB102">
        <f t="shared" si="250"/>
        <v>5030900.5861713411</v>
      </c>
      <c r="AC102">
        <f t="shared" si="251"/>
        <v>5402486.0875150189</v>
      </c>
      <c r="AD102">
        <f t="shared" si="252"/>
        <v>5794219.9326422364</v>
      </c>
      <c r="AE102">
        <f t="shared" si="253"/>
        <v>6207194.6177772898</v>
      </c>
      <c r="AI102">
        <f t="shared" si="227"/>
        <v>74068.660874883411</v>
      </c>
      <c r="AJ102">
        <f t="shared" si="254"/>
        <v>178865.18924693463</v>
      </c>
      <c r="AK102">
        <f t="shared" si="255"/>
        <v>291005.30845662486</v>
      </c>
      <c r="AL102">
        <f t="shared" si="256"/>
        <v>411003.61881780415</v>
      </c>
      <c r="AM102">
        <f t="shared" si="257"/>
        <v>539410.78113419318</v>
      </c>
      <c r="AN102">
        <f t="shared" si="258"/>
        <v>676816.04362930299</v>
      </c>
      <c r="AO102">
        <f t="shared" si="259"/>
        <v>823849.94595034432</v>
      </c>
      <c r="AP102">
        <f t="shared" si="260"/>
        <v>981187.21265454276</v>
      </c>
      <c r="AQ102">
        <f t="shared" si="261"/>
        <v>1149549.8494557939</v>
      </c>
      <c r="AR102">
        <f t="shared" si="262"/>
        <v>1329710.4564400355</v>
      </c>
      <c r="AS102">
        <f t="shared" si="263"/>
        <v>1522495.7734533718</v>
      </c>
      <c r="AT102">
        <f t="shared" si="264"/>
        <v>1728790.4739323924</v>
      </c>
      <c r="AU102">
        <f t="shared" si="265"/>
        <v>1949541.2245862132</v>
      </c>
      <c r="AV102">
        <f t="shared" si="266"/>
        <v>2185761.0295597352</v>
      </c>
      <c r="AW102">
        <f t="shared" si="267"/>
        <v>2438533.879013068</v>
      </c>
      <c r="AX102">
        <f t="shared" si="268"/>
        <v>2709019.7234490141</v>
      </c>
      <c r="AY102">
        <f t="shared" si="269"/>
        <v>2998459.7966153147</v>
      </c>
      <c r="AZ102">
        <f t="shared" si="270"/>
        <v>3308182.3114079582</v>
      </c>
      <c r="BA102">
        <f t="shared" si="271"/>
        <v>3639608.5549135129</v>
      </c>
      <c r="BB102">
        <f t="shared" si="272"/>
        <v>3994259.4105600319</v>
      </c>
      <c r="BC102">
        <f t="shared" si="273"/>
        <v>4373762.337306086</v>
      </c>
      <c r="BD102">
        <f t="shared" si="274"/>
        <v>4779858.8378947331</v>
      </c>
      <c r="BE102">
        <f t="shared" si="275"/>
        <v>5214412.4504435463</v>
      </c>
      <c r="BF102">
        <f t="shared" si="276"/>
        <v>5679417.3000433343</v>
      </c>
      <c r="BG102">
        <f t="shared" si="277"/>
        <v>6177007.2496080296</v>
      </c>
      <c r="BH102">
        <f t="shared" si="278"/>
        <v>6709465.6919681309</v>
      </c>
      <c r="BI102">
        <f t="shared" si="279"/>
        <v>7279236.0281426655</v>
      </c>
      <c r="BJ102">
        <f t="shared" si="280"/>
        <v>7888932.8798734723</v>
      </c>
    </row>
    <row r="103" spans="1:62" x14ac:dyDescent="0.3">
      <c r="D103">
        <f t="shared" si="225"/>
        <v>81871.481547247706</v>
      </c>
      <c r="E103">
        <f t="shared" ref="E103:F105" si="281">(E102+8000)*1.00566-(0.00146*(E102+8000))</f>
        <v>184756.05674457451</v>
      </c>
      <c r="F103">
        <f t="shared" si="281"/>
        <v>292947.48977662408</v>
      </c>
      <c r="G103">
        <f>(G102+8000)*1.00566-(0.00125*(G102+8000))</f>
        <v>406804.56592702045</v>
      </c>
      <c r="H103">
        <f t="shared" si="230"/>
        <v>527659.4118304539</v>
      </c>
      <c r="I103">
        <f t="shared" si="231"/>
        <v>655067.32553218468</v>
      </c>
      <c r="J103">
        <f t="shared" si="232"/>
        <v>789383.63161392941</v>
      </c>
      <c r="K103">
        <f t="shared" si="233"/>
        <v>933208.6782144797</v>
      </c>
      <c r="L103">
        <f t="shared" si="234"/>
        <v>1085213.1489945946</v>
      </c>
      <c r="M103">
        <f t="shared" si="235"/>
        <v>1245862.2131406607</v>
      </c>
      <c r="N103">
        <f t="shared" si="236"/>
        <v>1415647.4943140026</v>
      </c>
      <c r="O103">
        <f t="shared" si="237"/>
        <v>1595088.5751341223</v>
      </c>
      <c r="P103">
        <f t="shared" si="238"/>
        <v>1789041.3121352177</v>
      </c>
      <c r="Q103">
        <f t="shared" si="239"/>
        <v>1994531.6786071123</v>
      </c>
      <c r="R103">
        <f t="shared" si="240"/>
        <v>2212246.0113134091</v>
      </c>
      <c r="S103">
        <f t="shared" si="241"/>
        <v>2442911.4750018544</v>
      </c>
      <c r="T103">
        <f t="shared" si="242"/>
        <v>2687298.4911308419</v>
      </c>
      <c r="U103">
        <f t="shared" si="243"/>
        <v>2934171.0551433899</v>
      </c>
      <c r="V103">
        <f t="shared" si="244"/>
        <v>3192066.3633565679</v>
      </c>
      <c r="W103">
        <f t="shared" si="245"/>
        <v>3463945.4338835394</v>
      </c>
      <c r="X103">
        <f t="shared" si="246"/>
        <v>3750566.503117993</v>
      </c>
      <c r="Y103">
        <f t="shared" si="247"/>
        <v>4052728.92102633</v>
      </c>
      <c r="Z103">
        <f t="shared" si="248"/>
        <v>4371275.3804337792</v>
      </c>
      <c r="AA103">
        <f t="shared" si="249"/>
        <v>4707094.2671882669</v>
      </c>
      <c r="AB103">
        <f t="shared" si="250"/>
        <v>5061122.137756357</v>
      </c>
      <c r="AC103">
        <f t="shared" si="251"/>
        <v>5434346.3311609598</v>
      </c>
      <c r="AD103">
        <f t="shared" si="252"/>
        <v>5827807.7225451879</v>
      </c>
      <c r="AE103">
        <f t="shared" si="253"/>
        <v>6242603.626041688</v>
      </c>
      <c r="AI103">
        <f t="shared" si="227"/>
        <v>82533.169495435257</v>
      </c>
      <c r="AJ103">
        <f t="shared" si="254"/>
        <v>187922.84621807229</v>
      </c>
      <c r="AK103">
        <f t="shared" si="255"/>
        <v>300697.67850248935</v>
      </c>
      <c r="AL103">
        <f t="shared" si="256"/>
        <v>421375.17930031294</v>
      </c>
      <c r="AM103">
        <f t="shared" si="257"/>
        <v>550509.12615541276</v>
      </c>
      <c r="AN103">
        <f t="shared" si="258"/>
        <v>688692.10243624484</v>
      </c>
      <c r="AO103">
        <f t="shared" si="259"/>
        <v>836558.21664442332</v>
      </c>
      <c r="AP103">
        <f t="shared" si="260"/>
        <v>994786.01227816741</v>
      </c>
      <c r="AQ103">
        <f t="shared" si="261"/>
        <v>1164101.5816037136</v>
      </c>
      <c r="AR103">
        <f t="shared" si="262"/>
        <v>1345281.8976234861</v>
      </c>
      <c r="AS103">
        <f t="shared" si="263"/>
        <v>1539158.3795311179</v>
      </c>
      <c r="AT103">
        <f t="shared" si="264"/>
        <v>1746620.7080148498</v>
      </c>
      <c r="AU103">
        <f t="shared" si="265"/>
        <v>1968620.9079173713</v>
      </c>
      <c r="AV103">
        <f t="shared" si="266"/>
        <v>2206177.7169870432</v>
      </c>
      <c r="AW103">
        <f t="shared" si="267"/>
        <v>2460381.2607682822</v>
      </c>
      <c r="AX103">
        <f t="shared" si="268"/>
        <v>2732398.0550837354</v>
      </c>
      <c r="AY103">
        <f t="shared" si="269"/>
        <v>3023476.3590641571</v>
      </c>
      <c r="AZ103">
        <f t="shared" si="270"/>
        <v>3334951.9032905274</v>
      </c>
      <c r="BA103">
        <f t="shared" si="271"/>
        <v>3668254.0193343232</v>
      </c>
      <c r="BB103">
        <f t="shared" si="272"/>
        <v>4024912.1988238017</v>
      </c>
      <c r="BC103">
        <f t="shared" si="273"/>
        <v>4406563.112135238</v>
      </c>
      <c r="BD103">
        <f t="shared" si="274"/>
        <v>4814958.1189172175</v>
      </c>
      <c r="BE103">
        <f t="shared" si="275"/>
        <v>5251971.304913057</v>
      </c>
      <c r="BF103">
        <f t="shared" si="276"/>
        <v>5719608.0819615796</v>
      </c>
      <c r="BG103">
        <f t="shared" si="277"/>
        <v>6220014.3906408111</v>
      </c>
      <c r="BH103">
        <f t="shared" si="278"/>
        <v>6755486.5477846703</v>
      </c>
      <c r="BI103">
        <f t="shared" si="279"/>
        <v>7328481.7840619534</v>
      </c>
      <c r="BJ103">
        <f t="shared" si="280"/>
        <v>7941629.5199735565</v>
      </c>
    </row>
    <row r="104" spans="1:62" x14ac:dyDescent="0.3">
      <c r="D104">
        <f t="shared" si="225"/>
        <v>90248.941769746147</v>
      </c>
      <c r="E104">
        <f t="shared" si="281"/>
        <v>193565.63218290173</v>
      </c>
      <c r="F104">
        <f t="shared" si="281"/>
        <v>302211.46923368587</v>
      </c>
      <c r="G104">
        <f>(G103+8000)*1.00566-(0.00125*(G103+8000))</f>
        <v>416633.85406275862</v>
      </c>
      <c r="H104">
        <f>(H103+8000)*1.00566-(0.00125*(H103+8000))</f>
        <v>538021.66983662616</v>
      </c>
      <c r="I104">
        <f>(I103+8000)*1.00566-(0.00125*(I103+8000))</f>
        <v>665991.45243778161</v>
      </c>
      <c r="J104">
        <f t="shared" ref="J104:N105" si="282">(J103+8000)*1.00566-(0.00104*(J103+8000))</f>
        <v>801067.54399198573</v>
      </c>
      <c r="K104">
        <f t="shared" si="282"/>
        <v>945557.06230783055</v>
      </c>
      <c r="L104">
        <f t="shared" si="282"/>
        <v>1098263.7937429496</v>
      </c>
      <c r="M104">
        <f t="shared" si="282"/>
        <v>1259655.0565653706</v>
      </c>
      <c r="N104">
        <f t="shared" si="282"/>
        <v>1430224.7457377333</v>
      </c>
      <c r="O104">
        <f>(O103+8000)*1.00566-(0.000833*(O103+8000))</f>
        <v>1610826.6836862946</v>
      </c>
      <c r="P104">
        <f t="shared" si="238"/>
        <v>1805715.6305488944</v>
      </c>
      <c r="Q104">
        <f t="shared" si="239"/>
        <v>2012197.8990197489</v>
      </c>
      <c r="R104">
        <f t="shared" si="240"/>
        <v>2230963.1388100185</v>
      </c>
      <c r="S104">
        <f t="shared" si="241"/>
        <v>2462742.0246916884</v>
      </c>
      <c r="T104">
        <f t="shared" si="242"/>
        <v>2708308.6969475304</v>
      </c>
      <c r="U104">
        <f t="shared" si="243"/>
        <v>2955146.0294965724</v>
      </c>
      <c r="V104">
        <f t="shared" si="244"/>
        <v>3214178.6560189701</v>
      </c>
      <c r="W104">
        <f t="shared" si="245"/>
        <v>3487256.7132469662</v>
      </c>
      <c r="X104">
        <f t="shared" si="246"/>
        <v>3775141.7813967434</v>
      </c>
      <c r="Y104">
        <f t="shared" si="247"/>
        <v>4078636.7355680559</v>
      </c>
      <c r="Z104">
        <f t="shared" si="248"/>
        <v>4398587.9848614922</v>
      </c>
      <c r="AA104">
        <f t="shared" si="249"/>
        <v>4735887.8329065675</v>
      </c>
      <c r="AB104">
        <f t="shared" si="250"/>
        <v>5091476.9663838623</v>
      </c>
      <c r="AC104">
        <f t="shared" si="251"/>
        <v>5466347.078481379</v>
      </c>
      <c r="AD104">
        <f t="shared" si="252"/>
        <v>5861543.6346016116</v>
      </c>
      <c r="AE104">
        <f t="shared" si="253"/>
        <v>6278168.7880325317</v>
      </c>
      <c r="AI104">
        <f t="shared" si="227"/>
        <v>91045.587234779421</v>
      </c>
      <c r="AJ104">
        <f t="shared" si="254"/>
        <v>197031.76952766656</v>
      </c>
      <c r="AK104">
        <f t="shared" si="255"/>
        <v>310444.90736281342</v>
      </c>
      <c r="AL104">
        <f t="shared" si="256"/>
        <v>431805.4428151527</v>
      </c>
      <c r="AM104">
        <f t="shared" si="257"/>
        <v>561670.28780945239</v>
      </c>
      <c r="AN104">
        <f t="shared" si="258"/>
        <v>700635.37973603397</v>
      </c>
      <c r="AO104">
        <f t="shared" si="259"/>
        <v>849338.4161506308</v>
      </c>
      <c r="AP104">
        <f t="shared" si="260"/>
        <v>1008461.7811076619</v>
      </c>
      <c r="AQ104">
        <f t="shared" si="261"/>
        <v>1178735.6765555905</v>
      </c>
      <c r="AR104">
        <f t="shared" si="262"/>
        <v>1360941.473164035</v>
      </c>
      <c r="AS104">
        <f t="shared" si="263"/>
        <v>1555915.295959264</v>
      </c>
      <c r="AT104">
        <f t="shared" si="264"/>
        <v>1764551.8612222138</v>
      </c>
      <c r="AU104">
        <f t="shared" si="265"/>
        <v>1987808.5822561835</v>
      </c>
      <c r="AV104">
        <f t="shared" si="266"/>
        <v>2226709.9628651896</v>
      </c>
      <c r="AW104">
        <f t="shared" si="267"/>
        <v>2482352.2987042307</v>
      </c>
      <c r="AX104">
        <f t="shared" si="268"/>
        <v>2755908.7080755094</v>
      </c>
      <c r="AY104">
        <f t="shared" si="269"/>
        <v>3048634.5152564603</v>
      </c>
      <c r="AZ104">
        <f t="shared" si="270"/>
        <v>3361873.011063152</v>
      </c>
      <c r="BA104">
        <f t="shared" si="271"/>
        <v>3697061.6170837553</v>
      </c>
      <c r="BB104">
        <f t="shared" si="272"/>
        <v>4055738.4818691444</v>
      </c>
      <c r="BC104">
        <f t="shared" si="273"/>
        <v>4439549.5393499238</v>
      </c>
      <c r="BD104">
        <f t="shared" si="274"/>
        <v>4850256.061870289</v>
      </c>
      <c r="BE104">
        <f t="shared" si="275"/>
        <v>5289742.7424988654</v>
      </c>
      <c r="BF104">
        <f t="shared" si="276"/>
        <v>5760026.3437054818</v>
      </c>
      <c r="BG104">
        <f t="shared" si="277"/>
        <v>6263264.9520918382</v>
      </c>
      <c r="BH104">
        <f t="shared" si="278"/>
        <v>6801767.8816451319</v>
      </c>
      <c r="BI104">
        <f t="shared" si="279"/>
        <v>7378006.2709597442</v>
      </c>
      <c r="BJ104">
        <f t="shared" si="280"/>
        <v>7994624.4230566071</v>
      </c>
    </row>
    <row r="105" spans="1:62" x14ac:dyDescent="0.3">
      <c r="D105">
        <f t="shared" si="225"/>
        <v>98661.587325179076</v>
      </c>
      <c r="E105">
        <f t="shared" si="281"/>
        <v>202412.20783806991</v>
      </c>
      <c r="F105">
        <f t="shared" si="281"/>
        <v>311514.35740446736</v>
      </c>
      <c r="G105">
        <f>(G104+8000)*1.00566-(0.00125*(G104+8000))</f>
        <v>426506.48935917538</v>
      </c>
      <c r="H105">
        <f>(H104+8000)*1.00566-(0.00125*(H104+8000))</f>
        <v>548429.62540060573</v>
      </c>
      <c r="I105">
        <f>(I104+8000)*1.00566-(0.00125*(I104+8000))</f>
        <v>676963.75474303216</v>
      </c>
      <c r="J105">
        <f t="shared" si="282"/>
        <v>812805.43604522874</v>
      </c>
      <c r="K105">
        <f t="shared" si="282"/>
        <v>957962.4959356928</v>
      </c>
      <c r="L105">
        <f t="shared" si="282"/>
        <v>1111374.7324700421</v>
      </c>
      <c r="M105">
        <f t="shared" si="282"/>
        <v>1273511.6229267025</v>
      </c>
      <c r="N105">
        <f t="shared" si="282"/>
        <v>1444869.3440630417</v>
      </c>
      <c r="O105">
        <f>(O104+8000)*1.00566-(0.000833*(O104+8000))</f>
        <v>1626640.7600884482</v>
      </c>
      <c r="P105">
        <f t="shared" si="238"/>
        <v>1822470.435897554</v>
      </c>
      <c r="Q105">
        <f t="shared" si="239"/>
        <v>2029949.3942783172</v>
      </c>
      <c r="R105">
        <f t="shared" si="240"/>
        <v>2249770.6138810543</v>
      </c>
      <c r="S105">
        <f t="shared" si="241"/>
        <v>2482668.2964448752</v>
      </c>
      <c r="T105">
        <f t="shared" si="242"/>
        <v>2729420.3190276963</v>
      </c>
      <c r="U105">
        <f t="shared" si="243"/>
        <v>2976213.5034866524</v>
      </c>
      <c r="V105">
        <f t="shared" si="244"/>
        <v>3236388.4638920138</v>
      </c>
      <c r="W105" s="3">
        <f t="shared" si="245"/>
        <v>3510670.7953523854</v>
      </c>
      <c r="X105">
        <f t="shared" si="246"/>
        <v>3799825.4366527027</v>
      </c>
      <c r="Y105">
        <f t="shared" si="247"/>
        <v>4104658.8035719106</v>
      </c>
      <c r="Z105">
        <f t="shared" si="248"/>
        <v>4426021.0378747312</v>
      </c>
      <c r="AA105">
        <f t="shared" si="249"/>
        <v>4764808.3782496853</v>
      </c>
      <c r="AB105" s="3">
        <f t="shared" si="250"/>
        <v>5121965.6598056145</v>
      </c>
      <c r="AC105">
        <f t="shared" si="251"/>
        <v>5498488.9490974816</v>
      </c>
      <c r="AD105">
        <f t="shared" si="252"/>
        <v>5895428.3220302043</v>
      </c>
      <c r="AE105">
        <f t="shared" si="253"/>
        <v>6313890.7923877556</v>
      </c>
      <c r="AI105">
        <f t="shared" si="227"/>
        <v>99606.185258528276</v>
      </c>
      <c r="AJ105">
        <f t="shared" si="254"/>
        <v>206192.24934319317</v>
      </c>
      <c r="AK105">
        <f t="shared" si="255"/>
        <v>320247.30553848692</v>
      </c>
      <c r="AL105">
        <f t="shared" si="256"/>
        <v>442294.74162148644</v>
      </c>
      <c r="AM105">
        <f t="shared" si="257"/>
        <v>572894.62163845391</v>
      </c>
      <c r="AN105">
        <f t="shared" si="258"/>
        <v>712646.25598533987</v>
      </c>
      <c r="AO105">
        <f t="shared" si="259"/>
        <v>862190.95158604335</v>
      </c>
      <c r="AP105">
        <f t="shared" si="260"/>
        <v>1022214.9547887313</v>
      </c>
      <c r="AQ105">
        <f t="shared" si="261"/>
        <v>1193452.6004848951</v>
      </c>
      <c r="AR105">
        <f t="shared" si="262"/>
        <v>1376689.6819021434</v>
      </c>
      <c r="AS105">
        <f t="shared" si="263"/>
        <v>1572767.0565343935</v>
      </c>
      <c r="AT105">
        <f t="shared" si="264"/>
        <v>1782584.5047567314</v>
      </c>
      <c r="AU105">
        <f t="shared" si="265"/>
        <v>2007104.8588317535</v>
      </c>
      <c r="AV105">
        <f t="shared" si="266"/>
        <v>2247358.4212550065</v>
      </c>
      <c r="AW105">
        <f t="shared" si="267"/>
        <v>2504447.6927148965</v>
      </c>
      <c r="AX105">
        <f t="shared" si="268"/>
        <v>2779552.4313632166</v>
      </c>
      <c r="AY105">
        <f t="shared" si="269"/>
        <v>3073935.0666128118</v>
      </c>
      <c r="AZ105">
        <f t="shared" si="270"/>
        <v>3388946.4923057696</v>
      </c>
      <c r="BA105">
        <f t="shared" si="271"/>
        <v>3726032.2658364493</v>
      </c>
      <c r="BB105" s="3">
        <f t="shared" si="272"/>
        <v>4086739.2416765238</v>
      </c>
      <c r="BC105">
        <f t="shared" si="273"/>
        <v>4472722.6697426448</v>
      </c>
      <c r="BD105">
        <f t="shared" si="274"/>
        <v>4885753.7911804747</v>
      </c>
      <c r="BE105">
        <f t="shared" si="275"/>
        <v>5327727.9664214086</v>
      </c>
      <c r="BF105">
        <f t="shared" si="276"/>
        <v>5800673.3728108546</v>
      </c>
      <c r="BG105" s="3">
        <f t="shared" si="277"/>
        <v>6306760.3117206777</v>
      </c>
      <c r="BH105">
        <f t="shared" si="278"/>
        <v>6848311.1678552432</v>
      </c>
      <c r="BI105">
        <f t="shared" si="279"/>
        <v>7427811.0664533768</v>
      </c>
      <c r="BJ105">
        <f t="shared" si="280"/>
        <v>8047919.2772911079</v>
      </c>
    </row>
    <row r="108" spans="1:62" x14ac:dyDescent="0.3">
      <c r="D108" t="s">
        <v>60</v>
      </c>
      <c r="AI108" t="s">
        <v>60</v>
      </c>
      <c r="AJ108" t="s">
        <v>66</v>
      </c>
    </row>
    <row r="109" spans="1:62" x14ac:dyDescent="0.3">
      <c r="D109" t="s">
        <v>61</v>
      </c>
      <c r="AI109" t="s">
        <v>61</v>
      </c>
    </row>
    <row r="110" spans="1:62" x14ac:dyDescent="0.3">
      <c r="D110" t="s">
        <v>77</v>
      </c>
      <c r="AI110" t="s">
        <v>77</v>
      </c>
    </row>
    <row r="111" spans="1:62" x14ac:dyDescent="0.3">
      <c r="D111" t="s">
        <v>15</v>
      </c>
      <c r="E111" t="s">
        <v>16</v>
      </c>
      <c r="F111" t="s">
        <v>17</v>
      </c>
      <c r="G111" t="s">
        <v>18</v>
      </c>
      <c r="H111" t="s">
        <v>19</v>
      </c>
      <c r="I111" t="s">
        <v>20</v>
      </c>
      <c r="J111" t="s">
        <v>21</v>
      </c>
      <c r="K111" t="s">
        <v>22</v>
      </c>
      <c r="L111" t="s">
        <v>23</v>
      </c>
      <c r="M111" t="s">
        <v>24</v>
      </c>
      <c r="N111" t="s">
        <v>25</v>
      </c>
      <c r="O111" t="s">
        <v>26</v>
      </c>
      <c r="P111" t="s">
        <v>27</v>
      </c>
      <c r="Q111" t="s">
        <v>28</v>
      </c>
      <c r="R111" t="s">
        <v>29</v>
      </c>
      <c r="S111" t="s">
        <v>30</v>
      </c>
      <c r="T111" t="s">
        <v>31</v>
      </c>
      <c r="U111" t="s">
        <v>32</v>
      </c>
      <c r="V111" t="s">
        <v>33</v>
      </c>
      <c r="W111" t="s">
        <v>34</v>
      </c>
      <c r="X111" t="s">
        <v>35</v>
      </c>
      <c r="Y111" t="s">
        <v>36</v>
      </c>
      <c r="Z111" t="s">
        <v>37</v>
      </c>
      <c r="AA111" t="s">
        <v>38</v>
      </c>
      <c r="AB111" t="s">
        <v>39</v>
      </c>
      <c r="AC111" t="s">
        <v>67</v>
      </c>
      <c r="AD111" t="s">
        <v>68</v>
      </c>
      <c r="AE111" t="s">
        <v>69</v>
      </c>
      <c r="AI111" t="s">
        <v>15</v>
      </c>
      <c r="AJ111" t="s">
        <v>16</v>
      </c>
      <c r="AK111" t="s">
        <v>17</v>
      </c>
      <c r="AL111" t="s">
        <v>18</v>
      </c>
      <c r="AM111" t="s">
        <v>19</v>
      </c>
      <c r="AN111" t="s">
        <v>20</v>
      </c>
      <c r="AO111" t="s">
        <v>21</v>
      </c>
      <c r="AP111" t="s">
        <v>22</v>
      </c>
      <c r="AQ111" t="s">
        <v>23</v>
      </c>
      <c r="AR111" t="s">
        <v>24</v>
      </c>
      <c r="AS111" t="s">
        <v>25</v>
      </c>
      <c r="AT111" t="s">
        <v>26</v>
      </c>
      <c r="AU111" t="s">
        <v>27</v>
      </c>
      <c r="AV111" t="s">
        <v>28</v>
      </c>
      <c r="AW111" t="s">
        <v>29</v>
      </c>
      <c r="AX111" t="s">
        <v>30</v>
      </c>
      <c r="AY111" t="s">
        <v>31</v>
      </c>
      <c r="AZ111" t="s">
        <v>32</v>
      </c>
      <c r="BA111" t="s">
        <v>33</v>
      </c>
      <c r="BB111" t="s">
        <v>34</v>
      </c>
      <c r="BC111" t="s">
        <v>35</v>
      </c>
      <c r="BD111" t="s">
        <v>36</v>
      </c>
      <c r="BE111" t="s">
        <v>37</v>
      </c>
      <c r="BF111" t="s">
        <v>38</v>
      </c>
      <c r="BG111" t="s">
        <v>39</v>
      </c>
      <c r="BH111" t="s">
        <v>67</v>
      </c>
      <c r="BI111" t="s">
        <v>68</v>
      </c>
      <c r="BJ111" t="s">
        <v>69</v>
      </c>
    </row>
    <row r="112" spans="1:62" x14ac:dyDescent="0.3">
      <c r="D112">
        <v>0</v>
      </c>
      <c r="AI112">
        <v>0</v>
      </c>
    </row>
    <row r="113" spans="1:62" x14ac:dyDescent="0.3">
      <c r="D113">
        <f t="shared" ref="D113:D124" si="283">(D112+8000)*1.00644-(0.00146*(D112+8000))</f>
        <v>8039.84</v>
      </c>
      <c r="E113">
        <f>(D124+8000)*1.00644-(0.00146*(D124+8000))</f>
        <v>107698.65772558845</v>
      </c>
      <c r="F113">
        <f>(E124+8000)*1.00644-(0.00146*(E124+8000))</f>
        <v>213478.94902851587</v>
      </c>
      <c r="G113">
        <f>(F124+8000)*1.00644-(0.00146*(F124+8000))</f>
        <v>325756.72116647667</v>
      </c>
      <c r="H113">
        <f>(G124+8000)*1.00644-(0.00125*(G124+8000))</f>
        <v>445379.2398443119</v>
      </c>
      <c r="I113">
        <f>(H124+8000)*1.00644-(0.00125*(H124+8000))</f>
        <v>573224.1025474607</v>
      </c>
      <c r="J113">
        <f>(I124+8000)*1.00644-(0.00125*(I124+8000))</f>
        <v>709262.40192156867</v>
      </c>
      <c r="K113">
        <f>(J124+8000)*1.00644-(0.00104*(J124+8000))</f>
        <v>854894.81138034002</v>
      </c>
      <c r="L113">
        <f>(K124+8000)*1.00644-(0.00104*(K124+8000))</f>
        <v>1011404.4973975159</v>
      </c>
      <c r="M113">
        <f>(L124+8000)*1.00644-(0.00104*(L124+8000))</f>
        <v>1178362.7116188789</v>
      </c>
      <c r="N113">
        <f>(M124+8000)*1.00644-(0.00104*(M124+8000))</f>
        <v>1356466.9938862876</v>
      </c>
      <c r="O113">
        <f>(N124+8000)*1.00644-(0.00104*(N124+8000))</f>
        <v>1546461.4515410101</v>
      </c>
      <c r="P113">
        <f>(O124+8000)*1.00644-(0.000833*(O124+8000))</f>
        <v>1752323.2402931892</v>
      </c>
      <c r="Q113">
        <f>(P124+8000)*1.00644-(0.000833*(P124+8000))</f>
        <v>1973503.0575290381</v>
      </c>
      <c r="R113">
        <f>(Q124+8000)*1.00644-(0.000833*(Q124+8000))</f>
        <v>2210032.358585556</v>
      </c>
      <c r="S113">
        <f>(R124+8000)*1.00644-(0.000833*(R124+8000))</f>
        <v>2462976.3701932165</v>
      </c>
      <c r="T113">
        <f>(S124+8000)*1.00644-(0.000833*(S124+8000))</f>
        <v>2733474.2439128384</v>
      </c>
      <c r="U113">
        <f t="shared" ref="U113:AE113" si="284">(T124+8000)*1.00644-(0.00125*(T124+8000))</f>
        <v>3021490.7301897951</v>
      </c>
      <c r="V113">
        <f t="shared" si="284"/>
        <v>3314435.7455872786</v>
      </c>
      <c r="W113">
        <f t="shared" si="284"/>
        <v>3626155.284895868</v>
      </c>
      <c r="X113">
        <f t="shared" si="284"/>
        <v>3957852.5867083455</v>
      </c>
      <c r="Y113">
        <f t="shared" si="284"/>
        <v>4310808.0038558058</v>
      </c>
      <c r="Z113">
        <f t="shared" si="284"/>
        <v>4686383.9455743991</v>
      </c>
      <c r="AA113">
        <f t="shared" si="284"/>
        <v>5086030.1364101013</v>
      </c>
      <c r="AB113">
        <f t="shared" si="284"/>
        <v>5511289.2121609012</v>
      </c>
      <c r="AC113">
        <f t="shared" si="284"/>
        <v>5963802.6744567854</v>
      </c>
      <c r="AD113">
        <f t="shared" si="284"/>
        <v>6445317.226962192</v>
      </c>
      <c r="AE113">
        <f t="shared" si="284"/>
        <v>6957691.517658717</v>
      </c>
      <c r="AI113">
        <f t="shared" ref="AI113:AI124" si="285">(AI112+8000)*1.00644-0</f>
        <v>8051.52</v>
      </c>
      <c r="AJ113">
        <f t="shared" ref="AJ113:BJ113" si="286">(AI124+8000)*1.00644-0</f>
        <v>108811.25779635273</v>
      </c>
      <c r="AK113">
        <f t="shared" si="286"/>
        <v>217639.52078981584</v>
      </c>
      <c r="AL113">
        <f t="shared" si="286"/>
        <v>335182.41128553811</v>
      </c>
      <c r="AM113">
        <f t="shared" si="286"/>
        <v>462137.76944391674</v>
      </c>
      <c r="AN113">
        <f t="shared" si="286"/>
        <v>599259.31628650334</v>
      </c>
      <c r="AO113">
        <f t="shared" si="286"/>
        <v>747361.12846088607</v>
      </c>
      <c r="AP113">
        <f t="shared" si="286"/>
        <v>907322.47133077227</v>
      </c>
      <c r="AQ113">
        <f t="shared" si="286"/>
        <v>1080093.0190848336</v>
      </c>
      <c r="AR113">
        <f t="shared" si="286"/>
        <v>1266698.492855571</v>
      </c>
      <c r="AS113">
        <f t="shared" si="286"/>
        <v>1468246.750321131</v>
      </c>
      <c r="AT113">
        <f t="shared" si="286"/>
        <v>1685934.3629434232</v>
      </c>
      <c r="AU113">
        <f t="shared" si="286"/>
        <v>1921053.7198909307</v>
      </c>
      <c r="AV113">
        <f t="shared" si="286"/>
        <v>2175000.7008214779</v>
      </c>
      <c r="AW113">
        <f t="shared" si="286"/>
        <v>2449282.9630774828</v>
      </c>
      <c r="AX113">
        <f t="shared" si="286"/>
        <v>2745528.8924939348</v>
      </c>
      <c r="AY113">
        <f t="shared" si="286"/>
        <v>3065497.2709591221</v>
      </c>
      <c r="AZ113">
        <f t="shared" si="286"/>
        <v>3411087.7181234439</v>
      </c>
      <c r="BA113">
        <f t="shared" si="286"/>
        <v>3784351.9692476541</v>
      </c>
      <c r="BB113">
        <f t="shared" si="286"/>
        <v>4187506.0561459833</v>
      </c>
      <c r="BC113">
        <f t="shared" si="286"/>
        <v>4622943.463541152</v>
      </c>
      <c r="BD113">
        <f t="shared" si="286"/>
        <v>5093249.338939216</v>
      </c>
      <c r="BE113">
        <f t="shared" si="286"/>
        <v>5601215.8403868228</v>
      </c>
      <c r="BF113">
        <f t="shared" si="286"/>
        <v>6149858.7132289391</v>
      </c>
      <c r="BG113">
        <f t="shared" si="286"/>
        <v>6742435.1942815948</v>
      </c>
      <c r="BH113">
        <f t="shared" si="286"/>
        <v>7382463.3497148631</v>
      </c>
      <c r="BI113">
        <f t="shared" si="286"/>
        <v>8073742.9614531342</v>
      </c>
      <c r="BJ113">
        <f t="shared" si="286"/>
        <v>8820378.0860931166</v>
      </c>
    </row>
    <row r="114" spans="1:62" x14ac:dyDescent="0.3">
      <c r="D114">
        <f t="shared" si="283"/>
        <v>16119.718403199999</v>
      </c>
      <c r="E114">
        <f t="shared" ref="E114:G120" si="287">(E113+8000)*1.00644-(0.00146*(E113+8000))</f>
        <v>116274.83704106187</v>
      </c>
      <c r="F114">
        <f t="shared" si="287"/>
        <v>222581.91419467787</v>
      </c>
      <c r="G114">
        <f t="shared" si="287"/>
        <v>335418.82963788573</v>
      </c>
      <c r="H114">
        <f t="shared" ref="H114:J120" si="288">(H113+8000)*1.00644-(0.00125*(H113+8000))</f>
        <v>455732.27809910389</v>
      </c>
      <c r="I114">
        <f t="shared" si="288"/>
        <v>584240.65563968197</v>
      </c>
      <c r="J114">
        <f t="shared" si="288"/>
        <v>720984.99378754164</v>
      </c>
      <c r="K114">
        <f t="shared" ref="K114:O116" si="289">(K113+8000)*1.00644-(0.00104*(K113+8000))</f>
        <v>867554.44336179376</v>
      </c>
      <c r="L114">
        <f t="shared" si="289"/>
        <v>1024909.2816834624</v>
      </c>
      <c r="M114">
        <f t="shared" si="289"/>
        <v>1192769.0702616207</v>
      </c>
      <c r="N114">
        <f t="shared" si="289"/>
        <v>1371835.1156532734</v>
      </c>
      <c r="O114">
        <f t="shared" si="289"/>
        <v>1562855.5433793315</v>
      </c>
      <c r="P114">
        <f t="shared" ref="P114:P124" si="290">(P113+8000)*1.00644-(0.000833*(P113+8000))</f>
        <v>1770193.3727015131</v>
      </c>
      <c r="Q114">
        <f t="shared" ref="Q114:Q124" si="291">(Q113+8000)*1.00644-(0.000833*(Q113+8000))</f>
        <v>1992613.3451726034</v>
      </c>
      <c r="R114">
        <f t="shared" ref="R114:R124" si="292">(R113+8000)*1.00644-(0.000833*(R113+8000))</f>
        <v>2230468.8660201454</v>
      </c>
      <c r="S114">
        <f t="shared" ref="S114:S124" si="293">(S113+8000)*1.00644-(0.000833*(S113+8000))</f>
        <v>2484831.1347008897</v>
      </c>
      <c r="T114">
        <f t="shared" ref="T114:T124" si="294">(T113+8000)*1.00644-(0.000833*(T113+8000))</f>
        <v>2756845.6899984577</v>
      </c>
      <c r="U114">
        <f t="shared" ref="U114:U124" si="295">(U113+8000)*1.00644-(0.00125*(U113+8000))</f>
        <v>3045213.78707948</v>
      </c>
      <c r="V114">
        <f t="shared" ref="V114:V124" si="296">(V113+8000)*1.00644-(0.00125*(V113+8000))</f>
        <v>3339679.1871068766</v>
      </c>
      <c r="W114">
        <f t="shared" ref="W114:W124" si="297">(W113+8000)*1.00644-(0.00125*(W113+8000))</f>
        <v>3653016.5508244778</v>
      </c>
      <c r="X114">
        <f t="shared" ref="X114:X124" si="298">(X113+8000)*1.00644-(0.00125*(X113+8000))</f>
        <v>3986435.3616333618</v>
      </c>
      <c r="Y114">
        <f t="shared" ref="Y114:Y124" si="299">(Y113+8000)*1.00644-(0.00125*(Y113+8000))</f>
        <v>4341222.6173958182</v>
      </c>
      <c r="Z114">
        <f t="shared" ref="Z114:Z124" si="300">(Z113+8000)*1.00644-(0.00125*(Z113+8000))</f>
        <v>4718747.7982519297</v>
      </c>
      <c r="AA114">
        <f t="shared" ref="AA114:AA124" si="301">(AA113+8000)*1.00644-(0.00125*(AA113+8000))</f>
        <v>5120468.1528180698</v>
      </c>
      <c r="AB114">
        <f t="shared" ref="AB114:AB124" si="302">(AB113+8000)*1.00644-(0.00125*(AB113+8000))</f>
        <v>5547934.323172017</v>
      </c>
      <c r="AC114">
        <f t="shared" ref="AC114:AC124" si="303">(AC113+8000)*1.00644-(0.00125*(AC113+8000))</f>
        <v>6002796.3303372161</v>
      </c>
      <c r="AD114">
        <f t="shared" ref="AD114:AD124" si="304">(AD113+8000)*1.00644-(0.00125*(AD113+8000))</f>
        <v>6486809.9433701262</v>
      </c>
      <c r="AE114">
        <f t="shared" ref="AE114:AE124" si="305">(AE113+8000)*1.00644-(0.00125*(AE113+8000))</f>
        <v>7001843.4566353662</v>
      </c>
      <c r="AI114">
        <f t="shared" si="285"/>
        <v>16154.8917888</v>
      </c>
      <c r="AJ114">
        <f t="shared" ref="AJ114:AJ124" si="306">(AJ113+8000)*1.00644-0</f>
        <v>117563.52229656123</v>
      </c>
      <c r="AK114">
        <f t="shared" ref="AK114:AK124" si="307">(AK113+8000)*1.00644-0</f>
        <v>227092.63930370225</v>
      </c>
      <c r="AL114">
        <f t="shared" ref="AL114:AL124" si="308">(AL113+8000)*1.00644-0</f>
        <v>345392.50601421698</v>
      </c>
      <c r="AM114">
        <f t="shared" ref="AM114:AM124" si="309">(AM113+8000)*1.00644-0</f>
        <v>473165.45667913556</v>
      </c>
      <c r="AN114">
        <f t="shared" ref="AN114:AN124" si="310">(AN113+8000)*1.00644-0</f>
        <v>611170.06628338841</v>
      </c>
      <c r="AO114">
        <f t="shared" ref="AO114:AO124" si="311">(AO113+8000)*1.00644-0</f>
        <v>760225.65412817418</v>
      </c>
      <c r="AP114">
        <f t="shared" ref="AP114:AP124" si="312">(AP113+8000)*1.00644-0</f>
        <v>921217.14804614242</v>
      </c>
      <c r="AQ114">
        <f t="shared" ref="AQ114:AQ124" si="313">(AQ113+8000)*1.00644-0</f>
        <v>1095100.33812774</v>
      </c>
      <c r="AR114">
        <f t="shared" ref="AR114:AR124" si="314">(AR113+8000)*1.00644-0</f>
        <v>1282907.5511495608</v>
      </c>
      <c r="AS114">
        <f t="shared" ref="AS114:AS124" si="315">(AS113+8000)*1.00644-0</f>
        <v>1485753.7793931991</v>
      </c>
      <c r="AT114">
        <f t="shared" ref="AT114:AT124" si="316">(AT113+8000)*1.00644-0</f>
        <v>1704843.3002407788</v>
      </c>
      <c r="AU114">
        <f t="shared" ref="AU114:AU124" si="317">(AU113+8000)*1.00644-0</f>
        <v>1941476.8258470283</v>
      </c>
      <c r="AV114">
        <f t="shared" ref="AV114:AV124" si="318">(AV113+8000)*1.00644-0</f>
        <v>2197059.2253347682</v>
      </c>
      <c r="AW114">
        <f t="shared" ref="AW114:AW124" si="319">(AW113+8000)*1.00644-0</f>
        <v>2473107.8653597017</v>
      </c>
      <c r="AX114">
        <f t="shared" ref="AX114:AX124" si="320">(AX113+8000)*1.00644-0</f>
        <v>2771261.6185615957</v>
      </c>
      <c r="AY114">
        <f t="shared" ref="AY114:AY124" si="321">(AY113+8000)*1.00644-0</f>
        <v>3093290.5933840987</v>
      </c>
      <c r="AZ114">
        <f t="shared" ref="AZ114:AZ124" si="322">(AZ113+8000)*1.00644-0</f>
        <v>3441106.6430281587</v>
      </c>
      <c r="BA114">
        <f t="shared" ref="BA114:BA124" si="323">(BA113+8000)*1.00644-0</f>
        <v>3816774.7159296088</v>
      </c>
      <c r="BB114">
        <f t="shared" ref="BB114:BB124" si="324">(BB113+8000)*1.00644-0</f>
        <v>4222525.1151475627</v>
      </c>
      <c r="BC114">
        <f t="shared" ref="BC114:BC124" si="325">(BC113+8000)*1.00644-0</f>
        <v>4660766.7394463569</v>
      </c>
      <c r="BD114">
        <f t="shared" ref="BD114:BD124" si="326">(BD113+8000)*1.00644-0</f>
        <v>5134101.3846819848</v>
      </c>
      <c r="BE114">
        <f t="shared" ref="BE114:BE124" si="327">(BE113+8000)*1.00644-0</f>
        <v>5645339.1903989138</v>
      </c>
      <c r="BF114">
        <f t="shared" ref="BF114:BF124" si="328">(BF113+8000)*1.00644-0</f>
        <v>6197515.3233421333</v>
      </c>
      <c r="BG114">
        <f t="shared" ref="BG114:BG124" si="329">(BG113+8000)*1.00644-0</f>
        <v>6793907.9969327683</v>
      </c>
      <c r="BH114">
        <f t="shared" ref="BH114:BH124" si="330">(BH113+8000)*1.00644-0</f>
        <v>7438057.9336870266</v>
      </c>
      <c r="BI114">
        <f t="shared" ref="BI114:BI124" si="331">(BI113+8000)*1.00644-0</f>
        <v>8133789.3861248922</v>
      </c>
      <c r="BJ114">
        <f t="shared" ref="BJ114:BJ124" si="332">(BJ113+8000)*1.00644-0</f>
        <v>8885232.8409675565</v>
      </c>
    </row>
    <row r="115" spans="1:62" x14ac:dyDescent="0.3">
      <c r="A115">
        <f>0.0175/12</f>
        <v>1.4583333333333334E-3</v>
      </c>
      <c r="B115">
        <v>1.75</v>
      </c>
      <c r="D115">
        <f t="shared" si="283"/>
        <v>24239.834600847938</v>
      </c>
      <c r="E115">
        <f t="shared" si="287"/>
        <v>124893.72572952636</v>
      </c>
      <c r="F115">
        <f t="shared" si="287"/>
        <v>231730.21212736735</v>
      </c>
      <c r="G115">
        <f t="shared" si="287"/>
        <v>345129.05540948239</v>
      </c>
      <c r="H115">
        <f t="shared" si="288"/>
        <v>466139.04862243822</v>
      </c>
      <c r="I115">
        <f t="shared" si="288"/>
        <v>595314.38464245189</v>
      </c>
      <c r="J115">
        <f t="shared" si="288"/>
        <v>732768.42590529891</v>
      </c>
      <c r="K115">
        <f t="shared" si="289"/>
        <v>880282.43735594745</v>
      </c>
      <c r="L115">
        <f t="shared" si="289"/>
        <v>1038486.9918045531</v>
      </c>
      <c r="M115">
        <f t="shared" si="289"/>
        <v>1207253.2232410335</v>
      </c>
      <c r="N115">
        <f t="shared" si="289"/>
        <v>1387286.2252778013</v>
      </c>
      <c r="O115">
        <f t="shared" si="289"/>
        <v>1579338.1633135797</v>
      </c>
      <c r="P115">
        <f t="shared" si="290"/>
        <v>1788163.7029422505</v>
      </c>
      <c r="Q115">
        <f t="shared" si="291"/>
        <v>2011830.7841989861</v>
      </c>
      <c r="R115">
        <f t="shared" si="292"/>
        <v>2251019.9609519206</v>
      </c>
      <c r="S115">
        <f t="shared" si="293"/>
        <v>2506808.4388731578</v>
      </c>
      <c r="T115">
        <f t="shared" si="294"/>
        <v>2780348.1797822788</v>
      </c>
      <c r="U115">
        <f t="shared" si="295"/>
        <v>3069059.9666344225</v>
      </c>
      <c r="V115">
        <f t="shared" si="296"/>
        <v>3365053.6420879615</v>
      </c>
      <c r="W115">
        <f t="shared" si="297"/>
        <v>3680017.226723257</v>
      </c>
      <c r="X115">
        <f t="shared" si="298"/>
        <v>4015166.4811602389</v>
      </c>
      <c r="Y115">
        <f t="shared" si="299"/>
        <v>4371795.0827801023</v>
      </c>
      <c r="Z115">
        <f t="shared" si="300"/>
        <v>4751279.6193248574</v>
      </c>
      <c r="AA115">
        <f t="shared" si="301"/>
        <v>5155084.9025311954</v>
      </c>
      <c r="AB115">
        <f t="shared" si="302"/>
        <v>5584769.6223092796</v>
      </c>
      <c r="AC115">
        <f t="shared" si="303"/>
        <v>6041992.3632916659</v>
      </c>
      <c r="AD115">
        <f t="shared" si="304"/>
        <v>6528518.006976218</v>
      </c>
      <c r="AE115">
        <f t="shared" si="305"/>
        <v>7046224.5441753035</v>
      </c>
      <c r="AI115">
        <f t="shared" si="285"/>
        <v>24310.449291919871</v>
      </c>
      <c r="AJ115">
        <f t="shared" si="306"/>
        <v>126372.15138015109</v>
      </c>
      <c r="AK115">
        <f t="shared" si="307"/>
        <v>236606.6359008181</v>
      </c>
      <c r="AL115">
        <f t="shared" si="308"/>
        <v>355668.35375294852</v>
      </c>
      <c r="AM115">
        <f t="shared" si="309"/>
        <v>484264.16222014918</v>
      </c>
      <c r="AN115">
        <f t="shared" si="310"/>
        <v>623157.52151025343</v>
      </c>
      <c r="AO115">
        <f t="shared" si="311"/>
        <v>773173.02734075964</v>
      </c>
      <c r="AP115">
        <f t="shared" si="312"/>
        <v>935201.30647955963</v>
      </c>
      <c r="AQ115">
        <f t="shared" si="313"/>
        <v>1110204.3043052827</v>
      </c>
      <c r="AR115">
        <f t="shared" si="314"/>
        <v>1299220.9957789639</v>
      </c>
      <c r="AS115">
        <f t="shared" si="315"/>
        <v>1503373.5537324913</v>
      </c>
      <c r="AT115">
        <f t="shared" si="316"/>
        <v>1723874.0110943294</v>
      </c>
      <c r="AU115">
        <f t="shared" si="317"/>
        <v>1962031.4566054831</v>
      </c>
      <c r="AV115">
        <f t="shared" si="318"/>
        <v>2219259.8067459241</v>
      </c>
      <c r="AW115">
        <f t="shared" si="319"/>
        <v>2497086.2000126182</v>
      </c>
      <c r="AX115">
        <f t="shared" si="320"/>
        <v>2797160.0633851322</v>
      </c>
      <c r="AY115">
        <f t="shared" si="321"/>
        <v>3121262.9048054921</v>
      </c>
      <c r="AZ115">
        <f t="shared" si="322"/>
        <v>3471318.8898092601</v>
      </c>
      <c r="BA115">
        <f t="shared" si="323"/>
        <v>3849406.2651001955</v>
      </c>
      <c r="BB115">
        <f t="shared" si="324"/>
        <v>4257769.6968891127</v>
      </c>
      <c r="BC115">
        <f t="shared" si="325"/>
        <v>4698833.5972483912</v>
      </c>
      <c r="BD115">
        <f t="shared" si="326"/>
        <v>5175216.5175993368</v>
      </c>
      <c r="BE115">
        <f t="shared" si="327"/>
        <v>5689746.6947850827</v>
      </c>
      <c r="BF115">
        <f t="shared" si="328"/>
        <v>6245478.8420244567</v>
      </c>
      <c r="BG115">
        <f t="shared" si="329"/>
        <v>6845712.2844330156</v>
      </c>
      <c r="BH115">
        <f t="shared" si="330"/>
        <v>7494010.5467799706</v>
      </c>
      <c r="BI115">
        <f t="shared" si="331"/>
        <v>8194222.5097715361</v>
      </c>
      <c r="BJ115">
        <f t="shared" si="332"/>
        <v>8950505.2604633868</v>
      </c>
    </row>
    <row r="116" spans="1:62" x14ac:dyDescent="0.3">
      <c r="A116">
        <f>0.015/12</f>
        <v>1.25E-3</v>
      </c>
      <c r="B116">
        <v>1.5</v>
      </c>
      <c r="D116">
        <f t="shared" si="283"/>
        <v>32400.388977160161</v>
      </c>
      <c r="E116">
        <f t="shared" si="287"/>
        <v>133555.53648365941</v>
      </c>
      <c r="F116">
        <f t="shared" si="287"/>
        <v>240924.06858376166</v>
      </c>
      <c r="G116">
        <f t="shared" si="287"/>
        <v>354887.63810542162</v>
      </c>
      <c r="H116">
        <f t="shared" si="288"/>
        <v>476599.83028478868</v>
      </c>
      <c r="I116">
        <f t="shared" si="288"/>
        <v>606445.58629874629</v>
      </c>
      <c r="J116">
        <f t="shared" si="288"/>
        <v>744613.01403574739</v>
      </c>
      <c r="K116">
        <f t="shared" si="289"/>
        <v>893079.16251766961</v>
      </c>
      <c r="L116">
        <f t="shared" si="289"/>
        <v>1052138.0215602976</v>
      </c>
      <c r="M116">
        <f t="shared" si="289"/>
        <v>1221815.5906465352</v>
      </c>
      <c r="N116">
        <f t="shared" si="289"/>
        <v>1402820.7708943014</v>
      </c>
      <c r="O116">
        <f t="shared" si="289"/>
        <v>1595909.789395473</v>
      </c>
      <c r="P116">
        <f t="shared" si="290"/>
        <v>1806234.7928246476</v>
      </c>
      <c r="Q116">
        <f t="shared" si="291"/>
        <v>2031155.9754059899</v>
      </c>
      <c r="R116">
        <f t="shared" si="292"/>
        <v>2271686.2858729782</v>
      </c>
      <c r="S116">
        <f t="shared" si="293"/>
        <v>2528908.9697899194</v>
      </c>
      <c r="T116">
        <f t="shared" si="294"/>
        <v>2803982.4480263181</v>
      </c>
      <c r="U116">
        <f t="shared" si="295"/>
        <v>3093029.9078612551</v>
      </c>
      <c r="V116">
        <f t="shared" si="296"/>
        <v>3390559.7904903982</v>
      </c>
      <c r="W116">
        <f t="shared" si="297"/>
        <v>3707158.0361299505</v>
      </c>
      <c r="X116">
        <f t="shared" si="298"/>
        <v>4044046.7151974603</v>
      </c>
      <c r="Y116">
        <f t="shared" si="299"/>
        <v>4402526.2192597315</v>
      </c>
      <c r="Z116">
        <f t="shared" si="300"/>
        <v>4783980.2805491537</v>
      </c>
      <c r="AA116">
        <f t="shared" si="301"/>
        <v>5189881.3131753327</v>
      </c>
      <c r="AB116">
        <f t="shared" si="302"/>
        <v>5621796.0966490647</v>
      </c>
      <c r="AC116">
        <f t="shared" si="303"/>
        <v>6081391.8236571494</v>
      </c>
      <c r="AD116">
        <f t="shared" si="304"/>
        <v>6570442.5354324253</v>
      </c>
      <c r="AE116">
        <f t="shared" si="305"/>
        <v>7090835.9695595736</v>
      </c>
      <c r="AI116">
        <f t="shared" si="285"/>
        <v>32518.528585359836</v>
      </c>
      <c r="AJ116">
        <f t="shared" si="306"/>
        <v>135237.50803503927</v>
      </c>
      <c r="AK116">
        <f t="shared" si="307"/>
        <v>246181.90263601937</v>
      </c>
      <c r="AL116">
        <f t="shared" si="308"/>
        <v>366010.37795111752</v>
      </c>
      <c r="AM116">
        <f t="shared" si="309"/>
        <v>495434.34342484694</v>
      </c>
      <c r="AN116">
        <f t="shared" si="310"/>
        <v>635222.17594877945</v>
      </c>
      <c r="AO116">
        <f t="shared" si="311"/>
        <v>786203.78163683414</v>
      </c>
      <c r="AP116">
        <f t="shared" si="312"/>
        <v>949275.52289328794</v>
      </c>
      <c r="AQ116">
        <f t="shared" si="313"/>
        <v>1125405.5400250086</v>
      </c>
      <c r="AR116">
        <f t="shared" si="314"/>
        <v>1315639.4989917804</v>
      </c>
      <c r="AS116">
        <f t="shared" si="315"/>
        <v>1521106.7994185286</v>
      </c>
      <c r="AT116">
        <f t="shared" si="316"/>
        <v>1743027.279725777</v>
      </c>
      <c r="AU116">
        <f t="shared" si="317"/>
        <v>1982718.4591860224</v>
      </c>
      <c r="AV116">
        <f t="shared" si="318"/>
        <v>2241603.3599013677</v>
      </c>
      <c r="AW116">
        <f t="shared" si="319"/>
        <v>2521218.9551406996</v>
      </c>
      <c r="AX116">
        <f t="shared" si="320"/>
        <v>2823225.2941933325</v>
      </c>
      <c r="AY116">
        <f t="shared" si="321"/>
        <v>3149415.3579124394</v>
      </c>
      <c r="AZ116">
        <f t="shared" si="322"/>
        <v>3501725.7034596317</v>
      </c>
      <c r="BA116">
        <f t="shared" si="323"/>
        <v>3882247.961447441</v>
      </c>
      <c r="BB116">
        <f t="shared" si="324"/>
        <v>4293241.253737079</v>
      </c>
      <c r="BC116">
        <f t="shared" si="325"/>
        <v>4737145.6056146706</v>
      </c>
      <c r="BD116">
        <f t="shared" si="326"/>
        <v>5216596.4319726769</v>
      </c>
      <c r="BE116">
        <f t="shared" si="327"/>
        <v>5734440.1834994983</v>
      </c>
      <c r="BF116">
        <f t="shared" si="328"/>
        <v>6293751.2457670942</v>
      </c>
      <c r="BG116">
        <f t="shared" si="329"/>
        <v>6897850.1915447647</v>
      </c>
      <c r="BH116">
        <f t="shared" si="330"/>
        <v>7550323.4947012337</v>
      </c>
      <c r="BI116">
        <f t="shared" si="331"/>
        <v>8255044.8227344649</v>
      </c>
      <c r="BJ116">
        <f t="shared" si="332"/>
        <v>9016198.0343407709</v>
      </c>
    </row>
    <row r="117" spans="1:62" x14ac:dyDescent="0.3">
      <c r="A117">
        <f>0.0125/12</f>
        <v>1.0416666666666667E-3</v>
      </c>
      <c r="B117">
        <v>1.25</v>
      </c>
      <c r="D117">
        <f t="shared" si="283"/>
        <v>40601.582914266415</v>
      </c>
      <c r="E117">
        <f t="shared" si="287"/>
        <v>142260.48305534801</v>
      </c>
      <c r="F117">
        <f t="shared" si="287"/>
        <v>250163.7104453088</v>
      </c>
      <c r="G117">
        <f t="shared" si="287"/>
        <v>364694.81854318664</v>
      </c>
      <c r="H117">
        <f t="shared" si="288"/>
        <v>487114.90340396669</v>
      </c>
      <c r="I117">
        <f t="shared" si="288"/>
        <v>617634.55889163679</v>
      </c>
      <c r="J117">
        <f t="shared" si="288"/>
        <v>756519.07557859295</v>
      </c>
      <c r="K117">
        <f t="shared" ref="K117:N124" si="333">(K116+8000)*1.00644-(0.00104*(K116+8000))</f>
        <v>905944.98999526503</v>
      </c>
      <c r="L117">
        <f t="shared" si="333"/>
        <v>1065862.7668767232</v>
      </c>
      <c r="M117">
        <f t="shared" si="333"/>
        <v>1236456.5948360264</v>
      </c>
      <c r="N117">
        <f t="shared" si="333"/>
        <v>1418439.2030571306</v>
      </c>
      <c r="O117">
        <f t="shared" ref="O117:O124" si="334">(O116+8000)*1.00644-(0.000833*(O116+8000))</f>
        <v>1612902.9115846134</v>
      </c>
      <c r="P117">
        <f t="shared" si="290"/>
        <v>1824407.2073080153</v>
      </c>
      <c r="Q117">
        <f t="shared" si="291"/>
        <v>2050589.5229600912</v>
      </c>
      <c r="R117">
        <f t="shared" si="292"/>
        <v>2292468.486877868</v>
      </c>
      <c r="S117">
        <f t="shared" si="293"/>
        <v>2551133.4183835313</v>
      </c>
      <c r="T117">
        <f t="shared" si="294"/>
        <v>2827749.2336124019</v>
      </c>
      <c r="U117">
        <f t="shared" si="295"/>
        <v>3117124.2530830549</v>
      </c>
      <c r="V117">
        <f t="shared" si="296"/>
        <v>3416198.3158030431</v>
      </c>
      <c r="W117">
        <f t="shared" si="297"/>
        <v>3734439.706337465</v>
      </c>
      <c r="X117">
        <f t="shared" si="298"/>
        <v>4073076.8376493352</v>
      </c>
      <c r="Y117">
        <f t="shared" si="299"/>
        <v>4433416.8503376888</v>
      </c>
      <c r="Z117">
        <f t="shared" si="300"/>
        <v>4816850.6582052037</v>
      </c>
      <c r="AA117">
        <f t="shared" si="301"/>
        <v>5224858.3171907132</v>
      </c>
      <c r="AB117">
        <f t="shared" si="302"/>
        <v>5659014.738390673</v>
      </c>
      <c r="AC117">
        <f t="shared" si="303"/>
        <v>6120995.7672219304</v>
      </c>
      <c r="AD117">
        <f t="shared" si="304"/>
        <v>6612584.6521913195</v>
      </c>
      <c r="AE117">
        <f t="shared" si="305"/>
        <v>7135678.9282415872</v>
      </c>
      <c r="AI117">
        <f t="shared" si="285"/>
        <v>40779.467909449551</v>
      </c>
      <c r="AJ117">
        <f t="shared" si="306"/>
        <v>144159.95758678493</v>
      </c>
      <c r="AK117">
        <f t="shared" si="307"/>
        <v>255818.83408899533</v>
      </c>
      <c r="AL117">
        <f t="shared" si="308"/>
        <v>376419.0047851227</v>
      </c>
      <c r="AM117">
        <f t="shared" si="309"/>
        <v>506676.46059650293</v>
      </c>
      <c r="AN117">
        <f t="shared" si="310"/>
        <v>647364.52676188957</v>
      </c>
      <c r="AO117">
        <f t="shared" si="311"/>
        <v>799318.45399057539</v>
      </c>
      <c r="AP117">
        <f t="shared" si="312"/>
        <v>963440.37726072071</v>
      </c>
      <c r="AQ117">
        <f t="shared" si="313"/>
        <v>1140704.6717027696</v>
      </c>
      <c r="AR117">
        <f t="shared" si="314"/>
        <v>1332163.7373652875</v>
      </c>
      <c r="AS117">
        <f t="shared" si="315"/>
        <v>1538954.2472067839</v>
      </c>
      <c r="AT117">
        <f t="shared" si="316"/>
        <v>1762303.895407211</v>
      </c>
      <c r="AU117">
        <f t="shared" si="317"/>
        <v>2003538.6860631804</v>
      </c>
      <c r="AV117">
        <f t="shared" si="318"/>
        <v>2264090.8055391326</v>
      </c>
      <c r="AW117">
        <f t="shared" si="319"/>
        <v>2545507.1252118056</v>
      </c>
      <c r="AX117">
        <f t="shared" si="320"/>
        <v>2849458.3850879376</v>
      </c>
      <c r="AY117">
        <f t="shared" si="321"/>
        <v>3177749.1128173955</v>
      </c>
      <c r="AZ117">
        <f t="shared" si="322"/>
        <v>3532328.3369899117</v>
      </c>
      <c r="BA117">
        <f t="shared" si="323"/>
        <v>3915301.1583191627</v>
      </c>
      <c r="BB117">
        <f t="shared" si="324"/>
        <v>4328941.2474111458</v>
      </c>
      <c r="BC117">
        <f t="shared" si="325"/>
        <v>4775704.3433148293</v>
      </c>
      <c r="BD117">
        <f t="shared" si="326"/>
        <v>5258242.8329945812</v>
      </c>
      <c r="BE117">
        <f t="shared" si="327"/>
        <v>5779421.4982812349</v>
      </c>
      <c r="BF117">
        <f t="shared" si="328"/>
        <v>6342334.5237898342</v>
      </c>
      <c r="BG117">
        <f t="shared" si="329"/>
        <v>6950323.8667783132</v>
      </c>
      <c r="BH117">
        <f t="shared" si="330"/>
        <v>7606999.0980071099</v>
      </c>
      <c r="BI117">
        <f t="shared" si="331"/>
        <v>8316258.8313928749</v>
      </c>
      <c r="BJ117">
        <f t="shared" si="332"/>
        <v>9082313.8696819246</v>
      </c>
    </row>
    <row r="118" spans="1:62" x14ac:dyDescent="0.3">
      <c r="A118">
        <f>0.01/12</f>
        <v>8.3333333333333339E-4</v>
      </c>
      <c r="B118">
        <v>1</v>
      </c>
      <c r="D118">
        <f t="shared" si="283"/>
        <v>48843.618797179464</v>
      </c>
      <c r="E118">
        <f t="shared" si="287"/>
        <v>151008.78026096366</v>
      </c>
      <c r="F118">
        <f t="shared" si="287"/>
        <v>259449.36572332642</v>
      </c>
      <c r="G118">
        <f t="shared" si="287"/>
        <v>374550.8387395317</v>
      </c>
      <c r="H118">
        <f t="shared" si="288"/>
        <v>497684.54975263326</v>
      </c>
      <c r="I118">
        <f t="shared" si="288"/>
        <v>628881.60225228441</v>
      </c>
      <c r="J118">
        <f t="shared" si="288"/>
        <v>768486.92958084575</v>
      </c>
      <c r="K118">
        <f t="shared" si="333"/>
        <v>918880.29294123955</v>
      </c>
      <c r="L118">
        <f t="shared" si="333"/>
        <v>1079661.6258178574</v>
      </c>
      <c r="M118">
        <f t="shared" si="333"/>
        <v>1251176.6604481409</v>
      </c>
      <c r="N118">
        <f t="shared" si="333"/>
        <v>1434141.9747536392</v>
      </c>
      <c r="O118">
        <f t="shared" si="334"/>
        <v>1629991.3142098682</v>
      </c>
      <c r="P118">
        <f t="shared" si="290"/>
        <v>1842681.5145193913</v>
      </c>
      <c r="Q118">
        <f t="shared" si="291"/>
        <v>2070132.0344153284</v>
      </c>
      <c r="R118">
        <f t="shared" si="292"/>
        <v>2313367.2136837919</v>
      </c>
      <c r="S118">
        <f t="shared" si="293"/>
        <v>2573482.479460408</v>
      </c>
      <c r="T118">
        <f t="shared" si="294"/>
        <v>2851649.2795652668</v>
      </c>
      <c r="U118">
        <f t="shared" si="295"/>
        <v>3141343.6479565562</v>
      </c>
      <c r="V118">
        <f t="shared" si="296"/>
        <v>3441969.9050620608</v>
      </c>
      <c r="W118">
        <f t="shared" si="297"/>
        <v>3761862.9684133562</v>
      </c>
      <c r="X118">
        <f t="shared" si="298"/>
        <v>4102257.6264367355</v>
      </c>
      <c r="Y118">
        <f t="shared" si="299"/>
        <v>4464467.8037909418</v>
      </c>
      <c r="Z118">
        <f t="shared" si="300"/>
        <v>4849891.6331212884</v>
      </c>
      <c r="AA118">
        <f t="shared" si="301"/>
        <v>5260016.851856933</v>
      </c>
      <c r="AB118">
        <f t="shared" si="302"/>
        <v>5696426.5448829206</v>
      </c>
      <c r="AC118">
        <f t="shared" si="303"/>
        <v>6160805.2552538123</v>
      </c>
      <c r="AD118">
        <f t="shared" si="304"/>
        <v>6654945.4865361927</v>
      </c>
      <c r="AE118">
        <f t="shared" si="305"/>
        <v>7180754.6218791604</v>
      </c>
      <c r="AI118">
        <f t="shared" si="285"/>
        <v>49093.607682786409</v>
      </c>
      <c r="AJ118">
        <f t="shared" si="306"/>
        <v>153139.86771364382</v>
      </c>
      <c r="AK118">
        <f t="shared" si="307"/>
        <v>265517.8273805285</v>
      </c>
      <c r="AL118">
        <f t="shared" si="308"/>
        <v>386894.66317593888</v>
      </c>
      <c r="AM118">
        <f t="shared" si="309"/>
        <v>517990.97700274439</v>
      </c>
      <c r="AN118">
        <f t="shared" si="310"/>
        <v>659585.07431423618</v>
      </c>
      <c r="AO118">
        <f t="shared" si="311"/>
        <v>812517.58483427472</v>
      </c>
      <c r="AP118">
        <f t="shared" si="312"/>
        <v>977696.45329027972</v>
      </c>
      <c r="AQ118">
        <f t="shared" si="313"/>
        <v>1156102.3297885354</v>
      </c>
      <c r="AR118">
        <f t="shared" si="314"/>
        <v>1348794.39183392</v>
      </c>
      <c r="AS118">
        <f t="shared" si="315"/>
        <v>1556916.6325587956</v>
      </c>
      <c r="AT118">
        <f t="shared" si="316"/>
        <v>1781704.6524936336</v>
      </c>
      <c r="AU118">
        <f t="shared" si="317"/>
        <v>2024492.9952014273</v>
      </c>
      <c r="AV118">
        <f t="shared" si="318"/>
        <v>2286723.0703268046</v>
      </c>
      <c r="AW118">
        <f t="shared" si="319"/>
        <v>2569951.7110981694</v>
      </c>
      <c r="AX118">
        <f t="shared" si="320"/>
        <v>2875860.4170879037</v>
      </c>
      <c r="AY118">
        <f t="shared" si="321"/>
        <v>3206265.3371039396</v>
      </c>
      <c r="AZ118">
        <f t="shared" si="322"/>
        <v>3563128.0514801266</v>
      </c>
      <c r="BA118">
        <f t="shared" si="323"/>
        <v>3948567.2177787381</v>
      </c>
      <c r="BB118">
        <f t="shared" si="324"/>
        <v>4364871.1490444737</v>
      </c>
      <c r="BC118">
        <f t="shared" si="325"/>
        <v>4814511.3992857765</v>
      </c>
      <c r="BD118">
        <f t="shared" si="326"/>
        <v>5300157.4368390664</v>
      </c>
      <c r="BE118">
        <f t="shared" si="327"/>
        <v>5824692.4927301658</v>
      </c>
      <c r="BF118">
        <f t="shared" si="328"/>
        <v>6391230.6781230411</v>
      </c>
      <c r="BG118">
        <f t="shared" si="329"/>
        <v>7003135.4724803651</v>
      </c>
      <c r="BH118">
        <f t="shared" si="330"/>
        <v>7664039.6921982756</v>
      </c>
      <c r="BI118">
        <f t="shared" si="331"/>
        <v>8377867.0582670448</v>
      </c>
      <c r="BJ118">
        <f t="shared" si="332"/>
        <v>9148855.491002677</v>
      </c>
    </row>
    <row r="119" spans="1:62" x14ac:dyDescent="0.3">
      <c r="D119">
        <f t="shared" si="283"/>
        <v>57126.700018789415</v>
      </c>
      <c r="E119">
        <f t="shared" si="287"/>
        <v>159800.64398666326</v>
      </c>
      <c r="F119">
        <f t="shared" si="287"/>
        <v>268781.26356462861</v>
      </c>
      <c r="G119">
        <f t="shared" si="287"/>
        <v>384455.94191645458</v>
      </c>
      <c r="H119">
        <f t="shared" si="288"/>
        <v>508309.05256584944</v>
      </c>
      <c r="I119">
        <f t="shared" si="288"/>
        <v>640187.01776797383</v>
      </c>
      <c r="J119">
        <f t="shared" si="288"/>
        <v>780516.89674537035</v>
      </c>
      <c r="K119">
        <f t="shared" si="333"/>
        <v>931885.44652312226</v>
      </c>
      <c r="L119">
        <f t="shared" si="333"/>
        <v>1093534.9985972738</v>
      </c>
      <c r="M119">
        <f t="shared" si="333"/>
        <v>1265976.2144145609</v>
      </c>
      <c r="N119">
        <f t="shared" si="333"/>
        <v>1449929.5414173089</v>
      </c>
      <c r="O119">
        <f t="shared" si="334"/>
        <v>1647175.5315086429</v>
      </c>
      <c r="P119">
        <f t="shared" si="290"/>
        <v>1861058.2857713015</v>
      </c>
      <c r="Q119">
        <f t="shared" si="291"/>
        <v>2089784.1207322953</v>
      </c>
      <c r="R119">
        <f t="shared" si="292"/>
        <v>2334383.1196509171</v>
      </c>
      <c r="S119">
        <f t="shared" si="293"/>
        <v>2595956.8517227424</v>
      </c>
      <c r="T119">
        <f t="shared" si="294"/>
        <v>2875683.3330757893</v>
      </c>
      <c r="U119">
        <f t="shared" si="295"/>
        <v>3165688.7414894509</v>
      </c>
      <c r="V119">
        <f t="shared" si="296"/>
        <v>3467875.248869333</v>
      </c>
      <c r="W119">
        <f t="shared" si="297"/>
        <v>3789428.5572194215</v>
      </c>
      <c r="X119">
        <f t="shared" si="298"/>
        <v>4131589.8635179424</v>
      </c>
      <c r="Y119">
        <f t="shared" si="299"/>
        <v>4495679.9116926165</v>
      </c>
      <c r="Z119">
        <f t="shared" si="300"/>
        <v>4883104.0906971879</v>
      </c>
      <c r="AA119">
        <f t="shared" si="301"/>
        <v>5295357.8593180701</v>
      </c>
      <c r="AB119">
        <f t="shared" si="302"/>
        <v>5734032.5186508624</v>
      </c>
      <c r="AC119">
        <f t="shared" si="303"/>
        <v>6200821.3545285799</v>
      </c>
      <c r="AD119">
        <f t="shared" si="304"/>
        <v>6697526.1736113159</v>
      </c>
      <c r="AE119">
        <f t="shared" si="305"/>
        <v>7226064.2583667133</v>
      </c>
      <c r="AI119">
        <f t="shared" si="285"/>
        <v>57461.290516263551</v>
      </c>
      <c r="AJ119">
        <f t="shared" si="306"/>
        <v>162177.60846171968</v>
      </c>
      <c r="AK119">
        <f t="shared" si="307"/>
        <v>275279.28218885913</v>
      </c>
      <c r="AL119">
        <f t="shared" si="308"/>
        <v>397437.78480679193</v>
      </c>
      <c r="AM119">
        <f t="shared" si="309"/>
        <v>529378.35889464198</v>
      </c>
      <c r="AN119">
        <f t="shared" si="310"/>
        <v>671884.32219281991</v>
      </c>
      <c r="AO119">
        <f t="shared" si="311"/>
        <v>825801.71808060748</v>
      </c>
      <c r="AP119">
        <f t="shared" si="312"/>
        <v>992044.33844946907</v>
      </c>
      <c r="AQ119">
        <f t="shared" si="313"/>
        <v>1171599.1487923735</v>
      </c>
      <c r="AR119">
        <f t="shared" si="314"/>
        <v>1365532.1477173304</v>
      </c>
      <c r="AS119">
        <f t="shared" si="315"/>
        <v>1574994.6956724743</v>
      </c>
      <c r="AT119">
        <f t="shared" si="316"/>
        <v>1801230.3504556925</v>
      </c>
      <c r="AU119">
        <f t="shared" si="317"/>
        <v>2045582.2500905246</v>
      </c>
      <c r="AV119">
        <f t="shared" si="318"/>
        <v>2309501.0868997094</v>
      </c>
      <c r="AW119">
        <f t="shared" si="319"/>
        <v>2594553.7201176416</v>
      </c>
      <c r="AX119">
        <f t="shared" si="320"/>
        <v>2902432.4781739498</v>
      </c>
      <c r="AY119">
        <f t="shared" si="321"/>
        <v>3234965.2058748892</v>
      </c>
      <c r="AZ119">
        <f t="shared" si="322"/>
        <v>3594126.1161316587</v>
      </c>
      <c r="BA119">
        <f t="shared" si="323"/>
        <v>3982047.5106612332</v>
      </c>
      <c r="BB119">
        <f t="shared" si="324"/>
        <v>4401032.4392443197</v>
      </c>
      <c r="BC119">
        <f t="shared" si="325"/>
        <v>4853568.3726971773</v>
      </c>
      <c r="BD119">
        <f t="shared" si="326"/>
        <v>5342341.9707323099</v>
      </c>
      <c r="BE119">
        <f t="shared" si="327"/>
        <v>5870255.0323833479</v>
      </c>
      <c r="BF119">
        <f t="shared" si="328"/>
        <v>6440441.7236901531</v>
      </c>
      <c r="BG119">
        <f t="shared" si="329"/>
        <v>7056287.1849231385</v>
      </c>
      <c r="BH119">
        <f t="shared" si="330"/>
        <v>7721447.6278160326</v>
      </c>
      <c r="BI119">
        <f t="shared" si="331"/>
        <v>8439872.042122284</v>
      </c>
      <c r="BJ119">
        <f t="shared" si="332"/>
        <v>9215825.6403647345</v>
      </c>
    </row>
    <row r="120" spans="1:62" x14ac:dyDescent="0.3">
      <c r="D120">
        <f t="shared" si="283"/>
        <v>65451.030984882993</v>
      </c>
      <c r="E120">
        <f t="shared" si="287"/>
        <v>168636.29119371684</v>
      </c>
      <c r="F120">
        <f t="shared" si="287"/>
        <v>278159.63425718044</v>
      </c>
      <c r="G120">
        <f t="shared" si="287"/>
        <v>394410.37250719854</v>
      </c>
      <c r="H120">
        <f t="shared" si="288"/>
        <v>518988.69654866622</v>
      </c>
      <c r="I120">
        <f t="shared" si="288"/>
        <v>651551.10839018959</v>
      </c>
      <c r="J120">
        <f t="shared" si="288"/>
        <v>792609.29943947878</v>
      </c>
      <c r="K120">
        <f t="shared" si="333"/>
        <v>944960.82793434709</v>
      </c>
      <c r="L120">
        <f t="shared" si="333"/>
        <v>1107483.287589699</v>
      </c>
      <c r="M120">
        <f t="shared" si="333"/>
        <v>1280855.6859723995</v>
      </c>
      <c r="N120">
        <f t="shared" si="333"/>
        <v>1465802.3609409623</v>
      </c>
      <c r="O120">
        <f t="shared" si="334"/>
        <v>1664456.100713812</v>
      </c>
      <c r="P120">
        <f t="shared" si="290"/>
        <v>1879538.0955796211</v>
      </c>
      <c r="Q120">
        <f t="shared" si="291"/>
        <v>2109546.3962972416</v>
      </c>
      <c r="R120">
        <f t="shared" si="292"/>
        <v>2355516.8618027996</v>
      </c>
      <c r="S120">
        <f t="shared" si="293"/>
        <v>2618557.2377903522</v>
      </c>
      <c r="T120">
        <f t="shared" si="294"/>
        <v>2899852.1455243453</v>
      </c>
      <c r="U120">
        <f t="shared" si="295"/>
        <v>3190160.1860577813</v>
      </c>
      <c r="V120">
        <f t="shared" si="296"/>
        <v>3493915.0414109644</v>
      </c>
      <c r="W120">
        <f t="shared" si="297"/>
        <v>3817137.2114313906</v>
      </c>
      <c r="X120">
        <f t="shared" si="298"/>
        <v>4161074.3349096007</v>
      </c>
      <c r="Y120">
        <f t="shared" si="299"/>
        <v>4527054.0104343016</v>
      </c>
      <c r="Z120">
        <f t="shared" si="300"/>
        <v>4916488.9209279064</v>
      </c>
      <c r="AA120">
        <f t="shared" si="301"/>
        <v>5330882.2866079314</v>
      </c>
      <c r="AB120">
        <f t="shared" si="302"/>
        <v>5771833.6674226606</v>
      </c>
      <c r="AC120">
        <f t="shared" si="303"/>
        <v>6241045.1373585835</v>
      </c>
      <c r="AD120">
        <f t="shared" si="304"/>
        <v>6740327.8544523595</v>
      </c>
      <c r="AE120">
        <f t="shared" si="305"/>
        <v>7271609.0518676369</v>
      </c>
      <c r="AI120">
        <f t="shared" si="285"/>
        <v>65882.861227188288</v>
      </c>
      <c r="AJ120">
        <f t="shared" si="306"/>
        <v>171273.55226021315</v>
      </c>
      <c r="AK120">
        <f t="shared" si="307"/>
        <v>285103.6007661554</v>
      </c>
      <c r="AL120">
        <f t="shared" si="308"/>
        <v>408048.80414094764</v>
      </c>
      <c r="AM120">
        <f t="shared" si="309"/>
        <v>540839.07552592352</v>
      </c>
      <c r="AN120">
        <f t="shared" si="310"/>
        <v>684262.77722774167</v>
      </c>
      <c r="AO120">
        <f t="shared" si="311"/>
        <v>839171.40114504658</v>
      </c>
      <c r="AP120">
        <f t="shared" si="312"/>
        <v>1006484.6239890837</v>
      </c>
      <c r="AQ120">
        <f t="shared" si="313"/>
        <v>1187195.7673105963</v>
      </c>
      <c r="AR120">
        <f t="shared" si="314"/>
        <v>1382377.69474863</v>
      </c>
      <c r="AS120">
        <f t="shared" si="315"/>
        <v>1593189.1815126052</v>
      </c>
      <c r="AT120">
        <f t="shared" si="316"/>
        <v>1820881.7939126273</v>
      </c>
      <c r="AU120">
        <f t="shared" si="317"/>
        <v>2066807.3197811076</v>
      </c>
      <c r="AV120">
        <f t="shared" si="318"/>
        <v>2332425.7938993433</v>
      </c>
      <c r="AW120">
        <f t="shared" si="319"/>
        <v>2619314.1660751994</v>
      </c>
      <c r="AX120">
        <f t="shared" si="320"/>
        <v>2929175.6633333899</v>
      </c>
      <c r="AY120">
        <f t="shared" si="321"/>
        <v>3263849.9018007233</v>
      </c>
      <c r="AZ120">
        <f t="shared" si="322"/>
        <v>3625323.8083195467</v>
      </c>
      <c r="BA120">
        <f t="shared" si="323"/>
        <v>4015743.4166298914</v>
      </c>
      <c r="BB120">
        <f t="shared" si="324"/>
        <v>4437426.6081530536</v>
      </c>
      <c r="BC120">
        <f t="shared" si="325"/>
        <v>4892876.8730173474</v>
      </c>
      <c r="BD120">
        <f t="shared" si="326"/>
        <v>5384798.1730238255</v>
      </c>
      <c r="BE120">
        <f t="shared" si="327"/>
        <v>5916110.994791897</v>
      </c>
      <c r="BF120">
        <f t="shared" si="328"/>
        <v>6489969.6883907178</v>
      </c>
      <c r="BG120">
        <f t="shared" si="329"/>
        <v>7109781.1943940436</v>
      </c>
      <c r="BH120">
        <f t="shared" si="330"/>
        <v>7779225.2705391683</v>
      </c>
      <c r="BI120">
        <f t="shared" si="331"/>
        <v>8502276.3380735517</v>
      </c>
      <c r="BJ120">
        <f t="shared" si="332"/>
        <v>9283227.0774886832</v>
      </c>
    </row>
    <row r="121" spans="1:62" x14ac:dyDescent="0.3">
      <c r="D121">
        <f t="shared" si="283"/>
        <v>73816.817119187719</v>
      </c>
      <c r="E121">
        <f t="shared" ref="E121:F124" si="335">(E120+8000)*1.00644-(0.00146*(E120+8000))</f>
        <v>177515.93992386153</v>
      </c>
      <c r="F121">
        <f t="shared" si="335"/>
        <v>287584.70923578122</v>
      </c>
      <c r="G121">
        <f t="shared" ref="G121:I124" si="336">(G120+8000)*1.00644-(0.00125*(G120+8000))</f>
        <v>404498.8823405109</v>
      </c>
      <c r="H121">
        <f t="shared" si="336"/>
        <v>529723.76788375387</v>
      </c>
      <c r="I121">
        <f t="shared" si="336"/>
        <v>662974.17864273465</v>
      </c>
      <c r="J121">
        <f>(J120+8000)*1.00644-(0.00104*(J120+8000))</f>
        <v>804932.58965645207</v>
      </c>
      <c r="K121">
        <f t="shared" si="333"/>
        <v>958106.8164051926</v>
      </c>
      <c r="L121">
        <f t="shared" si="333"/>
        <v>1121506.8973426833</v>
      </c>
      <c r="M121">
        <f t="shared" si="333"/>
        <v>1295815.5066766504</v>
      </c>
      <c r="N121">
        <f t="shared" si="333"/>
        <v>1481760.8936900436</v>
      </c>
      <c r="O121">
        <f t="shared" si="334"/>
        <v>1681833.5620705143</v>
      </c>
      <c r="P121">
        <f t="shared" si="290"/>
        <v>1898121.5216815362</v>
      </c>
      <c r="Q121">
        <f t="shared" si="291"/>
        <v>2129419.4789412804</v>
      </c>
      <c r="R121">
        <f t="shared" si="292"/>
        <v>2376769.1008469281</v>
      </c>
      <c r="S121">
        <f t="shared" si="293"/>
        <v>2641284.3442226429</v>
      </c>
      <c r="T121">
        <f t="shared" si="294"/>
        <v>2924156.4725043001</v>
      </c>
      <c r="U121">
        <f t="shared" si="295"/>
        <v>3214758.6374234213</v>
      </c>
      <c r="V121">
        <f t="shared" si="296"/>
        <v>3520089.9804758872</v>
      </c>
      <c r="W121">
        <f t="shared" si="297"/>
        <v>3844989.6735587195</v>
      </c>
      <c r="X121">
        <f t="shared" si="298"/>
        <v>4190711.830707781</v>
      </c>
      <c r="Y121">
        <f t="shared" si="299"/>
        <v>4558590.940748455</v>
      </c>
      <c r="Z121">
        <f t="shared" si="300"/>
        <v>4950047.0184275229</v>
      </c>
      <c r="AA121">
        <f t="shared" si="301"/>
        <v>5366591.0856754258</v>
      </c>
      <c r="AB121">
        <f t="shared" si="302"/>
        <v>5809831.0041565839</v>
      </c>
      <c r="AC121">
        <f t="shared" si="303"/>
        <v>6281477.6816214751</v>
      </c>
      <c r="AD121">
        <f t="shared" si="304"/>
        <v>6783351.6760169677</v>
      </c>
      <c r="AE121">
        <f t="shared" si="305"/>
        <v>7317390.2228468303</v>
      </c>
      <c r="AI121">
        <f t="shared" si="285"/>
        <v>74358.666853491377</v>
      </c>
      <c r="AJ121">
        <f t="shared" si="306"/>
        <v>180428.07393676892</v>
      </c>
      <c r="AK121">
        <f t="shared" si="307"/>
        <v>294991.18795508944</v>
      </c>
      <c r="AL121">
        <f t="shared" si="308"/>
        <v>418728.15843961533</v>
      </c>
      <c r="AM121">
        <f t="shared" si="309"/>
        <v>552373.59917231044</v>
      </c>
      <c r="AN121">
        <f t="shared" si="310"/>
        <v>696720.94951308833</v>
      </c>
      <c r="AO121">
        <f t="shared" si="311"/>
        <v>852627.18496842065</v>
      </c>
      <c r="AP121">
        <f t="shared" si="312"/>
        <v>1021017.9049675734</v>
      </c>
      <c r="AQ121">
        <f t="shared" si="313"/>
        <v>1202892.8280520765</v>
      </c>
      <c r="AR121">
        <f t="shared" si="314"/>
        <v>1399331.7271028112</v>
      </c>
      <c r="AS121">
        <f t="shared" si="315"/>
        <v>1611500.8398415463</v>
      </c>
      <c r="AT121">
        <f t="shared" si="316"/>
        <v>1840659.7926654245</v>
      </c>
      <c r="AU121">
        <f t="shared" si="317"/>
        <v>2088169.078920498</v>
      </c>
      <c r="AV121">
        <f t="shared" si="318"/>
        <v>2355498.136012055</v>
      </c>
      <c r="AW121">
        <f t="shared" si="319"/>
        <v>2644234.0693047238</v>
      </c>
      <c r="AX121">
        <f t="shared" si="320"/>
        <v>2956091.0746052568</v>
      </c>
      <c r="AY121">
        <f t="shared" si="321"/>
        <v>3292920.61516832</v>
      </c>
      <c r="AZ121">
        <f t="shared" si="322"/>
        <v>3656722.4136451245</v>
      </c>
      <c r="BA121">
        <f t="shared" si="323"/>
        <v>4049656.3242329881</v>
      </c>
      <c r="BB121">
        <f t="shared" si="324"/>
        <v>4474055.1555095594</v>
      </c>
      <c r="BC121">
        <f t="shared" si="325"/>
        <v>4932438.5200795792</v>
      </c>
      <c r="BD121">
        <f t="shared" si="326"/>
        <v>5427527.7932580989</v>
      </c>
      <c r="BE121">
        <f t="shared" si="327"/>
        <v>5962262.2695983564</v>
      </c>
      <c r="BF121">
        <f t="shared" si="328"/>
        <v>6539816.6131839538</v>
      </c>
      <c r="BG121">
        <f t="shared" si="329"/>
        <v>7163619.7052859413</v>
      </c>
      <c r="BH121">
        <f t="shared" si="330"/>
        <v>7837375.0012814403</v>
      </c>
      <c r="BI121">
        <f t="shared" si="331"/>
        <v>8565082.5176907461</v>
      </c>
      <c r="BJ121">
        <f t="shared" si="332"/>
        <v>9351062.5798677094</v>
      </c>
    </row>
    <row r="122" spans="1:62" x14ac:dyDescent="0.3">
      <c r="D122">
        <f t="shared" si="283"/>
        <v>82224.264868441271</v>
      </c>
      <c r="E122">
        <f t="shared" si="335"/>
        <v>186439.80930468236</v>
      </c>
      <c r="F122">
        <f t="shared" si="335"/>
        <v>297056.72108777537</v>
      </c>
      <c r="G122">
        <f t="shared" si="336"/>
        <v>414639.75153985817</v>
      </c>
      <c r="H122">
        <f t="shared" si="336"/>
        <v>540514.55423907051</v>
      </c>
      <c r="I122">
        <f t="shared" si="336"/>
        <v>674456.53462989035</v>
      </c>
      <c r="J122">
        <f>(J121+8000)*1.00644-(0.00104*(J121+8000))</f>
        <v>817322.42564059689</v>
      </c>
      <c r="K122">
        <f t="shared" si="333"/>
        <v>971323.79321378062</v>
      </c>
      <c r="L122">
        <f t="shared" si="333"/>
        <v>1135606.2345883339</v>
      </c>
      <c r="M122">
        <f t="shared" si="333"/>
        <v>1310856.1104127043</v>
      </c>
      <c r="N122">
        <f t="shared" si="333"/>
        <v>1497805.6025159699</v>
      </c>
      <c r="O122">
        <f t="shared" si="334"/>
        <v>1699308.4588530438</v>
      </c>
      <c r="P122">
        <f t="shared" si="290"/>
        <v>1916809.1450536046</v>
      </c>
      <c r="Q122">
        <f t="shared" si="291"/>
        <v>2149403.9899597038</v>
      </c>
      <c r="R122">
        <f t="shared" si="292"/>
        <v>2398140.5011953767</v>
      </c>
      <c r="S122">
        <f t="shared" si="293"/>
        <v>2664138.8815406994</v>
      </c>
      <c r="T122">
        <f t="shared" si="294"/>
        <v>2948597.0738456314</v>
      </c>
      <c r="U122">
        <f t="shared" si="295"/>
        <v>3239484.7547516488</v>
      </c>
      <c r="V122">
        <f t="shared" si="296"/>
        <v>3546400.7674745568</v>
      </c>
      <c r="W122">
        <f t="shared" si="297"/>
        <v>3872986.6899644895</v>
      </c>
      <c r="X122">
        <f t="shared" si="298"/>
        <v>4220503.1451091543</v>
      </c>
      <c r="Y122">
        <f t="shared" si="299"/>
        <v>4590291.5477309395</v>
      </c>
      <c r="Z122">
        <f t="shared" si="300"/>
        <v>4983779.2824531617</v>
      </c>
      <c r="AA122">
        <f t="shared" si="301"/>
        <v>5402485.2134100813</v>
      </c>
      <c r="AB122">
        <f t="shared" si="302"/>
        <v>5848025.5470681563</v>
      </c>
      <c r="AC122">
        <f t="shared" si="303"/>
        <v>6322120.0707890913</v>
      </c>
      <c r="AD122">
        <f t="shared" si="304"/>
        <v>6826598.7912154961</v>
      </c>
      <c r="AE122">
        <f t="shared" si="305"/>
        <v>7363408.9981034053</v>
      </c>
      <c r="AI122">
        <f t="shared" si="285"/>
        <v>82889.056668027857</v>
      </c>
      <c r="AJ122">
        <f t="shared" si="306"/>
        <v>189641.55073292172</v>
      </c>
      <c r="AK122">
        <f t="shared" si="307"/>
        <v>304942.45120552019</v>
      </c>
      <c r="AL122">
        <f t="shared" si="308"/>
        <v>429476.28777996649</v>
      </c>
      <c r="AM122">
        <f t="shared" si="309"/>
        <v>563982.40515098011</v>
      </c>
      <c r="AN122">
        <f t="shared" si="310"/>
        <v>709259.35242795257</v>
      </c>
      <c r="AO122">
        <f t="shared" si="311"/>
        <v>866169.62403961725</v>
      </c>
      <c r="AP122">
        <f t="shared" si="312"/>
        <v>1035644.7802755645</v>
      </c>
      <c r="AQ122">
        <f t="shared" si="313"/>
        <v>1218690.9778647318</v>
      </c>
      <c r="AR122">
        <f t="shared" si="314"/>
        <v>1416394.9434253534</v>
      </c>
      <c r="AS122">
        <f t="shared" si="315"/>
        <v>1629930.4252501258</v>
      </c>
      <c r="AT122">
        <f t="shared" si="316"/>
        <v>1860565.1617301898</v>
      </c>
      <c r="AU122">
        <f t="shared" si="317"/>
        <v>2109668.4077887461</v>
      </c>
      <c r="AV122">
        <f t="shared" si="318"/>
        <v>2378719.0640079728</v>
      </c>
      <c r="AW122">
        <f t="shared" si="319"/>
        <v>2669314.4567110464</v>
      </c>
      <c r="AX122">
        <f t="shared" si="320"/>
        <v>2983179.8211257146</v>
      </c>
      <c r="AY122">
        <f t="shared" si="321"/>
        <v>3322178.5439300039</v>
      </c>
      <c r="AZ122">
        <f t="shared" si="322"/>
        <v>3688323.225988999</v>
      </c>
      <c r="BA122">
        <f t="shared" si="323"/>
        <v>4083787.6309610484</v>
      </c>
      <c r="BB122">
        <f t="shared" si="324"/>
        <v>4510919.5907110414</v>
      </c>
      <c r="BC122">
        <f t="shared" si="325"/>
        <v>4972254.9441488916</v>
      </c>
      <c r="BD122">
        <f t="shared" si="326"/>
        <v>5470532.5922466815</v>
      </c>
      <c r="BE122">
        <f t="shared" si="327"/>
        <v>6008710.7586145699</v>
      </c>
      <c r="BF122">
        <f t="shared" si="328"/>
        <v>6589984.5521728583</v>
      </c>
      <c r="BG122">
        <f t="shared" si="329"/>
        <v>7217804.9361879826</v>
      </c>
      <c r="BH122">
        <f t="shared" si="330"/>
        <v>7895899.2162896926</v>
      </c>
      <c r="BI122">
        <f t="shared" si="331"/>
        <v>8628293.1691046748</v>
      </c>
      <c r="BJ122">
        <f t="shared" si="332"/>
        <v>9419334.9428820573</v>
      </c>
    </row>
    <row r="123" spans="1:62" x14ac:dyDescent="0.3">
      <c r="D123">
        <f t="shared" si="283"/>
        <v>90673.581707486112</v>
      </c>
      <c r="E123">
        <f t="shared" si="335"/>
        <v>195408.11955501969</v>
      </c>
      <c r="F123">
        <f t="shared" si="335"/>
        <v>306575.90355879249</v>
      </c>
      <c r="G123">
        <f t="shared" si="336"/>
        <v>424833.25185035006</v>
      </c>
      <c r="H123">
        <f t="shared" si="336"/>
        <v>551361.34477557126</v>
      </c>
      <c r="I123">
        <f t="shared" si="336"/>
        <v>685998.48404461949</v>
      </c>
      <c r="J123">
        <f>(J122+8000)*1.00644-(0.00104*(J122+8000))</f>
        <v>829779.16673905612</v>
      </c>
      <c r="K123">
        <f t="shared" si="333"/>
        <v>984612.14169713494</v>
      </c>
      <c r="L123">
        <f t="shared" si="333"/>
        <v>1149781.7082551108</v>
      </c>
      <c r="M123">
        <f t="shared" si="333"/>
        <v>1325977.933408933</v>
      </c>
      <c r="N123">
        <f t="shared" si="333"/>
        <v>1513936.9527695561</v>
      </c>
      <c r="O123">
        <f t="shared" si="334"/>
        <v>1716881.3373818328</v>
      </c>
      <c r="P123">
        <f t="shared" si="290"/>
        <v>1935601.5499299201</v>
      </c>
      <c r="Q123">
        <f t="shared" si="291"/>
        <v>2169500.5541314082</v>
      </c>
      <c r="R123">
        <f t="shared" si="292"/>
        <v>2419631.7309855791</v>
      </c>
      <c r="S123">
        <f t="shared" si="293"/>
        <v>2687121.5642494978</v>
      </c>
      <c r="T123">
        <f t="shared" si="294"/>
        <v>2973174.7136386838</v>
      </c>
      <c r="U123">
        <f t="shared" si="295"/>
        <v>3264339.2006288096</v>
      </c>
      <c r="V123">
        <f t="shared" si="296"/>
        <v>3572848.1074577495</v>
      </c>
      <c r="W123">
        <f t="shared" si="297"/>
        <v>3901129.0108854054</v>
      </c>
      <c r="X123">
        <f t="shared" si="298"/>
        <v>4250449.0764322709</v>
      </c>
      <c r="Y123">
        <f t="shared" si="299"/>
        <v>4622156.6808636626</v>
      </c>
      <c r="Z123">
        <f t="shared" si="300"/>
        <v>5017686.6169290943</v>
      </c>
      <c r="AA123">
        <f t="shared" si="301"/>
        <v>5438565.6316676792</v>
      </c>
      <c r="AB123">
        <f t="shared" si="302"/>
        <v>5886418.3196574403</v>
      </c>
      <c r="AC123">
        <f t="shared" si="303"/>
        <v>6362973.3939564871</v>
      </c>
      <c r="AD123">
        <f t="shared" si="304"/>
        <v>6870070.3589419043</v>
      </c>
      <c r="AE123">
        <f t="shared" si="305"/>
        <v>7409666.6108035622</v>
      </c>
      <c r="AI123">
        <f t="shared" si="285"/>
        <v>91474.382192969962</v>
      </c>
      <c r="AJ123">
        <f t="shared" si="306"/>
        <v>198914.36231964175</v>
      </c>
      <c r="AK123">
        <f t="shared" si="307"/>
        <v>314957.80059128377</v>
      </c>
      <c r="AL123">
        <f t="shared" si="308"/>
        <v>440293.63507326948</v>
      </c>
      <c r="AM123">
        <f t="shared" si="309"/>
        <v>575665.9718401524</v>
      </c>
      <c r="AN123">
        <f t="shared" si="310"/>
        <v>721878.50265758857</v>
      </c>
      <c r="AO123">
        <f t="shared" si="311"/>
        <v>879799.27641843236</v>
      </c>
      <c r="AP123">
        <f t="shared" si="312"/>
        <v>1050365.8526605391</v>
      </c>
      <c r="AQ123">
        <f t="shared" si="313"/>
        <v>1234590.8677621807</v>
      </c>
      <c r="AR123">
        <f t="shared" si="314"/>
        <v>1433568.0468610127</v>
      </c>
      <c r="AS123">
        <f t="shared" si="315"/>
        <v>1648478.6971887366</v>
      </c>
      <c r="AT123">
        <f t="shared" si="316"/>
        <v>1880598.7213717322</v>
      </c>
      <c r="AU123">
        <f t="shared" si="317"/>
        <v>2131306.1923349057</v>
      </c>
      <c r="AV123">
        <f t="shared" si="318"/>
        <v>2402089.5347801843</v>
      </c>
      <c r="AW123">
        <f t="shared" si="319"/>
        <v>2694556.3618122656</v>
      </c>
      <c r="AX123">
        <f t="shared" si="320"/>
        <v>3010443.0191737642</v>
      </c>
      <c r="AY123">
        <f t="shared" si="321"/>
        <v>3351624.893752913</v>
      </c>
      <c r="AZ123">
        <f t="shared" si="322"/>
        <v>3720127.5475643682</v>
      </c>
      <c r="BA123">
        <f t="shared" si="323"/>
        <v>4118138.7433044375</v>
      </c>
      <c r="BB123">
        <f t="shared" si="324"/>
        <v>4548021.4328752207</v>
      </c>
      <c r="BC123">
        <f t="shared" si="325"/>
        <v>5012327.78598921</v>
      </c>
      <c r="BD123">
        <f t="shared" si="326"/>
        <v>5513814.34214075</v>
      </c>
      <c r="BE123">
        <f t="shared" si="327"/>
        <v>6055458.3759000478</v>
      </c>
      <c r="BF123">
        <f t="shared" si="328"/>
        <v>6640475.5726888515</v>
      </c>
      <c r="BG123">
        <f t="shared" si="329"/>
        <v>7272339.1199770328</v>
      </c>
      <c r="BH123">
        <f t="shared" si="330"/>
        <v>7954800.3272425979</v>
      </c>
      <c r="BI123">
        <f t="shared" si="331"/>
        <v>8691910.8971137088</v>
      </c>
      <c r="BJ123">
        <f t="shared" si="332"/>
        <v>9488046.9799142182</v>
      </c>
    </row>
    <row r="124" spans="1:62" x14ac:dyDescent="0.3">
      <c r="D124">
        <f t="shared" si="283"/>
        <v>99164.976144389395</v>
      </c>
      <c r="E124">
        <f t="shared" si="335"/>
        <v>204421.09199040366</v>
      </c>
      <c r="F124">
        <f t="shared" si="335"/>
        <v>316142.49155851529</v>
      </c>
      <c r="G124">
        <f t="shared" si="336"/>
        <v>435079.65642745339</v>
      </c>
      <c r="H124">
        <f t="shared" si="336"/>
        <v>562264.43015495653</v>
      </c>
      <c r="I124">
        <f t="shared" si="336"/>
        <v>697600.33617681102</v>
      </c>
      <c r="J124">
        <f>(J123+8000)*1.00644-(0.00104*(J123+8000))</f>
        <v>842303.17423944699</v>
      </c>
      <c r="K124">
        <f t="shared" si="333"/>
        <v>997972.24726229941</v>
      </c>
      <c r="L124">
        <f t="shared" si="333"/>
        <v>1164033.7294796885</v>
      </c>
      <c r="M124">
        <f t="shared" si="333"/>
        <v>1341181.4142493412</v>
      </c>
      <c r="N124">
        <f t="shared" si="333"/>
        <v>1530155.4123145116</v>
      </c>
      <c r="O124">
        <f t="shared" si="334"/>
        <v>1734552.7470405328</v>
      </c>
      <c r="P124">
        <f t="shared" si="290"/>
        <v>1954499.3238203772</v>
      </c>
      <c r="Q124">
        <f t="shared" si="291"/>
        <v>2189709.799738423</v>
      </c>
      <c r="R124">
        <f t="shared" si="292"/>
        <v>2441243.462101215</v>
      </c>
      <c r="S124">
        <f t="shared" si="293"/>
        <v>2710233.1108602448</v>
      </c>
      <c r="T124">
        <f t="shared" si="294"/>
        <v>2997890.1602580561</v>
      </c>
      <c r="U124">
        <f t="shared" si="295"/>
        <v>3289322.6410800731</v>
      </c>
      <c r="V124">
        <f t="shared" si="296"/>
        <v>3599432.7091354551</v>
      </c>
      <c r="W124" s="3">
        <f t="shared" si="297"/>
        <v>3929417.3904519002</v>
      </c>
      <c r="X124">
        <f t="shared" si="298"/>
        <v>4280550.4271389544</v>
      </c>
      <c r="Y124">
        <f t="shared" si="299"/>
        <v>4654187.1940373452</v>
      </c>
      <c r="Z124">
        <f t="shared" si="300"/>
        <v>5051769.9304709565</v>
      </c>
      <c r="AA124">
        <f t="shared" si="301"/>
        <v>5474833.3072960349</v>
      </c>
      <c r="AB124" s="3">
        <f t="shared" si="302"/>
        <v>5925010.3507364625</v>
      </c>
      <c r="AC124">
        <f t="shared" si="303"/>
        <v>6404038.7458711211</v>
      </c>
      <c r="AD124">
        <f t="shared" si="304"/>
        <v>6913767.5441048127</v>
      </c>
      <c r="AE124">
        <f t="shared" si="305"/>
        <v>7456164.3005136326</v>
      </c>
      <c r="AI124">
        <f t="shared" si="285"/>
        <v>100114.99721429269</v>
      </c>
      <c r="AJ124">
        <f t="shared" si="306"/>
        <v>208246.89081298024</v>
      </c>
      <c r="AK124">
        <f t="shared" si="307"/>
        <v>325037.64882709162</v>
      </c>
      <c r="AL124">
        <f t="shared" si="308"/>
        <v>451180.64608314133</v>
      </c>
      <c r="AM124">
        <f t="shared" si="309"/>
        <v>587424.78069880302</v>
      </c>
      <c r="AN124">
        <f t="shared" si="310"/>
        <v>734578.92021470342</v>
      </c>
      <c r="AO124">
        <f t="shared" si="311"/>
        <v>893516.70375856711</v>
      </c>
      <c r="AP124">
        <f t="shared" si="312"/>
        <v>1065181.7287516729</v>
      </c>
      <c r="AQ124">
        <f t="shared" si="313"/>
        <v>1250593.1529505693</v>
      </c>
      <c r="AR124">
        <f t="shared" si="314"/>
        <v>1450851.7450827977</v>
      </c>
      <c r="AS124">
        <f t="shared" si="315"/>
        <v>1667146.419998632</v>
      </c>
      <c r="AT124">
        <f t="shared" si="316"/>
        <v>1900761.2971373661</v>
      </c>
      <c r="AU124">
        <f t="shared" si="317"/>
        <v>2153083.3242135425</v>
      </c>
      <c r="AV124">
        <f t="shared" si="318"/>
        <v>2425610.5113841686</v>
      </c>
      <c r="AW124">
        <f t="shared" si="319"/>
        <v>2719960.8247823366</v>
      </c>
      <c r="AX124">
        <f t="shared" si="320"/>
        <v>3037881.792217243</v>
      </c>
      <c r="AY124">
        <f t="shared" si="321"/>
        <v>3381260.8780686818</v>
      </c>
      <c r="AZ124">
        <f t="shared" si="322"/>
        <v>3752136.6889706827</v>
      </c>
      <c r="BA124">
        <f t="shared" si="323"/>
        <v>4152711.0768113183</v>
      </c>
      <c r="BB124" s="3">
        <f t="shared" si="324"/>
        <v>4585362.2109029368</v>
      </c>
      <c r="BC124">
        <f t="shared" si="325"/>
        <v>5052658.6969309803</v>
      </c>
      <c r="BD124">
        <f t="shared" si="326"/>
        <v>5557374.8265041364</v>
      </c>
      <c r="BE124">
        <f t="shared" si="327"/>
        <v>6102507.0478408439</v>
      </c>
      <c r="BF124">
        <f t="shared" si="328"/>
        <v>6691291.7553769676</v>
      </c>
      <c r="BG124" s="3">
        <f t="shared" si="329"/>
        <v>7327224.5039096847</v>
      </c>
      <c r="BH124">
        <f t="shared" si="330"/>
        <v>8014080.7613500403</v>
      </c>
      <c r="BI124">
        <f t="shared" si="331"/>
        <v>8755938.3232911211</v>
      </c>
      <c r="BJ124">
        <f t="shared" si="332"/>
        <v>9557201.5224648658</v>
      </c>
    </row>
    <row r="127" spans="1:62" x14ac:dyDescent="0.3">
      <c r="D127" t="s">
        <v>62</v>
      </c>
      <c r="AI127" t="s">
        <v>62</v>
      </c>
      <c r="AJ127" t="s">
        <v>66</v>
      </c>
    </row>
    <row r="128" spans="1:62" x14ac:dyDescent="0.3">
      <c r="D128" t="s">
        <v>63</v>
      </c>
      <c r="AI128" t="s">
        <v>63</v>
      </c>
    </row>
    <row r="129" spans="1:62" x14ac:dyDescent="0.3">
      <c r="D129" t="s">
        <v>77</v>
      </c>
      <c r="AI129" t="s">
        <v>77</v>
      </c>
    </row>
    <row r="130" spans="1:62" x14ac:dyDescent="0.3">
      <c r="D130" t="s">
        <v>15</v>
      </c>
      <c r="E130" t="s">
        <v>16</v>
      </c>
      <c r="F130" t="s">
        <v>17</v>
      </c>
      <c r="G130" t="s">
        <v>18</v>
      </c>
      <c r="H130" t="s">
        <v>19</v>
      </c>
      <c r="I130" t="s">
        <v>20</v>
      </c>
      <c r="J130" t="s">
        <v>21</v>
      </c>
      <c r="K130" t="s">
        <v>22</v>
      </c>
      <c r="L130" t="s">
        <v>23</v>
      </c>
      <c r="M130" t="s">
        <v>24</v>
      </c>
      <c r="N130" t="s">
        <v>25</v>
      </c>
      <c r="O130" t="s">
        <v>26</v>
      </c>
      <c r="P130" t="s">
        <v>27</v>
      </c>
      <c r="Q130" t="s">
        <v>28</v>
      </c>
      <c r="R130" t="s">
        <v>29</v>
      </c>
      <c r="S130" t="s">
        <v>30</v>
      </c>
      <c r="T130" t="s">
        <v>31</v>
      </c>
      <c r="U130" t="s">
        <v>32</v>
      </c>
      <c r="V130" t="s">
        <v>33</v>
      </c>
      <c r="W130" t="s">
        <v>34</v>
      </c>
      <c r="X130" t="s">
        <v>35</v>
      </c>
      <c r="Y130" t="s">
        <v>36</v>
      </c>
      <c r="Z130" t="s">
        <v>37</v>
      </c>
      <c r="AA130" t="s">
        <v>38</v>
      </c>
      <c r="AB130" t="s">
        <v>39</v>
      </c>
      <c r="AC130" t="s">
        <v>67</v>
      </c>
      <c r="AD130" t="s">
        <v>68</v>
      </c>
      <c r="AE130" t="s">
        <v>69</v>
      </c>
      <c r="AI130" t="s">
        <v>15</v>
      </c>
      <c r="AJ130" t="s">
        <v>16</v>
      </c>
      <c r="AK130" t="s">
        <v>17</v>
      </c>
      <c r="AL130" t="s">
        <v>18</v>
      </c>
      <c r="AM130" t="s">
        <v>19</v>
      </c>
      <c r="AN130" t="s">
        <v>20</v>
      </c>
      <c r="AO130" t="s">
        <v>21</v>
      </c>
      <c r="AP130" t="s">
        <v>22</v>
      </c>
      <c r="AQ130" t="s">
        <v>23</v>
      </c>
      <c r="AR130" t="s">
        <v>24</v>
      </c>
      <c r="AS130" t="s">
        <v>25</v>
      </c>
      <c r="AT130" t="s">
        <v>26</v>
      </c>
      <c r="AU130" t="s">
        <v>27</v>
      </c>
      <c r="AV130" t="s">
        <v>28</v>
      </c>
      <c r="AW130" t="s">
        <v>29</v>
      </c>
      <c r="AX130" t="s">
        <v>30</v>
      </c>
      <c r="AY130" t="s">
        <v>31</v>
      </c>
      <c r="AZ130" t="s">
        <v>32</v>
      </c>
      <c r="BA130" t="s">
        <v>33</v>
      </c>
      <c r="BB130" t="s">
        <v>34</v>
      </c>
      <c r="BC130" t="s">
        <v>35</v>
      </c>
      <c r="BD130" t="s">
        <v>36</v>
      </c>
      <c r="BE130" t="s">
        <v>37</v>
      </c>
      <c r="BF130" t="s">
        <v>38</v>
      </c>
      <c r="BG130" t="s">
        <v>39</v>
      </c>
      <c r="BH130" t="s">
        <v>67</v>
      </c>
      <c r="BI130" t="s">
        <v>68</v>
      </c>
      <c r="BJ130" t="s">
        <v>69</v>
      </c>
    </row>
    <row r="131" spans="1:62" x14ac:dyDescent="0.3">
      <c r="D131">
        <v>0</v>
      </c>
      <c r="AI131">
        <v>0</v>
      </c>
    </row>
    <row r="132" spans="1:62" x14ac:dyDescent="0.3">
      <c r="D132">
        <f t="shared" ref="D132:D143" si="337">(D131+8000)*1.00721-(0.00146*(D131+8000))</f>
        <v>8045.9999999999991</v>
      </c>
      <c r="E132">
        <f>(D143+8000)*1.00721-(0.00146*(D143+8000))</f>
        <v>108283.81805542749</v>
      </c>
      <c r="F132">
        <f>(E143+8000)*1.00721-(0.00146*(E143+8000))</f>
        <v>215661.02409909351</v>
      </c>
      <c r="G132">
        <f>(F143+8000)*1.00721-(0.00146*(F143+8000))</f>
        <v>330686.11743630428</v>
      </c>
      <c r="H132">
        <f>(G143+8000)*1.00721-(0.00125*(G143+8000))</f>
        <v>454447.34746330231</v>
      </c>
      <c r="I132">
        <f>(H143+8000)*1.00721-(0.00125*(H143+8000))</f>
        <v>587837.8301090044</v>
      </c>
      <c r="J132">
        <f>(I143+8000)*1.00721-(0.00125*(I143+8000))</f>
        <v>731087.42103401548</v>
      </c>
      <c r="K132">
        <f>(J143+8000)*1.00721-(0.00104*(J143+8000))</f>
        <v>886183.10073164129</v>
      </c>
      <c r="L132">
        <f>(K143+8000)*1.00721-(0.00104*(K143+8000))</f>
        <v>1054007.650100667</v>
      </c>
      <c r="M132">
        <f>(L143+8000)*1.00721-(0.00104*(L143+8000))</f>
        <v>1234688.3901177123</v>
      </c>
      <c r="N132">
        <f>(M143+8000)*1.00721-(0.00104*(M143+8000))</f>
        <v>1429210.1685812657</v>
      </c>
      <c r="O132">
        <f t="shared" ref="O132:T132" si="338">(N143+8000)*1.00721-(0.000833*(N143+8000))</f>
        <v>1639639.8568860006</v>
      </c>
      <c r="P132">
        <f t="shared" si="338"/>
        <v>1869681.0860820708</v>
      </c>
      <c r="Q132">
        <f t="shared" si="338"/>
        <v>2117956.7273883717</v>
      </c>
      <c r="R132">
        <f t="shared" si="338"/>
        <v>2385912.1468645767</v>
      </c>
      <c r="S132">
        <f t="shared" si="338"/>
        <v>2675107.2787304879</v>
      </c>
      <c r="T132">
        <f t="shared" si="338"/>
        <v>2987225.7067079013</v>
      </c>
      <c r="U132">
        <f t="shared" ref="U132:AE132" si="339">(T143+8000)*1.00721-(0.00125*(T143+8000))</f>
        <v>3322707.1054041516</v>
      </c>
      <c r="V132">
        <f t="shared" si="339"/>
        <v>3668095.3480537087</v>
      </c>
      <c r="W132">
        <f t="shared" si="339"/>
        <v>4039011.7994265715</v>
      </c>
      <c r="X132">
        <f t="shared" si="339"/>
        <v>4437343.2910941383</v>
      </c>
      <c r="Y132">
        <f t="shared" si="339"/>
        <v>4865116.1134287529</v>
      </c>
      <c r="Z132">
        <f t="shared" si="339"/>
        <v>5324506.3232312901</v>
      </c>
      <c r="AA132">
        <f t="shared" si="339"/>
        <v>5817850.8132123277</v>
      </c>
      <c r="AB132">
        <f t="shared" si="339"/>
        <v>6347659.1996367276</v>
      </c>
      <c r="AC132">
        <f t="shared" si="339"/>
        <v>6916626.5886034463</v>
      </c>
      <c r="AD132">
        <f t="shared" si="339"/>
        <v>7527647.2859018967</v>
      </c>
      <c r="AE132">
        <f t="shared" si="339"/>
        <v>8183829.5201861961</v>
      </c>
      <c r="AI132">
        <f t="shared" ref="AI132:AI143" si="340">(AI131+8000)*1.00721-0</f>
        <v>8057.6799999999994</v>
      </c>
      <c r="AJ132">
        <f t="shared" ref="AJ132:BJ132" si="341">(AI143+8000)*1.00721-0</f>
        <v>109403.30289327797</v>
      </c>
      <c r="AK132">
        <f t="shared" si="341"/>
        <v>219873.55472244081</v>
      </c>
      <c r="AL132">
        <f t="shared" si="341"/>
        <v>340289.96927297075</v>
      </c>
      <c r="AM132">
        <f t="shared" si="341"/>
        <v>471548.04692838201</v>
      </c>
      <c r="AN132">
        <f t="shared" si="341"/>
        <v>614623.91423519643</v>
      </c>
      <c r="AO132">
        <f t="shared" si="341"/>
        <v>770581.58306026005</v>
      </c>
      <c r="AP132">
        <f t="shared" si="341"/>
        <v>940580.86332455568</v>
      </c>
      <c r="AQ132">
        <f t="shared" si="341"/>
        <v>1125885.9881581096</v>
      </c>
      <c r="AR132">
        <f t="shared" si="341"/>
        <v>1327875.0156186621</v>
      </c>
      <c r="AS132">
        <f t="shared" si="341"/>
        <v>1548050.0768918307</v>
      </c>
      <c r="AT132">
        <f t="shared" si="341"/>
        <v>1788048.5471855244</v>
      </c>
      <c r="AU132">
        <f t="shared" si="341"/>
        <v>2049655.2223931684</v>
      </c>
      <c r="AV132">
        <f t="shared" si="341"/>
        <v>2334815.5920798923</v>
      </c>
      <c r="AW132">
        <f t="shared" si="341"/>
        <v>2645650.3074988546</v>
      </c>
      <c r="AX132">
        <f t="shared" si="341"/>
        <v>2984470.9522319632</v>
      </c>
      <c r="AY132">
        <f t="shared" si="341"/>
        <v>3353797.2327364599</v>
      </c>
      <c r="AZ132">
        <f t="shared" si="341"/>
        <v>3756375.7166382647</v>
      </c>
      <c r="BA132">
        <f t="shared" si="341"/>
        <v>4195200.2581230719</v>
      </c>
      <c r="BB132">
        <f t="shared" si="341"/>
        <v>4673534.2623226633</v>
      </c>
      <c r="BC132">
        <f t="shared" si="341"/>
        <v>5194934.9542699177</v>
      </c>
      <c r="BD132">
        <f t="shared" si="341"/>
        <v>5763279.8329033814</v>
      </c>
      <c r="BE132">
        <f t="shared" si="341"/>
        <v>6382795.5068518249</v>
      </c>
      <c r="BF132">
        <f t="shared" si="341"/>
        <v>7058089.1264417572</v>
      </c>
      <c r="BG132">
        <f t="shared" si="341"/>
        <v>7794182.6456782408</v>
      </c>
      <c r="BH132">
        <f t="shared" si="341"/>
        <v>8596550.1689949539</v>
      </c>
      <c r="BI132">
        <f t="shared" si="341"/>
        <v>9471158.6605099626</v>
      </c>
      <c r="BJ132">
        <f t="shared" si="341"/>
        <v>10424512.318529617</v>
      </c>
    </row>
    <row r="133" spans="1:62" x14ac:dyDescent="0.3">
      <c r="D133">
        <f t="shared" si="337"/>
        <v>16138.264499999999</v>
      </c>
      <c r="E133">
        <f t="shared" ref="E133:G138" si="342">(E132+8000)*1.00721-(0.00146*(E132+8000))</f>
        <v>116952.4500092462</v>
      </c>
      <c r="F133">
        <f t="shared" si="342"/>
        <v>224947.07498766328</v>
      </c>
      <c r="G133">
        <f t="shared" si="342"/>
        <v>340633.56261156301</v>
      </c>
      <c r="H133">
        <f t="shared" ref="H133:J137" si="343">(H132+8000)*1.00721-(0.00125*(H132+8000))</f>
        <v>465203.53365418356</v>
      </c>
      <c r="I133">
        <f t="shared" si="343"/>
        <v>599389.02357645403</v>
      </c>
      <c r="J133">
        <f t="shared" si="343"/>
        <v>743492.38206337823</v>
      </c>
      <c r="K133">
        <f t="shared" ref="K133:K141" si="344">(K132+8000)*1.00721-(0.00104*(K132+8000))</f>
        <v>899700.21046315541</v>
      </c>
      <c r="L133">
        <f t="shared" ref="L133:L141" si="345">(L132+8000)*1.00721-(0.00104*(L132+8000))</f>
        <v>1068560.2373017881</v>
      </c>
      <c r="M133">
        <f t="shared" ref="M133:M141" si="346">(M132+8000)*1.00721-(0.00104*(M132+8000))</f>
        <v>1250355.7774847387</v>
      </c>
      <c r="N133">
        <f t="shared" ref="N133:N141" si="347">(N132+8000)*1.00721-(0.00104*(N132+8000))</f>
        <v>1446077.7553214119</v>
      </c>
      <c r="O133">
        <f t="shared" ref="O133:O143" si="348">(O132+8000)*1.00721-(0.000833*(O132+8000))</f>
        <v>1658146.8562533625</v>
      </c>
      <c r="P133">
        <f t="shared" ref="P133:P143" si="349">(P132+8000)*1.00721-(0.000833*(P132+8000))</f>
        <v>1889655.058368016</v>
      </c>
      <c r="Q133">
        <f t="shared" ref="Q133:Q143" si="350">(Q132+8000)*1.00721-(0.000833*(Q132+8000))</f>
        <v>2139513.953438927</v>
      </c>
      <c r="R133">
        <f t="shared" ref="R133:R143" si="351">(R132+8000)*1.00721-(0.000833*(R132+8000))</f>
        <v>2409178.124625132</v>
      </c>
      <c r="S133">
        <f t="shared" ref="S133:S143" si="352">(S132+8000)*1.00721-(0.000833*(S132+8000))</f>
        <v>2700217.4538469519</v>
      </c>
      <c r="T133">
        <f t="shared" ref="T133:T143" si="353">(T132+8000)*1.00721-(0.000833*(T132+8000))</f>
        <v>3014326.2610395774</v>
      </c>
      <c r="U133">
        <f t="shared" ref="U133:U143" si="354">(U132+8000)*1.00721-(0.00125*(U132+8000))</f>
        <v>3350558.11975236</v>
      </c>
      <c r="V133">
        <f t="shared" ref="V133:V143" si="355">(V132+8000)*1.00721-(0.00125*(V132+8000))</f>
        <v>3698004.8763281084</v>
      </c>
      <c r="W133">
        <f t="shared" ref="W133:W143" si="356">(W132+8000)*1.00721-(0.00125*(W132+8000))</f>
        <v>4071131.9897511532</v>
      </c>
      <c r="X133">
        <f t="shared" ref="X133:X143" si="357">(X132+8000)*1.00721-(0.00125*(X132+8000))</f>
        <v>4471837.5371090593</v>
      </c>
      <c r="Y133">
        <f t="shared" ref="Y133:Y143" si="358">(Y132+8000)*1.00721-(0.00125*(Y132+8000))</f>
        <v>4902159.8854647875</v>
      </c>
      <c r="Z133">
        <f t="shared" ref="Z133:Z143" si="359">(Z132+8000)*1.00721-(0.00125*(Z132+8000))</f>
        <v>5364288.0609177491</v>
      </c>
      <c r="AA133">
        <f t="shared" ref="AA133:AA143" si="360">(AA132+8000)*1.00721-(0.00125*(AA132+8000))</f>
        <v>5860572.8840590725</v>
      </c>
      <c r="AB133">
        <f t="shared" ref="AB133:AB143" si="361">(AB132+8000)*1.00721-(0.00125*(AB132+8000))</f>
        <v>6393538.9284665622</v>
      </c>
      <c r="AC133">
        <f t="shared" ref="AC133:AC143" si="362">(AC132+8000)*1.00721-(0.00125*(AC132+8000))</f>
        <v>6965897.3630715227</v>
      </c>
      <c r="AD133">
        <f t="shared" ref="AD133:AD143" si="363">(AD132+8000)*1.00721-(0.00125*(AD132+8000))</f>
        <v>7580559.7437258717</v>
      </c>
      <c r="AE133">
        <f t="shared" ref="AE133:AE143" si="364">(AE132+8000)*1.00721-(0.00125*(AE132+8000))</f>
        <v>8240652.8241265053</v>
      </c>
      <c r="AI133">
        <f t="shared" si="340"/>
        <v>16173.455872799999</v>
      </c>
      <c r="AJ133">
        <f t="shared" ref="AJ133:AJ143" si="365">(AJ132+8000)*1.00721-0</f>
        <v>118249.7807071385</v>
      </c>
      <c r="AK133">
        <f t="shared" ref="AK133:AK143" si="366">(AK132+8000)*1.00721-0</f>
        <v>229516.52305198958</v>
      </c>
      <c r="AL133">
        <f t="shared" ref="AL133:AL143" si="367">(AL132+8000)*1.00721-0</f>
        <v>350801.13995142886</v>
      </c>
      <c r="AM133">
        <f t="shared" ref="AM133:AM143" si="368">(AM132+8000)*1.00721-0</f>
        <v>483005.58834673563</v>
      </c>
      <c r="AN133">
        <f t="shared" ref="AN133:AN143" si="369">(AN132+8000)*1.00721-0</f>
        <v>627113.03265683213</v>
      </c>
      <c r="AO133">
        <f t="shared" ref="AO133:AO143" si="370">(AO132+8000)*1.00721-0</f>
        <v>784195.15627412451</v>
      </c>
      <c r="AP133">
        <f t="shared" ref="AP133:AP143" si="371">(AP132+8000)*1.00721-0</f>
        <v>955420.13134912564</v>
      </c>
      <c r="AQ133">
        <f t="shared" ref="AQ133:AQ143" si="372">(AQ132+8000)*1.00721-0</f>
        <v>1142061.3061327294</v>
      </c>
      <c r="AR133">
        <f t="shared" ref="AR133:AR143" si="373">(AR132+8000)*1.00721-0</f>
        <v>1345506.6744812727</v>
      </c>
      <c r="AS133">
        <f t="shared" ref="AS133:AS143" si="374">(AS132+8000)*1.00721-0</f>
        <v>1567269.1979462206</v>
      </c>
      <c r="AT133">
        <f t="shared" ref="AT133:AT143" si="375">(AT132+8000)*1.00721-0</f>
        <v>1808998.0572107318</v>
      </c>
      <c r="AU133">
        <f t="shared" ref="AU133:AU143" si="376">(AU132+8000)*1.00721-0</f>
        <v>2072490.916546623</v>
      </c>
      <c r="AV133">
        <f t="shared" ref="AV133:AV143" si="377">(AV132+8000)*1.00721-0</f>
        <v>2359707.2924987883</v>
      </c>
      <c r="AW133">
        <f t="shared" ref="AW133:AW143" si="378">(AW132+8000)*1.00721-0</f>
        <v>2672783.1262159212</v>
      </c>
      <c r="AX133">
        <f t="shared" ref="AX133:AX143" si="379">(AX132+8000)*1.00721-0</f>
        <v>3014046.6677975552</v>
      </c>
      <c r="AY133">
        <f t="shared" ref="AY133:AY143" si="380">(AY132+8000)*1.00721-0</f>
        <v>3386035.7907844898</v>
      </c>
      <c r="AZ133">
        <f t="shared" ref="AZ133:AZ143" si="381">(AZ132+8000)*1.00721-0</f>
        <v>3791516.8655552263</v>
      </c>
      <c r="BA133">
        <f t="shared" ref="BA133:BA143" si="382">(BA132+8000)*1.00721-0</f>
        <v>4233505.331984139</v>
      </c>
      <c r="BB133">
        <f t="shared" ref="BB133:BB143" si="383">(BB132+8000)*1.00721-0</f>
        <v>4715288.1243540095</v>
      </c>
      <c r="BC133">
        <f t="shared" ref="BC133:BC143" si="384">(BC132+8000)*1.00721-0</f>
        <v>5240448.1152902031</v>
      </c>
      <c r="BD133">
        <f t="shared" ref="BD133:BD143" si="385">(BD132+8000)*1.00721-0</f>
        <v>5812890.7604986141</v>
      </c>
      <c r="BE133">
        <f t="shared" ref="BE133:BE143" si="386">(BE132+8000)*1.00721-0</f>
        <v>6436873.1424562261</v>
      </c>
      <c r="BF133">
        <f t="shared" ref="BF133:BF143" si="387">(BF132+8000)*1.00721-0</f>
        <v>7117035.6290434022</v>
      </c>
      <c r="BG133">
        <f t="shared" ref="BG133:BG143" si="388">(BG132+8000)*1.00721-0</f>
        <v>7858436.3825535802</v>
      </c>
      <c r="BH133">
        <f t="shared" ref="BH133:BH143" si="389">(BH132+8000)*1.00721-0</f>
        <v>8666588.9757134076</v>
      </c>
      <c r="BI133">
        <f t="shared" ref="BI133:BI143" si="390">(BI132+8000)*1.00721-0</f>
        <v>9547503.3944522385</v>
      </c>
      <c r="BJ133">
        <f t="shared" ref="BJ133:BJ143" si="391">(BJ132+8000)*1.00721-0</f>
        <v>10507730.732346214</v>
      </c>
    </row>
    <row r="134" spans="1:62" x14ac:dyDescent="0.3">
      <c r="A134">
        <f>0.0175/12</f>
        <v>1.4583333333333334E-3</v>
      </c>
      <c r="B134">
        <v>1.75</v>
      </c>
      <c r="D134">
        <f t="shared" si="337"/>
        <v>24277.059520874998</v>
      </c>
      <c r="E134">
        <f t="shared" si="342"/>
        <v>125670.92659679936</v>
      </c>
      <c r="F134">
        <f t="shared" si="342"/>
        <v>234286.52066884231</v>
      </c>
      <c r="G134">
        <f t="shared" si="342"/>
        <v>350638.20559657947</v>
      </c>
      <c r="H134">
        <f t="shared" si="343"/>
        <v>476023.82671476243</v>
      </c>
      <c r="I134">
        <f t="shared" si="343"/>
        <v>611009.06215696956</v>
      </c>
      <c r="J134">
        <f t="shared" si="343"/>
        <v>755971.276660476</v>
      </c>
      <c r="K134">
        <f t="shared" si="344"/>
        <v>913300.72076171299</v>
      </c>
      <c r="L134">
        <f t="shared" si="345"/>
        <v>1083202.61396594</v>
      </c>
      <c r="M134">
        <f t="shared" si="346"/>
        <v>1266119.8326318194</v>
      </c>
      <c r="N134">
        <f t="shared" si="347"/>
        <v>1463049.4150717449</v>
      </c>
      <c r="O134">
        <f t="shared" si="348"/>
        <v>1676771.8747556901</v>
      </c>
      <c r="P134">
        <f t="shared" si="349"/>
        <v>1909756.4046752288</v>
      </c>
      <c r="Q134">
        <f t="shared" si="350"/>
        <v>2161208.6499200067</v>
      </c>
      <c r="R134">
        <f t="shared" si="351"/>
        <v>2432592.4695258662</v>
      </c>
      <c r="S134">
        <f t="shared" si="352"/>
        <v>2725487.7565501337</v>
      </c>
      <c r="T134">
        <f t="shared" si="353"/>
        <v>3041599.635606227</v>
      </c>
      <c r="U134">
        <f t="shared" si="354"/>
        <v>3378575.1261460842</v>
      </c>
      <c r="V134">
        <f t="shared" si="355"/>
        <v>3728092.6653910233</v>
      </c>
      <c r="W134">
        <f t="shared" si="356"/>
        <v>4103443.6164100701</v>
      </c>
      <c r="X134">
        <f t="shared" si="357"/>
        <v>4506537.3688302292</v>
      </c>
      <c r="Y134">
        <f t="shared" si="358"/>
        <v>4939424.4383821571</v>
      </c>
      <c r="Z134">
        <f t="shared" si="359"/>
        <v>5404306.8977608187</v>
      </c>
      <c r="AA134">
        <f t="shared" si="360"/>
        <v>5903549.5784480646</v>
      </c>
      <c r="AB134">
        <f t="shared" si="361"/>
        <v>6439692.1004802231</v>
      </c>
      <c r="AC134">
        <f t="shared" si="362"/>
        <v>7015461.7913554283</v>
      </c>
      <c r="AD134">
        <f t="shared" si="363"/>
        <v>7633787.5597984781</v>
      </c>
      <c r="AE134">
        <f t="shared" si="364"/>
        <v>8297814.794958299</v>
      </c>
      <c r="AI134">
        <f t="shared" si="340"/>
        <v>24347.746489642883</v>
      </c>
      <c r="AJ134">
        <f t="shared" si="365"/>
        <v>127160.04162603697</v>
      </c>
      <c r="AK134">
        <f t="shared" si="366"/>
        <v>239229.0171831944</v>
      </c>
      <c r="AL134">
        <f t="shared" si="367"/>
        <v>361388.09617047862</v>
      </c>
      <c r="AM134">
        <f t="shared" si="368"/>
        <v>494545.73863871559</v>
      </c>
      <c r="AN134">
        <f t="shared" si="369"/>
        <v>639692.1976222879</v>
      </c>
      <c r="AO134">
        <f t="shared" si="370"/>
        <v>797906.88335086091</v>
      </c>
      <c r="AP134">
        <f t="shared" si="371"/>
        <v>970366.3904961528</v>
      </c>
      <c r="AQ134">
        <f t="shared" si="372"/>
        <v>1158353.2481499463</v>
      </c>
      <c r="AR134">
        <f t="shared" si="373"/>
        <v>1363265.4576042825</v>
      </c>
      <c r="AS134">
        <f t="shared" si="374"/>
        <v>1586626.8888634129</v>
      </c>
      <c r="AT134">
        <f t="shared" si="375"/>
        <v>1830098.613203221</v>
      </c>
      <c r="AU134">
        <f t="shared" si="376"/>
        <v>2095491.2560549241</v>
      </c>
      <c r="AV134">
        <f t="shared" si="377"/>
        <v>2384778.4620777043</v>
      </c>
      <c r="AW134">
        <f t="shared" si="378"/>
        <v>2700111.5725559378</v>
      </c>
      <c r="AX134">
        <f t="shared" si="379"/>
        <v>3043835.6242723754</v>
      </c>
      <c r="AY134">
        <f t="shared" si="380"/>
        <v>3418506.7888360457</v>
      </c>
      <c r="AZ134">
        <f t="shared" si="381"/>
        <v>3826911.3821558794</v>
      </c>
      <c r="BA134">
        <f t="shared" si="382"/>
        <v>4272086.5854277443</v>
      </c>
      <c r="BB134">
        <f t="shared" si="383"/>
        <v>4757343.0317306016</v>
      </c>
      <c r="BC134">
        <f t="shared" si="384"/>
        <v>5286289.4262014451</v>
      </c>
      <c r="BD134">
        <f t="shared" si="385"/>
        <v>5862859.382881809</v>
      </c>
      <c r="BE134">
        <f t="shared" si="386"/>
        <v>6491340.6778133353</v>
      </c>
      <c r="BF134">
        <f t="shared" si="387"/>
        <v>7176407.135928805</v>
      </c>
      <c r="BG134">
        <f t="shared" si="388"/>
        <v>7923153.3888717908</v>
      </c>
      <c r="BH134">
        <f t="shared" si="389"/>
        <v>8737132.7622283008</v>
      </c>
      <c r="BI134">
        <f t="shared" si="390"/>
        <v>9624398.5739262383</v>
      </c>
      <c r="BJ134">
        <f t="shared" si="391"/>
        <v>10591549.15092643</v>
      </c>
    </row>
    <row r="135" spans="1:62" x14ac:dyDescent="0.3">
      <c r="A135">
        <f>0.015/12</f>
        <v>1.25E-3</v>
      </c>
      <c r="B135">
        <v>1.5</v>
      </c>
      <c r="D135">
        <f t="shared" si="337"/>
        <v>32462.65261312003</v>
      </c>
      <c r="E135">
        <f t="shared" si="342"/>
        <v>134439.53442473093</v>
      </c>
      <c r="F135">
        <f t="shared" si="342"/>
        <v>243679.66816268812</v>
      </c>
      <c r="G135">
        <f t="shared" si="342"/>
        <v>360700.37527875981</v>
      </c>
      <c r="H135">
        <f t="shared" si="343"/>
        <v>486908.6087219824</v>
      </c>
      <c r="I135">
        <f t="shared" si="343"/>
        <v>622698.35616742505</v>
      </c>
      <c r="J135">
        <f t="shared" si="343"/>
        <v>768524.54546937242</v>
      </c>
      <c r="K135">
        <f t="shared" si="344"/>
        <v>926985.14620881272</v>
      </c>
      <c r="L135">
        <f t="shared" si="345"/>
        <v>1097935.3340941097</v>
      </c>
      <c r="M135">
        <f t="shared" si="346"/>
        <v>1281981.1519991576</v>
      </c>
      <c r="N135">
        <f t="shared" si="347"/>
        <v>1480125.7899627376</v>
      </c>
      <c r="O135">
        <f t="shared" si="348"/>
        <v>1695515.665001007</v>
      </c>
      <c r="P135">
        <f t="shared" si="349"/>
        <v>1929985.9372678427</v>
      </c>
      <c r="Q135">
        <f t="shared" si="350"/>
        <v>2183041.6934805466</v>
      </c>
      <c r="R135">
        <f t="shared" si="351"/>
        <v>2456156.1277040327</v>
      </c>
      <c r="S135">
        <f t="shared" si="352"/>
        <v>2750919.2079736539</v>
      </c>
      <c r="T135">
        <f t="shared" si="353"/>
        <v>3069046.932482488</v>
      </c>
      <c r="U135">
        <f t="shared" si="354"/>
        <v>3406759.1138979145</v>
      </c>
      <c r="V135">
        <f t="shared" si="355"/>
        <v>3758359.7776767537</v>
      </c>
      <c r="W135">
        <f t="shared" si="356"/>
        <v>4135947.8203638741</v>
      </c>
      <c r="X135">
        <f t="shared" si="357"/>
        <v>4541444.0115484567</v>
      </c>
      <c r="Y135">
        <f t="shared" si="358"/>
        <v>4976911.0880349148</v>
      </c>
      <c r="Z135">
        <f t="shared" si="359"/>
        <v>5444564.2468714723</v>
      </c>
      <c r="AA135">
        <f t="shared" si="360"/>
        <v>5946782.4139356147</v>
      </c>
      <c r="AB135">
        <f t="shared" si="361"/>
        <v>6486120.3453990845</v>
      </c>
      <c r="AC135">
        <f t="shared" si="362"/>
        <v>7065321.6236319067</v>
      </c>
      <c r="AD135">
        <f t="shared" si="363"/>
        <v>7687332.6136548771</v>
      </c>
      <c r="AE135">
        <f t="shared" si="364"/>
        <v>8355317.45113625</v>
      </c>
      <c r="AI135">
        <f t="shared" si="340"/>
        <v>32580.973741833204</v>
      </c>
      <c r="AJ135">
        <f t="shared" si="365"/>
        <v>136134.54552616071</v>
      </c>
      <c r="AK135">
        <f t="shared" si="366"/>
        <v>249011.53839708521</v>
      </c>
      <c r="AL135">
        <f t="shared" si="367"/>
        <v>372051.38434386777</v>
      </c>
      <c r="AM135">
        <f t="shared" si="368"/>
        <v>506169.0934143007</v>
      </c>
      <c r="AN135">
        <f t="shared" si="369"/>
        <v>652362.05836714455</v>
      </c>
      <c r="AO135">
        <f t="shared" si="370"/>
        <v>811717.47197982052</v>
      </c>
      <c r="AP135">
        <f t="shared" si="371"/>
        <v>985420.41217162996</v>
      </c>
      <c r="AQ135">
        <f t="shared" si="372"/>
        <v>1174762.6550691074</v>
      </c>
      <c r="AR135">
        <f t="shared" si="373"/>
        <v>1381152.2815536093</v>
      </c>
      <c r="AS135">
        <f t="shared" si="374"/>
        <v>1606124.1487321181</v>
      </c>
      <c r="AT135">
        <f t="shared" si="375"/>
        <v>1851351.304204416</v>
      </c>
      <c r="AU135">
        <f t="shared" si="376"/>
        <v>2118657.4280110798</v>
      </c>
      <c r="AV135">
        <f t="shared" si="377"/>
        <v>2410030.3947892846</v>
      </c>
      <c r="AW135">
        <f t="shared" si="378"/>
        <v>2727637.0569940661</v>
      </c>
      <c r="AX135">
        <f t="shared" si="379"/>
        <v>3073839.359123379</v>
      </c>
      <c r="AY135">
        <f t="shared" si="380"/>
        <v>3451211.9027835531</v>
      </c>
      <c r="AZ135">
        <f t="shared" si="381"/>
        <v>3862561.093221223</v>
      </c>
      <c r="BA135">
        <f t="shared" si="382"/>
        <v>4310946.0097086783</v>
      </c>
      <c r="BB135">
        <f t="shared" si="383"/>
        <v>4799701.1549893785</v>
      </c>
      <c r="BC135">
        <f t="shared" si="384"/>
        <v>5332461.2529643569</v>
      </c>
      <c r="BD135">
        <f t="shared" si="385"/>
        <v>5913188.2790323868</v>
      </c>
      <c r="BE135">
        <f t="shared" si="386"/>
        <v>6546200.9241003692</v>
      </c>
      <c r="BF135">
        <f t="shared" si="387"/>
        <v>7236206.711378851</v>
      </c>
      <c r="BG135">
        <f t="shared" si="388"/>
        <v>7988337.0048055556</v>
      </c>
      <c r="BH135">
        <f t="shared" si="389"/>
        <v>8808185.1694439668</v>
      </c>
      <c r="BI135">
        <f t="shared" si="390"/>
        <v>9701848.1676442456</v>
      </c>
      <c r="BJ135">
        <f t="shared" si="391"/>
        <v>10675971.900304608</v>
      </c>
    </row>
    <row r="136" spans="1:62" x14ac:dyDescent="0.3">
      <c r="A136">
        <f>0.0125/12</f>
        <v>1.0416666666666667E-3</v>
      </c>
      <c r="B136">
        <v>1.25</v>
      </c>
      <c r="D136">
        <f t="shared" si="337"/>
        <v>40695.312865645465</v>
      </c>
      <c r="E136">
        <f t="shared" si="342"/>
        <v>143258.56174767314</v>
      </c>
      <c r="F136">
        <f t="shared" si="342"/>
        <v>253126.82625462356</v>
      </c>
      <c r="G136">
        <f t="shared" si="342"/>
        <v>370820.40243661264</v>
      </c>
      <c r="H136">
        <f t="shared" si="343"/>
        <v>497858.26402996539</v>
      </c>
      <c r="I136">
        <f t="shared" si="343"/>
        <v>634457.31837018288</v>
      </c>
      <c r="J136">
        <f t="shared" si="343"/>
        <v>781152.63176036975</v>
      </c>
      <c r="K136">
        <f t="shared" si="344"/>
        <v>940754.00456092111</v>
      </c>
      <c r="L136">
        <f t="shared" si="345"/>
        <v>1112758.9551054703</v>
      </c>
      <c r="M136">
        <f t="shared" si="346"/>
        <v>1297940.3357069925</v>
      </c>
      <c r="N136">
        <f t="shared" si="347"/>
        <v>1497307.5260868077</v>
      </c>
      <c r="O136">
        <f t="shared" si="348"/>
        <v>1714378.9843967182</v>
      </c>
      <c r="P136">
        <f t="shared" si="349"/>
        <v>1950344.4735897996</v>
      </c>
      <c r="Q136">
        <f t="shared" si="350"/>
        <v>2205013.9663598719</v>
      </c>
      <c r="R136">
        <f t="shared" si="351"/>
        <v>2479870.0513304011</v>
      </c>
      <c r="S136">
        <f t="shared" si="352"/>
        <v>2776512.8357629017</v>
      </c>
      <c r="T136">
        <f t="shared" si="353"/>
        <v>3096669.2607709286</v>
      </c>
      <c r="U136">
        <f t="shared" si="354"/>
        <v>3435111.078216746</v>
      </c>
      <c r="V136">
        <f t="shared" si="355"/>
        <v>3788807.2819517069</v>
      </c>
      <c r="W136">
        <f t="shared" si="356"/>
        <v>4168645.7493732423</v>
      </c>
      <c r="X136">
        <f t="shared" si="357"/>
        <v>4576558.6978572858</v>
      </c>
      <c r="Y136">
        <f t="shared" si="358"/>
        <v>5014621.1581196021</v>
      </c>
      <c r="Z136">
        <f t="shared" si="359"/>
        <v>5485061.5297828261</v>
      </c>
      <c r="AA136">
        <f t="shared" si="360"/>
        <v>5990272.9171226704</v>
      </c>
      <c r="AB136">
        <f t="shared" si="361"/>
        <v>6532825.3026576629</v>
      </c>
      <c r="AC136">
        <f t="shared" si="362"/>
        <v>7115478.6205087528</v>
      </c>
      <c r="AD136">
        <f t="shared" si="363"/>
        <v>7741196.7960322592</v>
      </c>
      <c r="AE136">
        <f t="shared" si="364"/>
        <v>8413162.8231450226</v>
      </c>
      <c r="AI136">
        <f t="shared" si="340"/>
        <v>40873.562562511826</v>
      </c>
      <c r="AJ136">
        <f t="shared" si="365"/>
        <v>145173.75559940434</v>
      </c>
      <c r="AK136">
        <f t="shared" si="366"/>
        <v>258864.59158892819</v>
      </c>
      <c r="AL136">
        <f t="shared" si="367"/>
        <v>382791.55482498702</v>
      </c>
      <c r="AM136">
        <f t="shared" si="368"/>
        <v>517876.25257781777</v>
      </c>
      <c r="AN136">
        <f t="shared" si="369"/>
        <v>665123.26880797162</v>
      </c>
      <c r="AO136">
        <f t="shared" si="370"/>
        <v>825627.63495279499</v>
      </c>
      <c r="AP136">
        <f t="shared" si="371"/>
        <v>1000582.9733433874</v>
      </c>
      <c r="AQ136">
        <f t="shared" si="372"/>
        <v>1191290.3738121556</v>
      </c>
      <c r="AR136">
        <f t="shared" si="373"/>
        <v>1399168.0695036107</v>
      </c>
      <c r="AS136">
        <f t="shared" si="374"/>
        <v>1625761.9838444765</v>
      </c>
      <c r="AT136">
        <f t="shared" si="375"/>
        <v>1872757.2271077298</v>
      </c>
      <c r="AU136">
        <f t="shared" si="376"/>
        <v>2141990.6280670394</v>
      </c>
      <c r="AV136">
        <f t="shared" si="377"/>
        <v>2435464.3939357153</v>
      </c>
      <c r="AW136">
        <f t="shared" si="378"/>
        <v>2755361.0001749932</v>
      </c>
      <c r="AX136">
        <f t="shared" si="379"/>
        <v>3104059.4209026583</v>
      </c>
      <c r="AY136">
        <f t="shared" si="380"/>
        <v>3484152.8206026223</v>
      </c>
      <c r="AZ136">
        <f t="shared" si="381"/>
        <v>3898467.8387033478</v>
      </c>
      <c r="BA136">
        <f t="shared" si="382"/>
        <v>4350085.6104386775</v>
      </c>
      <c r="BB136">
        <f t="shared" si="383"/>
        <v>4842364.6803168515</v>
      </c>
      <c r="BC136">
        <f t="shared" si="384"/>
        <v>5378965.9785982296</v>
      </c>
      <c r="BD136">
        <f t="shared" si="385"/>
        <v>5963880.0465242099</v>
      </c>
      <c r="BE136">
        <f t="shared" si="386"/>
        <v>6601456.7127631325</v>
      </c>
      <c r="BF136">
        <f t="shared" si="387"/>
        <v>7296437.4417678919</v>
      </c>
      <c r="BG136">
        <f t="shared" si="388"/>
        <v>8053990.5946102031</v>
      </c>
      <c r="BH136">
        <f t="shared" si="389"/>
        <v>8879749.8645156566</v>
      </c>
      <c r="BI136">
        <f t="shared" si="390"/>
        <v>9779856.1729329601</v>
      </c>
      <c r="BJ136">
        <f t="shared" si="391"/>
        <v>10761003.337705804</v>
      </c>
    </row>
    <row r="137" spans="1:62" x14ac:dyDescent="0.3">
      <c r="A137">
        <f>0.01/12</f>
        <v>8.3333333333333339E-4</v>
      </c>
      <c r="B137">
        <v>1</v>
      </c>
      <c r="D137">
        <f t="shared" si="337"/>
        <v>48975.310914622925</v>
      </c>
      <c r="E137">
        <f t="shared" si="342"/>
        <v>152128.29847772227</v>
      </c>
      <c r="F137">
        <f t="shared" si="342"/>
        <v>262628.3055055876</v>
      </c>
      <c r="G137">
        <f t="shared" si="342"/>
        <v>380998.61975062313</v>
      </c>
      <c r="H137">
        <f t="shared" si="343"/>
        <v>508873.17928358394</v>
      </c>
      <c r="I137">
        <f t="shared" si="343"/>
        <v>646286.36398766923</v>
      </c>
      <c r="J137">
        <f t="shared" si="343"/>
        <v>793855.98144566151</v>
      </c>
      <c r="K137">
        <f t="shared" si="344"/>
        <v>954607.81676906196</v>
      </c>
      <c r="L137">
        <f t="shared" si="345"/>
        <v>1127674.037858471</v>
      </c>
      <c r="M137">
        <f t="shared" si="346"/>
        <v>1313997.9875783047</v>
      </c>
      <c r="N137">
        <f t="shared" si="347"/>
        <v>1514595.2735227633</v>
      </c>
      <c r="O137">
        <f t="shared" si="348"/>
        <v>1733362.595180216</v>
      </c>
      <c r="P137">
        <f t="shared" si="349"/>
        <v>1970832.8362978816</v>
      </c>
      <c r="Q137">
        <f t="shared" si="350"/>
        <v>2227126.3564233487</v>
      </c>
      <c r="R137">
        <f t="shared" si="351"/>
        <v>2503735.1986477347</v>
      </c>
      <c r="S137">
        <f t="shared" si="352"/>
        <v>2802269.6741165617</v>
      </c>
      <c r="T137">
        <f t="shared" si="353"/>
        <v>3124467.7366468646</v>
      </c>
      <c r="U137">
        <f t="shared" si="354"/>
        <v>3463632.0202429174</v>
      </c>
      <c r="V137">
        <f t="shared" si="355"/>
        <v>3819436.2533521391</v>
      </c>
      <c r="W137">
        <f t="shared" si="356"/>
        <v>4201538.5580395069</v>
      </c>
      <c r="X137">
        <f t="shared" si="357"/>
        <v>4611882.6676965151</v>
      </c>
      <c r="Y137">
        <f t="shared" si="358"/>
        <v>5052555.9802219952</v>
      </c>
      <c r="Z137">
        <f t="shared" si="359"/>
        <v>5525800.1765003307</v>
      </c>
      <c r="AA137">
        <f t="shared" si="360"/>
        <v>6034022.6237087213</v>
      </c>
      <c r="AB137">
        <f t="shared" si="361"/>
        <v>6579808.6214615023</v>
      </c>
      <c r="AC137">
        <f t="shared" si="362"/>
        <v>7165934.553086984</v>
      </c>
      <c r="AD137">
        <f t="shared" si="363"/>
        <v>7795382.008936611</v>
      </c>
      <c r="AE137">
        <f t="shared" si="364"/>
        <v>8471352.9535709657</v>
      </c>
      <c r="AI137">
        <f t="shared" si="340"/>
        <v>49225.940948587537</v>
      </c>
      <c r="AJ137">
        <f t="shared" si="365"/>
        <v>154278.13837727605</v>
      </c>
      <c r="AK137">
        <f t="shared" si="366"/>
        <v>268788.68529428437</v>
      </c>
      <c r="AL137">
        <f t="shared" si="367"/>
        <v>393609.16193527513</v>
      </c>
      <c r="AM137">
        <f t="shared" si="368"/>
        <v>529667.82035890385</v>
      </c>
      <c r="AN137">
        <f t="shared" si="369"/>
        <v>677976.48757607699</v>
      </c>
      <c r="AO137">
        <f t="shared" si="370"/>
        <v>839638.09020080464</v>
      </c>
      <c r="AP137">
        <f t="shared" si="371"/>
        <v>1015854.8565811932</v>
      </c>
      <c r="AQ137">
        <f t="shared" si="372"/>
        <v>1207937.2574073412</v>
      </c>
      <c r="AR137">
        <f t="shared" si="373"/>
        <v>1417313.7512847316</v>
      </c>
      <c r="AS137">
        <f t="shared" si="374"/>
        <v>1645541.4077479951</v>
      </c>
      <c r="AT137">
        <f t="shared" si="375"/>
        <v>1894317.4867151764</v>
      </c>
      <c r="AU137">
        <f t="shared" si="376"/>
        <v>2165492.0604954027</v>
      </c>
      <c r="AV137">
        <f t="shared" si="377"/>
        <v>2461081.7722159917</v>
      </c>
      <c r="AW137">
        <f t="shared" si="378"/>
        <v>2783284.8329862547</v>
      </c>
      <c r="AX137">
        <f t="shared" si="379"/>
        <v>3134497.3693273664</v>
      </c>
      <c r="AY137">
        <f t="shared" si="380"/>
        <v>3517331.2424391671</v>
      </c>
      <c r="AZ137">
        <f t="shared" si="381"/>
        <v>3934633.4718203987</v>
      </c>
      <c r="BA137">
        <f t="shared" si="382"/>
        <v>4389507.4076899402</v>
      </c>
      <c r="BB137">
        <f t="shared" si="383"/>
        <v>4885335.809661936</v>
      </c>
      <c r="BC137">
        <f t="shared" si="384"/>
        <v>5425806.0033039227</v>
      </c>
      <c r="BD137">
        <f t="shared" si="385"/>
        <v>6014937.3016596492</v>
      </c>
      <c r="BE137">
        <f t="shared" si="386"/>
        <v>6657110.8956621541</v>
      </c>
      <c r="BF137">
        <f t="shared" si="387"/>
        <v>7357102.4357230375</v>
      </c>
      <c r="BG137">
        <f t="shared" si="388"/>
        <v>8120117.5467973417</v>
      </c>
      <c r="BH137">
        <f t="shared" si="389"/>
        <v>8951830.5410388131</v>
      </c>
      <c r="BI137">
        <f t="shared" si="390"/>
        <v>9858426.6159398053</v>
      </c>
      <c r="BJ137">
        <f t="shared" si="391"/>
        <v>10846647.851770662</v>
      </c>
    </row>
    <row r="138" spans="1:62" x14ac:dyDescent="0.3">
      <c r="D138">
        <f t="shared" si="337"/>
        <v>57302.91895238201</v>
      </c>
      <c r="E138">
        <f t="shared" si="342"/>
        <v>161049.03619396916</v>
      </c>
      <c r="F138">
        <f t="shared" si="342"/>
        <v>272184.41826224473</v>
      </c>
      <c r="G138">
        <f t="shared" si="342"/>
        <v>391235.36181418918</v>
      </c>
      <c r="H138">
        <f t="shared" ref="H138:I143" si="392">(H137+8000)*1.00721-(0.00125*(H137+8000))</f>
        <v>519953.74343211408</v>
      </c>
      <c r="I138">
        <f t="shared" si="392"/>
        <v>658185.91071703576</v>
      </c>
      <c r="J138">
        <f t="shared" ref="J138:J143" si="393">(J137+8000)*1.00721-(0.00104*(J137+8000))</f>
        <v>806803.43285118125</v>
      </c>
      <c r="K138">
        <f t="shared" si="344"/>
        <v>968547.10699852696</v>
      </c>
      <c r="L138">
        <f t="shared" si="345"/>
        <v>1142681.1466720577</v>
      </c>
      <c r="M138">
        <f t="shared" si="346"/>
        <v>1330154.7151616628</v>
      </c>
      <c r="N138">
        <f t="shared" si="347"/>
        <v>1531989.6863603988</v>
      </c>
      <c r="O138">
        <f t="shared" si="348"/>
        <v>1752467.2644496802</v>
      </c>
      <c r="P138">
        <f t="shared" si="349"/>
        <v>1991451.853294953</v>
      </c>
      <c r="Q138">
        <f t="shared" si="350"/>
        <v>2249379.7571982602</v>
      </c>
      <c r="R138">
        <f t="shared" si="351"/>
        <v>2527752.5340095111</v>
      </c>
      <c r="S138">
        <f t="shared" si="352"/>
        <v>2828190.7638284029</v>
      </c>
      <c r="T138">
        <f t="shared" si="353"/>
        <v>3152443.4834034615</v>
      </c>
      <c r="U138">
        <f t="shared" si="354"/>
        <v>3492322.9470835649</v>
      </c>
      <c r="V138">
        <f t="shared" si="355"/>
        <v>3850247.7734221178</v>
      </c>
      <c r="W138">
        <f t="shared" si="356"/>
        <v>4234627.4078454217</v>
      </c>
      <c r="X138">
        <f t="shared" si="357"/>
        <v>4647417.1683959858</v>
      </c>
      <c r="Y138">
        <f t="shared" si="358"/>
        <v>5090716.8938641176</v>
      </c>
      <c r="Z138">
        <f t="shared" si="359"/>
        <v>5566781.6255522724</v>
      </c>
      <c r="AA138">
        <f t="shared" si="360"/>
        <v>6078033.0785460249</v>
      </c>
      <c r="AB138">
        <f t="shared" si="361"/>
        <v>6627071.9608454118</v>
      </c>
      <c r="AC138">
        <f t="shared" si="362"/>
        <v>7216691.2030233825</v>
      </c>
      <c r="AD138">
        <f t="shared" si="363"/>
        <v>7849890.1657098727</v>
      </c>
      <c r="AE138">
        <f t="shared" si="364"/>
        <v>8529889.8971742485</v>
      </c>
      <c r="AI138">
        <f t="shared" si="340"/>
        <v>57638.539982826849</v>
      </c>
      <c r="AJ138">
        <f t="shared" si="365"/>
        <v>163448.16375497621</v>
      </c>
      <c r="AK138">
        <f t="shared" si="366"/>
        <v>278784.33171525615</v>
      </c>
      <c r="AL138">
        <f t="shared" si="367"/>
        <v>404504.76399282843</v>
      </c>
      <c r="AM138">
        <f t="shared" si="368"/>
        <v>541544.40534369147</v>
      </c>
      <c r="AN138">
        <f t="shared" si="369"/>
        <v>690922.37805150042</v>
      </c>
      <c r="AO138">
        <f t="shared" si="370"/>
        <v>853749.56083115237</v>
      </c>
      <c r="AP138">
        <f t="shared" si="371"/>
        <v>1031236.8500971436</v>
      </c>
      <c r="AQ138">
        <f t="shared" si="372"/>
        <v>1224704.165033248</v>
      </c>
      <c r="AR138">
        <f t="shared" si="373"/>
        <v>1435590.2634314944</v>
      </c>
      <c r="AS138">
        <f t="shared" si="374"/>
        <v>1665463.441297858</v>
      </c>
      <c r="AT138">
        <f t="shared" si="375"/>
        <v>1916033.1957943926</v>
      </c>
      <c r="AU138">
        <f t="shared" si="376"/>
        <v>2189162.9382515745</v>
      </c>
      <c r="AV138">
        <f t="shared" si="377"/>
        <v>2486883.8517936687</v>
      </c>
      <c r="AW138">
        <f t="shared" si="378"/>
        <v>2811409.9966320856</v>
      </c>
      <c r="AX138">
        <f t="shared" si="379"/>
        <v>3165154.7753602164</v>
      </c>
      <c r="AY138">
        <f t="shared" si="380"/>
        <v>3550748.8806971535</v>
      </c>
      <c r="AZ138">
        <f t="shared" si="381"/>
        <v>3971059.8591522234</v>
      </c>
      <c r="BA138">
        <f t="shared" si="382"/>
        <v>4429213.436099384</v>
      </c>
      <c r="BB138">
        <f t="shared" si="383"/>
        <v>4928616.7608495979</v>
      </c>
      <c r="BC138">
        <f t="shared" si="384"/>
        <v>5472983.7445877437</v>
      </c>
      <c r="BD138">
        <f t="shared" si="385"/>
        <v>6066362.6796046151</v>
      </c>
      <c r="BE138">
        <f t="shared" si="386"/>
        <v>6713166.3452198775</v>
      </c>
      <c r="BF138">
        <f t="shared" si="387"/>
        <v>7418204.8242846001</v>
      </c>
      <c r="BG138">
        <f t="shared" si="388"/>
        <v>8186721.2743097497</v>
      </c>
      <c r="BH138">
        <f t="shared" si="389"/>
        <v>9024430.9192397017</v>
      </c>
      <c r="BI138">
        <f t="shared" si="390"/>
        <v>9937563.55184073</v>
      </c>
      <c r="BJ138">
        <f t="shared" si="391"/>
        <v>10932909.862781927</v>
      </c>
    </row>
    <row r="139" spans="1:62" x14ac:dyDescent="0.3">
      <c r="D139">
        <f t="shared" si="337"/>
        <v>65678.410736358201</v>
      </c>
      <c r="E139">
        <f t="shared" ref="E139:F143" si="394">(E138+8000)*1.00721-(0.00146*(E138+8000))</f>
        <v>170021.06815208445</v>
      </c>
      <c r="F139">
        <f t="shared" si="394"/>
        <v>281795.47866725264</v>
      </c>
      <c r="G139">
        <f>(G138+8000)*1.00721-(0.00125*(G138+8000))</f>
        <v>401614.80457060173</v>
      </c>
      <c r="H139">
        <f t="shared" si="392"/>
        <v>531100.34774296952</v>
      </c>
      <c r="I139">
        <f t="shared" si="392"/>
        <v>670156.37874490931</v>
      </c>
      <c r="J139">
        <f t="shared" si="393"/>
        <v>819830.77003187302</v>
      </c>
      <c r="K139">
        <f t="shared" si="344"/>
        <v>982572.40264870785</v>
      </c>
      <c r="L139">
        <f t="shared" si="345"/>
        <v>1157780.8493470242</v>
      </c>
      <c r="M139">
        <f t="shared" si="346"/>
        <v>1346411.1297542101</v>
      </c>
      <c r="N139">
        <f t="shared" si="347"/>
        <v>1549491.4227252423</v>
      </c>
      <c r="O139">
        <f t="shared" si="348"/>
        <v>1771693.7641950757</v>
      </c>
      <c r="P139">
        <f t="shared" si="349"/>
        <v>2012202.3577634147</v>
      </c>
      <c r="Q139">
        <f t="shared" si="350"/>
        <v>2271775.0679099131</v>
      </c>
      <c r="R139">
        <f t="shared" si="351"/>
        <v>2551923.0279188897</v>
      </c>
      <c r="S139">
        <f t="shared" si="352"/>
        <v>2854277.1523293364</v>
      </c>
      <c r="T139">
        <f t="shared" si="353"/>
        <v>3180597.6314971251</v>
      </c>
      <c r="U139">
        <f t="shared" si="354"/>
        <v>3521184.8718481828</v>
      </c>
      <c r="V139">
        <f t="shared" si="355"/>
        <v>3881242.9301517131</v>
      </c>
      <c r="W139">
        <f t="shared" si="356"/>
        <v>4267913.4671961805</v>
      </c>
      <c r="X139">
        <f t="shared" si="357"/>
        <v>4683163.4547196254</v>
      </c>
      <c r="Y139">
        <f t="shared" si="358"/>
        <v>5129105.2465515472</v>
      </c>
      <c r="Z139">
        <f t="shared" si="359"/>
        <v>5608007.3240405638</v>
      </c>
      <c r="AA139">
        <f t="shared" si="360"/>
        <v>6122305.8356941584</v>
      </c>
      <c r="AB139">
        <f t="shared" si="361"/>
        <v>6674616.9897320494</v>
      </c>
      <c r="AC139">
        <f t="shared" si="362"/>
        <v>7267750.3625934012</v>
      </c>
      <c r="AD139">
        <f t="shared" si="363"/>
        <v>7904723.1910975035</v>
      </c>
      <c r="AE139">
        <f t="shared" si="364"/>
        <v>8588775.7209614068</v>
      </c>
      <c r="AI139">
        <f t="shared" si="340"/>
        <v>66111.793856103031</v>
      </c>
      <c r="AJ139">
        <f t="shared" si="365"/>
        <v>172684.30501564959</v>
      </c>
      <c r="AK139">
        <f t="shared" si="366"/>
        <v>288852.04674692312</v>
      </c>
      <c r="AL139">
        <f t="shared" si="367"/>
        <v>415478.92334121669</v>
      </c>
      <c r="AM139">
        <f t="shared" si="368"/>
        <v>553506.62050621945</v>
      </c>
      <c r="AN139">
        <f t="shared" si="369"/>
        <v>703961.60839725169</v>
      </c>
      <c r="AO139">
        <f t="shared" si="370"/>
        <v>867962.77516474493</v>
      </c>
      <c r="AP139">
        <f t="shared" si="371"/>
        <v>1046729.7477863439</v>
      </c>
      <c r="AQ139">
        <f t="shared" si="372"/>
        <v>1241591.9620631377</v>
      </c>
      <c r="AR139">
        <f t="shared" si="373"/>
        <v>1453998.5492308354</v>
      </c>
      <c r="AS139">
        <f t="shared" si="374"/>
        <v>1685529.1127096154</v>
      </c>
      <c r="AT139">
        <f t="shared" si="375"/>
        <v>1937905.47513607</v>
      </c>
      <c r="AU139">
        <f t="shared" si="376"/>
        <v>2213004.4830363682</v>
      </c>
      <c r="AV139">
        <f t="shared" si="377"/>
        <v>2512871.964365101</v>
      </c>
      <c r="AW139">
        <f t="shared" si="378"/>
        <v>2839737.9427078026</v>
      </c>
      <c r="AX139">
        <f t="shared" si="379"/>
        <v>3196033.2212905632</v>
      </c>
      <c r="AY139">
        <f t="shared" si="380"/>
        <v>3584407.4601269797</v>
      </c>
      <c r="AZ139">
        <f t="shared" si="381"/>
        <v>4007748.8807367105</v>
      </c>
      <c r="BA139">
        <f t="shared" si="382"/>
        <v>4469205.7449736604</v>
      </c>
      <c r="BB139">
        <f t="shared" si="383"/>
        <v>4972209.7676953236</v>
      </c>
      <c r="BC139">
        <f t="shared" si="384"/>
        <v>5520501.6373862205</v>
      </c>
      <c r="BD139">
        <f t="shared" si="385"/>
        <v>6118158.8345245644</v>
      </c>
      <c r="BE139">
        <f t="shared" si="386"/>
        <v>6769625.9545689123</v>
      </c>
      <c r="BF139">
        <f t="shared" si="387"/>
        <v>7479747.7610676913</v>
      </c>
      <c r="BG139">
        <f t="shared" si="388"/>
        <v>8253805.2146975221</v>
      </c>
      <c r="BH139">
        <f t="shared" si="389"/>
        <v>9097554.7461674195</v>
      </c>
      <c r="BI139">
        <f t="shared" si="390"/>
        <v>10017271.065049501</v>
      </c>
      <c r="BJ139">
        <f t="shared" si="391"/>
        <v>11019793.822892584</v>
      </c>
    </row>
    <row r="140" spans="1:62" x14ac:dyDescent="0.3">
      <c r="D140">
        <f t="shared" si="337"/>
        <v>74102.061598092259</v>
      </c>
      <c r="E140">
        <f t="shared" si="394"/>
        <v>179044.68929395895</v>
      </c>
      <c r="F140">
        <f t="shared" si="394"/>
        <v>291461.80266958935</v>
      </c>
      <c r="G140">
        <f>(G139+8000)*1.00721-(0.00125*(G139+8000))</f>
        <v>412056.10880584246</v>
      </c>
      <c r="H140">
        <f t="shared" si="392"/>
        <v>542313.38581551751</v>
      </c>
      <c r="I140">
        <f t="shared" si="392"/>
        <v>682198.19076222891</v>
      </c>
      <c r="J140">
        <f t="shared" si="393"/>
        <v>832938.48588296957</v>
      </c>
      <c r="K140">
        <f t="shared" si="344"/>
        <v>996684.23437305039</v>
      </c>
      <c r="L140">
        <f t="shared" si="345"/>
        <v>1172973.7171874952</v>
      </c>
      <c r="M140">
        <f t="shared" si="346"/>
        <v>1362767.8464247936</v>
      </c>
      <c r="N140">
        <f t="shared" si="347"/>
        <v>1567101.144803457</v>
      </c>
      <c r="O140">
        <f t="shared" si="348"/>
        <v>1791042.8713293476</v>
      </c>
      <c r="P140">
        <f t="shared" si="349"/>
        <v>2033085.1881988719</v>
      </c>
      <c r="Q140">
        <f t="shared" si="350"/>
        <v>2294313.1935179746</v>
      </c>
      <c r="R140">
        <f t="shared" si="351"/>
        <v>2576247.6570679285</v>
      </c>
      <c r="S140">
        <f t="shared" si="352"/>
        <v>2880529.8937297403</v>
      </c>
      <c r="T140">
        <f t="shared" si="353"/>
        <v>3208931.3185931821</v>
      </c>
      <c r="U140">
        <f t="shared" si="354"/>
        <v>3550218.8136843974</v>
      </c>
      <c r="V140">
        <f t="shared" si="355"/>
        <v>3912422.8180154166</v>
      </c>
      <c r="W140">
        <f t="shared" si="356"/>
        <v>4301397.9114606688</v>
      </c>
      <c r="X140">
        <f t="shared" si="357"/>
        <v>4719122.7889097538</v>
      </c>
      <c r="Y140">
        <f t="shared" si="358"/>
        <v>5167722.3938209945</v>
      </c>
      <c r="Z140">
        <f t="shared" si="359"/>
        <v>5649478.727691845</v>
      </c>
      <c r="AA140">
        <f t="shared" si="360"/>
        <v>6166842.458474895</v>
      </c>
      <c r="AB140">
        <f t="shared" si="361"/>
        <v>6722445.3869908527</v>
      </c>
      <c r="AC140">
        <f t="shared" si="362"/>
        <v>7319113.8347544568</v>
      </c>
      <c r="AD140">
        <f t="shared" si="363"/>
        <v>7959883.0213164445</v>
      </c>
      <c r="AE140">
        <f t="shared" si="364"/>
        <v>8648012.5042583365</v>
      </c>
      <c r="AI140">
        <f t="shared" si="340"/>
        <v>74646.139889805534</v>
      </c>
      <c r="AJ140">
        <f t="shared" si="365"/>
        <v>181987.03885481242</v>
      </c>
      <c r="AK140">
        <f t="shared" si="366"/>
        <v>298992.3500039684</v>
      </c>
      <c r="AL140">
        <f t="shared" si="367"/>
        <v>426532.20637850685</v>
      </c>
      <c r="AM140">
        <f t="shared" si="368"/>
        <v>565555.08324006922</v>
      </c>
      <c r="AN140">
        <f t="shared" si="369"/>
        <v>717094.85159379581</v>
      </c>
      <c r="AO140">
        <f t="shared" si="370"/>
        <v>882278.46677368274</v>
      </c>
      <c r="AP140">
        <f t="shared" si="371"/>
        <v>1062334.3492678835</v>
      </c>
      <c r="AQ140">
        <f t="shared" si="372"/>
        <v>1258601.5201096127</v>
      </c>
      <c r="AR140">
        <f t="shared" si="373"/>
        <v>1472539.5587707895</v>
      </c>
      <c r="AS140">
        <f t="shared" si="374"/>
        <v>1705739.4576122516</v>
      </c>
      <c r="AT140">
        <f t="shared" si="375"/>
        <v>1959935.4536118009</v>
      </c>
      <c r="AU140">
        <f t="shared" si="376"/>
        <v>2237017.9253590601</v>
      </c>
      <c r="AV140">
        <f t="shared" si="377"/>
        <v>2539047.451228173</v>
      </c>
      <c r="AW140">
        <f t="shared" si="378"/>
        <v>2868270.1332747256</v>
      </c>
      <c r="AX140">
        <f t="shared" si="379"/>
        <v>3227134.300816068</v>
      </c>
      <c r="AY140">
        <f t="shared" si="380"/>
        <v>3618308.7179144952</v>
      </c>
      <c r="AZ140">
        <f t="shared" si="381"/>
        <v>4044702.4301668219</v>
      </c>
      <c r="BA140">
        <f t="shared" si="382"/>
        <v>4509486.3983949199</v>
      </c>
      <c r="BB140">
        <f t="shared" si="383"/>
        <v>5016117.0801204061</v>
      </c>
      <c r="BC140">
        <f t="shared" si="384"/>
        <v>5568362.1341917748</v>
      </c>
      <c r="BD140">
        <f t="shared" si="385"/>
        <v>6170328.4397214865</v>
      </c>
      <c r="BE140">
        <f t="shared" si="386"/>
        <v>6826492.637701354</v>
      </c>
      <c r="BF140">
        <f t="shared" si="387"/>
        <v>7541734.4224249888</v>
      </c>
      <c r="BG140">
        <f t="shared" si="388"/>
        <v>8321372.830295491</v>
      </c>
      <c r="BH140">
        <f t="shared" si="389"/>
        <v>9171205.7958872858</v>
      </c>
      <c r="BI140">
        <f t="shared" si="390"/>
        <v>10097553.269428506</v>
      </c>
      <c r="BJ140">
        <f t="shared" si="391"/>
        <v>11107304.216355639</v>
      </c>
    </row>
    <row r="141" spans="1:62" x14ac:dyDescent="0.3">
      <c r="D141">
        <f t="shared" si="337"/>
        <v>82574.148452281283</v>
      </c>
      <c r="E141">
        <f t="shared" si="394"/>
        <v>188120.19625739919</v>
      </c>
      <c r="F141">
        <f t="shared" si="394"/>
        <v>301183.70803493948</v>
      </c>
      <c r="G141">
        <f>(G140+8000)*1.00721-(0.00125*(G140+8000))</f>
        <v>422559.64321432525</v>
      </c>
      <c r="H141">
        <f t="shared" si="392"/>
        <v>553593.2535949779</v>
      </c>
      <c r="I141">
        <f t="shared" si="392"/>
        <v>694311.77197917178</v>
      </c>
      <c r="J141">
        <f t="shared" si="393"/>
        <v>846127.07634086744</v>
      </c>
      <c r="K141">
        <f t="shared" si="344"/>
        <v>1010883.1360991321</v>
      </c>
      <c r="L141">
        <f t="shared" si="345"/>
        <v>1188260.3250225419</v>
      </c>
      <c r="M141">
        <f t="shared" si="346"/>
        <v>1379225.4840372344</v>
      </c>
      <c r="N141">
        <f t="shared" si="347"/>
        <v>1584819.5188668941</v>
      </c>
      <c r="O141">
        <f t="shared" si="348"/>
        <v>1810515.3677198149</v>
      </c>
      <c r="P141">
        <f t="shared" si="349"/>
        <v>2054101.188444016</v>
      </c>
      <c r="Q141">
        <f t="shared" si="350"/>
        <v>2316995.0447530388</v>
      </c>
      <c r="R141">
        <f t="shared" si="351"/>
        <v>2600727.4043770507</v>
      </c>
      <c r="S141">
        <f t="shared" si="352"/>
        <v>2906950.0488620545</v>
      </c>
      <c r="T141">
        <f t="shared" si="353"/>
        <v>3237445.6896118508</v>
      </c>
      <c r="U141">
        <f t="shared" si="354"/>
        <v>3579425.7978139562</v>
      </c>
      <c r="V141">
        <f t="shared" si="355"/>
        <v>3943788.5380107882</v>
      </c>
      <c r="W141">
        <f t="shared" si="356"/>
        <v>4335081.9230129737</v>
      </c>
      <c r="X141">
        <f t="shared" si="357"/>
        <v>4755296.4407316558</v>
      </c>
      <c r="Y141">
        <f t="shared" si="358"/>
        <v>5206569.6992881671</v>
      </c>
      <c r="Z141">
        <f t="shared" si="359"/>
        <v>5691197.3009088887</v>
      </c>
      <c r="AA141">
        <f t="shared" si="360"/>
        <v>6211644.5195274055</v>
      </c>
      <c r="AB141">
        <f t="shared" si="361"/>
        <v>6770558.8414973179</v>
      </c>
      <c r="AC141">
        <f t="shared" si="362"/>
        <v>7370783.4332095934</v>
      </c>
      <c r="AD141">
        <f t="shared" si="363"/>
        <v>8015371.6041234899</v>
      </c>
      <c r="AE141">
        <f t="shared" si="364"/>
        <v>8707602.3387837149</v>
      </c>
      <c r="AI141">
        <f t="shared" si="340"/>
        <v>83242.01855841103</v>
      </c>
      <c r="AJ141">
        <f t="shared" si="365"/>
        <v>191356.84540495562</v>
      </c>
      <c r="AK141">
        <f t="shared" si="366"/>
        <v>309205.76484749699</v>
      </c>
      <c r="AL141">
        <f t="shared" si="367"/>
        <v>437665.18358649587</v>
      </c>
      <c r="AM141">
        <f t="shared" si="368"/>
        <v>577690.41539023013</v>
      </c>
      <c r="AN141">
        <f t="shared" si="369"/>
        <v>730322.78547378699</v>
      </c>
      <c r="AO141">
        <f t="shared" si="370"/>
        <v>896697.3745191209</v>
      </c>
      <c r="AP141">
        <f t="shared" si="371"/>
        <v>1078051.4599261049</v>
      </c>
      <c r="AQ141">
        <f t="shared" si="372"/>
        <v>1275733.717069603</v>
      </c>
      <c r="AR141">
        <f t="shared" si="373"/>
        <v>1491214.2489895269</v>
      </c>
      <c r="AS141">
        <f t="shared" si="374"/>
        <v>1726095.5191016358</v>
      </c>
      <c r="AT141">
        <f t="shared" si="375"/>
        <v>1982124.2682323419</v>
      </c>
      <c r="AU141">
        <f t="shared" si="376"/>
        <v>2261204.5046008988</v>
      </c>
      <c r="AV141">
        <f t="shared" si="377"/>
        <v>2565411.6633515279</v>
      </c>
      <c r="AW141">
        <f t="shared" si="378"/>
        <v>2897008.040935636</v>
      </c>
      <c r="AX141">
        <f t="shared" si="379"/>
        <v>3258459.6191249518</v>
      </c>
      <c r="AY141">
        <f t="shared" si="380"/>
        <v>3652454.4037706587</v>
      </c>
      <c r="AZ141">
        <f t="shared" si="381"/>
        <v>4081922.4146883246</v>
      </c>
      <c r="BA141">
        <f t="shared" si="382"/>
        <v>4550057.4753273474</v>
      </c>
      <c r="BB141">
        <f t="shared" si="383"/>
        <v>5060340.9642680744</v>
      </c>
      <c r="BC141">
        <f t="shared" si="384"/>
        <v>5616567.7051792974</v>
      </c>
      <c r="BD141">
        <f t="shared" si="385"/>
        <v>6222874.1877718782</v>
      </c>
      <c r="BE141">
        <f t="shared" si="386"/>
        <v>6883769.3296191804</v>
      </c>
      <c r="BF141">
        <f t="shared" si="387"/>
        <v>7604168.0076106722</v>
      </c>
      <c r="BG141">
        <f t="shared" si="388"/>
        <v>8389427.6084019206</v>
      </c>
      <c r="BH141">
        <f t="shared" si="389"/>
        <v>9245387.8696756326</v>
      </c>
      <c r="BI141">
        <f t="shared" si="390"/>
        <v>10178414.308501085</v>
      </c>
      <c r="BJ141">
        <f t="shared" si="391"/>
        <v>11195445.559755562</v>
      </c>
    </row>
    <row r="142" spans="1:62" x14ac:dyDescent="0.3">
      <c r="D142">
        <f t="shared" si="337"/>
        <v>91094.949805881901</v>
      </c>
      <c r="E142">
        <f t="shared" si="394"/>
        <v>197247.88738587924</v>
      </c>
      <c r="F142">
        <f t="shared" si="394"/>
        <v>310961.51435614034</v>
      </c>
      <c r="G142">
        <f>(G141+8000)*1.00721-(0.00125*(G141+8000))</f>
        <v>433125.77868788259</v>
      </c>
      <c r="H142">
        <f t="shared" si="392"/>
        <v>564940.34938640392</v>
      </c>
      <c r="I142">
        <f t="shared" si="392"/>
        <v>706497.55014016759</v>
      </c>
      <c r="J142">
        <f t="shared" si="393"/>
        <v>859397.04040189052</v>
      </c>
      <c r="K142">
        <f t="shared" ref="K142:M143" si="395">(K141+8000)*1.00721-(0.00104*(K141+8000))</f>
        <v>1025169.6450488637</v>
      </c>
      <c r="L142">
        <f t="shared" si="395"/>
        <v>1203641.2512279309</v>
      </c>
      <c r="M142">
        <f t="shared" si="395"/>
        <v>1395784.6652737441</v>
      </c>
      <c r="N142">
        <f>(N141+8000)*1.00721-(0.000833*(N141+8000))</f>
        <v>1602976.928938708</v>
      </c>
      <c r="O142">
        <f t="shared" si="348"/>
        <v>1830112.040219764</v>
      </c>
      <c r="P142">
        <f t="shared" si="349"/>
        <v>2075251.2077227235</v>
      </c>
      <c r="Q142">
        <f t="shared" si="350"/>
        <v>2339821.5381534286</v>
      </c>
      <c r="R142">
        <f t="shared" si="351"/>
        <v>2625363.2590347631</v>
      </c>
      <c r="S142">
        <f t="shared" si="352"/>
        <v>2933538.6853236477</v>
      </c>
      <c r="T142">
        <f t="shared" si="353"/>
        <v>3266141.8967745053</v>
      </c>
      <c r="U142">
        <f t="shared" si="354"/>
        <v>3608806.8555689268</v>
      </c>
      <c r="V142">
        <f t="shared" si="355"/>
        <v>3975341.1976973321</v>
      </c>
      <c r="W142">
        <f t="shared" si="356"/>
        <v>4368966.6912741307</v>
      </c>
      <c r="X142">
        <f t="shared" si="357"/>
        <v>4791685.687518416</v>
      </c>
      <c r="Y142">
        <f t="shared" si="358"/>
        <v>5245648.5346959243</v>
      </c>
      <c r="Z142">
        <f t="shared" si="359"/>
        <v>5733164.5168223055</v>
      </c>
      <c r="AA142">
        <f t="shared" si="360"/>
        <v>6256713.6008637883</v>
      </c>
      <c r="AB142">
        <f t="shared" si="361"/>
        <v>6818959.0521926414</v>
      </c>
      <c r="AC142">
        <f t="shared" si="362"/>
        <v>7422760.9824715229</v>
      </c>
      <c r="AD142">
        <f t="shared" si="363"/>
        <v>8071190.8988840654</v>
      </c>
      <c r="AE142">
        <f t="shared" si="364"/>
        <v>8767547.3287228663</v>
      </c>
      <c r="AI142">
        <f t="shared" si="340"/>
        <v>91899.873512217164</v>
      </c>
      <c r="AJ142">
        <f t="shared" si="365"/>
        <v>200794.20826032534</v>
      </c>
      <c r="AK142">
        <f t="shared" si="366"/>
        <v>319492.8184120474</v>
      </c>
      <c r="AL142">
        <f t="shared" si="367"/>
        <v>448878.4295601545</v>
      </c>
      <c r="AM142">
        <f t="shared" si="368"/>
        <v>589913.24328519369</v>
      </c>
      <c r="AN142">
        <f t="shared" si="369"/>
        <v>743646.09275705297</v>
      </c>
      <c r="AO142">
        <f t="shared" si="370"/>
        <v>911220.24258940376</v>
      </c>
      <c r="AP142">
        <f t="shared" si="371"/>
        <v>1093881.890952172</v>
      </c>
      <c r="AQ142">
        <f t="shared" si="372"/>
        <v>1292989.4371696748</v>
      </c>
      <c r="AR142">
        <f t="shared" si="373"/>
        <v>1510023.5837247414</v>
      </c>
      <c r="AS142">
        <f t="shared" si="374"/>
        <v>1746598.3477943584</v>
      </c>
      <c r="AT142">
        <f t="shared" si="375"/>
        <v>2004473.0642062968</v>
      </c>
      <c r="AU142">
        <f t="shared" si="376"/>
        <v>2285565.4690790712</v>
      </c>
      <c r="AV142">
        <f t="shared" si="377"/>
        <v>2591965.9614442922</v>
      </c>
      <c r="AW142">
        <f t="shared" si="378"/>
        <v>2925953.1489107818</v>
      </c>
      <c r="AX142">
        <f t="shared" si="379"/>
        <v>3290010.7929788423</v>
      </c>
      <c r="AY142">
        <f t="shared" si="380"/>
        <v>3686846.2800218449</v>
      </c>
      <c r="AZ142">
        <f t="shared" si="381"/>
        <v>4119410.7552982271</v>
      </c>
      <c r="BA142">
        <f t="shared" si="382"/>
        <v>4590921.0697244573</v>
      </c>
      <c r="BB142">
        <f t="shared" si="383"/>
        <v>5104883.7026204467</v>
      </c>
      <c r="BC142">
        <f t="shared" si="384"/>
        <v>5665120.8383336393</v>
      </c>
      <c r="BD142">
        <f t="shared" si="385"/>
        <v>6275798.7906657131</v>
      </c>
      <c r="BE142">
        <f t="shared" si="386"/>
        <v>6941458.9864857346</v>
      </c>
      <c r="BF142">
        <f t="shared" si="387"/>
        <v>7667051.7389455447</v>
      </c>
      <c r="BG142">
        <f t="shared" si="388"/>
        <v>8457973.0614584982</v>
      </c>
      <c r="BH142">
        <f t="shared" si="389"/>
        <v>9320104.7962159924</v>
      </c>
      <c r="BI142">
        <f t="shared" si="390"/>
        <v>10259858.355665378</v>
      </c>
      <c r="BJ142">
        <f t="shared" si="391"/>
        <v>11284222.4022414</v>
      </c>
    </row>
    <row r="143" spans="1:62" x14ac:dyDescent="0.3">
      <c r="D143">
        <f t="shared" si="337"/>
        <v>99664.745767265718</v>
      </c>
      <c r="E143">
        <f t="shared" si="394"/>
        <v>206428.06273834803</v>
      </c>
      <c r="F143">
        <f t="shared" si="394"/>
        <v>320795.54306368809</v>
      </c>
      <c r="G143">
        <f>(G142+8000)*1.00721-(0.00125*(G142+8000))</f>
        <v>443754.88832886232</v>
      </c>
      <c r="H143">
        <f t="shared" si="392"/>
        <v>576355.07386874675</v>
      </c>
      <c r="I143">
        <f t="shared" si="392"/>
        <v>718755.95553900301</v>
      </c>
      <c r="J143">
        <f t="shared" si="393"/>
        <v>872748.88014117023</v>
      </c>
      <c r="K143">
        <f t="shared" si="395"/>
        <v>1039544.3017588152</v>
      </c>
      <c r="L143">
        <f t="shared" si="395"/>
        <v>1219117.0777480071</v>
      </c>
      <c r="M143">
        <f t="shared" si="395"/>
        <v>1412446.0166584831</v>
      </c>
      <c r="N143">
        <f>(N142+8000)*1.00721-(0.000833*(N142+8000))</f>
        <v>1621250.1288145501</v>
      </c>
      <c r="O143">
        <f t="shared" si="348"/>
        <v>1849833.6807002453</v>
      </c>
      <c r="P143">
        <f t="shared" si="349"/>
        <v>2096536.1006743712</v>
      </c>
      <c r="Q143">
        <f t="shared" si="350"/>
        <v>2362793.596102233</v>
      </c>
      <c r="R143">
        <f t="shared" si="351"/>
        <v>2650156.2165376274</v>
      </c>
      <c r="S143">
        <f t="shared" si="352"/>
        <v>2960296.8775199568</v>
      </c>
      <c r="T143">
        <f t="shared" si="353"/>
        <v>3295021.0996502363</v>
      </c>
      <c r="U143">
        <f t="shared" si="354"/>
        <v>3638363.0244281171</v>
      </c>
      <c r="V143">
        <f t="shared" si="355"/>
        <v>4007081.9112356077</v>
      </c>
      <c r="W143" s="3">
        <f t="shared" si="356"/>
        <v>4403053.412754124</v>
      </c>
      <c r="X143">
        <f t="shared" si="357"/>
        <v>4828291.8142160261</v>
      </c>
      <c r="Y143">
        <f t="shared" si="358"/>
        <v>5284960.279962712</v>
      </c>
      <c r="Z143">
        <f t="shared" si="359"/>
        <v>5775381.8573425664</v>
      </c>
      <c r="AA143">
        <f t="shared" si="360"/>
        <v>6302051.2939249361</v>
      </c>
      <c r="AB143" s="3">
        <f t="shared" si="361"/>
        <v>6867647.7281437097</v>
      </c>
      <c r="AC143">
        <f t="shared" si="362"/>
        <v>7475048.3179270523</v>
      </c>
      <c r="AD143">
        <f t="shared" si="363"/>
        <v>8127342.8766414141</v>
      </c>
      <c r="AE143">
        <f t="shared" si="364"/>
        <v>8827849.5908020549</v>
      </c>
      <c r="AI143">
        <f t="shared" si="340"/>
        <v>100620.15160024025</v>
      </c>
      <c r="AJ143">
        <f t="shared" si="365"/>
        <v>210299.61450188226</v>
      </c>
      <c r="AK143">
        <f t="shared" si="366"/>
        <v>329854.04163279827</v>
      </c>
      <c r="AL143">
        <f t="shared" si="367"/>
        <v>460172.52303728322</v>
      </c>
      <c r="AM143">
        <f t="shared" si="368"/>
        <v>602224.19776927994</v>
      </c>
      <c r="AN143">
        <f t="shared" si="369"/>
        <v>757065.46108583128</v>
      </c>
      <c r="AO143">
        <f t="shared" si="370"/>
        <v>925847.82053847332</v>
      </c>
      <c r="AP143">
        <f t="shared" si="371"/>
        <v>1109826.4593859371</v>
      </c>
      <c r="AQ143">
        <f t="shared" si="372"/>
        <v>1310369.5710116681</v>
      </c>
      <c r="AR143">
        <f t="shared" si="373"/>
        <v>1528968.5337633966</v>
      </c>
      <c r="AS143">
        <f t="shared" si="374"/>
        <v>1767249.0018819557</v>
      </c>
      <c r="AT143">
        <f t="shared" si="375"/>
        <v>2026982.9949992241</v>
      </c>
      <c r="AU143">
        <f t="shared" si="376"/>
        <v>2310102.0761111313</v>
      </c>
      <c r="AV143">
        <f t="shared" si="377"/>
        <v>2618711.7160263052</v>
      </c>
      <c r="AW143">
        <f t="shared" si="378"/>
        <v>2955106.9511144282</v>
      </c>
      <c r="AX143">
        <f t="shared" si="379"/>
        <v>3321789.4507962195</v>
      </c>
      <c r="AY143">
        <f t="shared" si="380"/>
        <v>3721486.1217008024</v>
      </c>
      <c r="AZ143">
        <f t="shared" si="381"/>
        <v>4157169.3868439272</v>
      </c>
      <c r="BA143">
        <f t="shared" si="382"/>
        <v>4632079.29063717</v>
      </c>
      <c r="BB143" s="3">
        <f t="shared" si="383"/>
        <v>5149747.5941163395</v>
      </c>
      <c r="BC143">
        <f t="shared" si="384"/>
        <v>5714024.0395780243</v>
      </c>
      <c r="BD143">
        <f t="shared" si="385"/>
        <v>6329104.9799464121</v>
      </c>
      <c r="BE143">
        <f t="shared" si="386"/>
        <v>6999564.585778296</v>
      </c>
      <c r="BF143">
        <f t="shared" si="387"/>
        <v>7730388.8619833412</v>
      </c>
      <c r="BG143" s="3">
        <f t="shared" si="388"/>
        <v>8527012.7272316143</v>
      </c>
      <c r="BH143">
        <f t="shared" si="389"/>
        <v>9395360.4317967091</v>
      </c>
      <c r="BI143">
        <f t="shared" si="390"/>
        <v>10341889.614409724</v>
      </c>
      <c r="BJ143">
        <f t="shared" si="391"/>
        <v>11373639.325761558</v>
      </c>
    </row>
    <row r="146" spans="1:62" x14ac:dyDescent="0.3">
      <c r="D146" t="s">
        <v>64</v>
      </c>
      <c r="AI146" t="s">
        <v>64</v>
      </c>
      <c r="AJ146" t="s">
        <v>66</v>
      </c>
    </row>
    <row r="147" spans="1:62" x14ac:dyDescent="0.3">
      <c r="D147" t="s">
        <v>65</v>
      </c>
      <c r="AI147" t="s">
        <v>65</v>
      </c>
    </row>
    <row r="148" spans="1:62" x14ac:dyDescent="0.3">
      <c r="D148" t="s">
        <v>77</v>
      </c>
      <c r="AI148" t="s">
        <v>77</v>
      </c>
    </row>
    <row r="149" spans="1:62" x14ac:dyDescent="0.3">
      <c r="D149" t="s">
        <v>15</v>
      </c>
      <c r="E149" t="s">
        <v>16</v>
      </c>
      <c r="F149" t="s">
        <v>17</v>
      </c>
      <c r="G149" t="s">
        <v>18</v>
      </c>
      <c r="H149" t="s">
        <v>19</v>
      </c>
      <c r="I149" t="s">
        <v>20</v>
      </c>
      <c r="J149" t="s">
        <v>21</v>
      </c>
      <c r="K149" t="s">
        <v>22</v>
      </c>
      <c r="L149" t="s">
        <v>23</v>
      </c>
      <c r="M149" t="s">
        <v>24</v>
      </c>
      <c r="N149" t="s">
        <v>25</v>
      </c>
      <c r="O149" t="s">
        <v>26</v>
      </c>
      <c r="P149" t="s">
        <v>27</v>
      </c>
      <c r="Q149" t="s">
        <v>28</v>
      </c>
      <c r="R149" t="s">
        <v>29</v>
      </c>
      <c r="S149" t="s">
        <v>30</v>
      </c>
      <c r="T149" t="s">
        <v>31</v>
      </c>
      <c r="U149" t="s">
        <v>32</v>
      </c>
      <c r="V149" t="s">
        <v>33</v>
      </c>
      <c r="W149" t="s">
        <v>34</v>
      </c>
      <c r="X149" t="s">
        <v>35</v>
      </c>
      <c r="Y149" t="s">
        <v>36</v>
      </c>
      <c r="Z149" t="s">
        <v>37</v>
      </c>
      <c r="AA149" t="s">
        <v>38</v>
      </c>
      <c r="AB149" t="s">
        <v>39</v>
      </c>
      <c r="AC149" t="s">
        <v>67</v>
      </c>
      <c r="AD149" t="s">
        <v>68</v>
      </c>
      <c r="AE149" t="s">
        <v>69</v>
      </c>
      <c r="AI149" t="s">
        <v>15</v>
      </c>
      <c r="AJ149" t="s">
        <v>16</v>
      </c>
      <c r="AK149" t="s">
        <v>17</v>
      </c>
      <c r="AL149" t="s">
        <v>18</v>
      </c>
      <c r="AM149" t="s">
        <v>19</v>
      </c>
      <c r="AN149" t="s">
        <v>20</v>
      </c>
      <c r="AO149" t="s">
        <v>21</v>
      </c>
      <c r="AP149" t="s">
        <v>22</v>
      </c>
      <c r="AQ149" t="s">
        <v>23</v>
      </c>
      <c r="AR149" t="s">
        <v>24</v>
      </c>
      <c r="AS149" t="s">
        <v>25</v>
      </c>
      <c r="AT149" t="s">
        <v>26</v>
      </c>
      <c r="AU149" t="s">
        <v>27</v>
      </c>
      <c r="AV149" t="s">
        <v>28</v>
      </c>
      <c r="AW149" t="s">
        <v>29</v>
      </c>
      <c r="AX149" t="s">
        <v>30</v>
      </c>
      <c r="AY149" t="s">
        <v>31</v>
      </c>
      <c r="AZ149" t="s">
        <v>32</v>
      </c>
      <c r="BA149" t="s">
        <v>33</v>
      </c>
      <c r="BB149" t="s">
        <v>34</v>
      </c>
      <c r="BC149" t="s">
        <v>35</v>
      </c>
      <c r="BD149" t="s">
        <v>36</v>
      </c>
      <c r="BE149" t="s">
        <v>37</v>
      </c>
      <c r="BF149" t="s">
        <v>38</v>
      </c>
      <c r="BG149" t="s">
        <v>39</v>
      </c>
      <c r="BH149" t="s">
        <v>67</v>
      </c>
      <c r="BI149" t="s">
        <v>68</v>
      </c>
      <c r="BJ149" t="s">
        <v>69</v>
      </c>
    </row>
    <row r="150" spans="1:62" x14ac:dyDescent="0.3">
      <c r="D150">
        <v>0</v>
      </c>
      <c r="AI150">
        <v>0</v>
      </c>
    </row>
    <row r="151" spans="1:62" x14ac:dyDescent="0.3">
      <c r="D151">
        <f t="shared" ref="D151:D162" si="396">(D150+8000)*1.00798-(0.00146*(D150+8000))</f>
        <v>8052.1600000000008</v>
      </c>
      <c r="E151">
        <f>(D162+8000)*1.00798-(0.00146*(D162+8000))</f>
        <v>108872.59907285086</v>
      </c>
      <c r="F151">
        <f>(E162+8000)*1.00798-(0.00146*(E162+8000))</f>
        <v>217870.33868820712</v>
      </c>
      <c r="G151">
        <f>(F162+8000)*1.00798-(0.00146*(F162+8000))</f>
        <v>335708.61979976227</v>
      </c>
      <c r="H151">
        <f>(G162+8000)*1.00798-(0.00125*(G162+8000))</f>
        <v>463659.07185731159</v>
      </c>
      <c r="I151">
        <f>(H162+8000)*1.00798-(0.00125*(H162+8000))</f>
        <v>602826.69339497469</v>
      </c>
      <c r="J151">
        <f>(I162+8000)*1.00798-(0.00125*(I162+8000))</f>
        <v>753658.98571633489</v>
      </c>
      <c r="K151">
        <f>(J162+8000)*1.00798-(0.00104*(J162+8000))</f>
        <v>918795.37145211268</v>
      </c>
      <c r="L151">
        <f>(K162+8000)*1.00798-(0.00104*(K162+8000))</f>
        <v>1098744.6404116284</v>
      </c>
      <c r="M151">
        <f>(L162+8000)*1.00798-(0.00104*(L162+8000))</f>
        <v>1294265.5485200298</v>
      </c>
      <c r="N151">
        <f>(M162+8000)*1.00798-(0.00104*(M162+8000))</f>
        <v>1506705.5641342883</v>
      </c>
      <c r="O151">
        <f t="shared" ref="O151:T151" si="397">(N162+8000)*1.00798-(0.000833*(N162+8000))</f>
        <v>1740341.2644090778</v>
      </c>
      <c r="P151">
        <f t="shared" si="397"/>
        <v>1996187.7871003724</v>
      </c>
      <c r="Q151">
        <f t="shared" si="397"/>
        <v>2274860.1370556536</v>
      </c>
      <c r="R151">
        <f t="shared" si="397"/>
        <v>2578394.7632553633</v>
      </c>
      <c r="S151">
        <f t="shared" si="397"/>
        <v>2909009.8002943206</v>
      </c>
      <c r="T151">
        <f t="shared" si="397"/>
        <v>3269121.2778044781</v>
      </c>
      <c r="U151">
        <f t="shared" ref="U151:AE151" si="398">(T162+8000)*1.00798-(0.00125*(T162+8000))</f>
        <v>3659844.8231037124</v>
      </c>
      <c r="V151">
        <f t="shared" si="398"/>
        <v>4066908.4835324627</v>
      </c>
      <c r="W151">
        <f t="shared" si="398"/>
        <v>4508091.1691658171</v>
      </c>
      <c r="X151">
        <f t="shared" si="398"/>
        <v>4986252.648620029</v>
      </c>
      <c r="Y151">
        <f t="shared" si="398"/>
        <v>5504492.3889344344</v>
      </c>
      <c r="Z151">
        <f t="shared" si="398"/>
        <v>6066169.6464745011</v>
      </c>
      <c r="AA151">
        <f t="shared" si="398"/>
        <v>6674925.2418025117</v>
      </c>
      <c r="AB151">
        <f t="shared" si="398"/>
        <v>7334705.1596617037</v>
      </c>
      <c r="AC151">
        <f t="shared" si="398"/>
        <v>8049786.1270501455</v>
      </c>
      <c r="AD151">
        <f t="shared" si="398"/>
        <v>8824803.3351827525</v>
      </c>
      <c r="AE151">
        <f t="shared" si="398"/>
        <v>9664780.4850365799</v>
      </c>
      <c r="AI151">
        <f t="shared" ref="AI151:AI162" si="399">(AI150+8000)*1.00798-0</f>
        <v>8063.8400000000011</v>
      </c>
      <c r="AJ151">
        <f t="shared" ref="AJ151:BJ151" si="400">(AI162+8000)*1.00798-0</f>
        <v>109999.01247943658</v>
      </c>
      <c r="AK151">
        <f t="shared" si="400"/>
        <v>222135.524396022</v>
      </c>
      <c r="AL151">
        <f t="shared" si="400"/>
        <v>345494.29251264222</v>
      </c>
      <c r="AM151">
        <f t="shared" si="400"/>
        <v>481198.40361045988</v>
      </c>
      <c r="AN151">
        <f t="shared" si="400"/>
        <v>630483.33933095296</v>
      </c>
      <c r="AO151">
        <f t="shared" si="400"/>
        <v>794708.22428677906</v>
      </c>
      <c r="AP151">
        <f t="shared" si="400"/>
        <v>975368.19984687166</v>
      </c>
      <c r="AQ151">
        <f t="shared" si="400"/>
        <v>1174108.0362495724</v>
      </c>
      <c r="AR151">
        <f t="shared" si="400"/>
        <v>1392737.1069716278</v>
      </c>
      <c r="AS151">
        <f t="shared" si="400"/>
        <v>1633245.8616831722</v>
      </c>
      <c r="AT151">
        <f t="shared" si="400"/>
        <v>1897823.9477622919</v>
      </c>
      <c r="AU151">
        <f t="shared" si="400"/>
        <v>2188880.1453516334</v>
      </c>
      <c r="AV151">
        <f t="shared" si="400"/>
        <v>2509064.2974504316</v>
      </c>
      <c r="AW151">
        <f t="shared" si="400"/>
        <v>2861291.4346985854</v>
      </c>
      <c r="AX151">
        <f t="shared" si="400"/>
        <v>3248768.3144903979</v>
      </c>
      <c r="AY151">
        <f t="shared" si="400"/>
        <v>3675022.6160362279</v>
      </c>
      <c r="AZ151">
        <f t="shared" si="400"/>
        <v>4143935.0571706374</v>
      </c>
      <c r="BA151">
        <f t="shared" si="400"/>
        <v>4659774.7253059065</v>
      </c>
      <c r="BB151">
        <f t="shared" si="400"/>
        <v>5227237.9441920761</v>
      </c>
      <c r="BC151">
        <f t="shared" si="400"/>
        <v>5851491.0303355232</v>
      </c>
      <c r="BD151">
        <f t="shared" si="400"/>
        <v>6538217.3283403786</v>
      </c>
      <c r="BE151">
        <f t="shared" si="400"/>
        <v>7293668.9533934351</v>
      </c>
      <c r="BF151">
        <f t="shared" si="400"/>
        <v>8124723.7119681081</v>
      </c>
      <c r="BG151">
        <f t="shared" si="400"/>
        <v>9038947.7189667057</v>
      </c>
      <c r="BH151">
        <f t="shared" si="400"/>
        <v>10044664.281381978</v>
      </c>
      <c r="BI151">
        <f t="shared" si="400"/>
        <v>11151029.67561073</v>
      </c>
      <c r="BJ151">
        <f t="shared" si="400"/>
        <v>12368116.508313714</v>
      </c>
    </row>
    <row r="152" spans="1:62" x14ac:dyDescent="0.3">
      <c r="D152">
        <f t="shared" si="396"/>
        <v>16156.820083200002</v>
      </c>
      <c r="E152">
        <f t="shared" ref="E152:G157" si="401">(E151+8000)*1.00798-(0.00146*(E151+8000))</f>
        <v>117634.60841880587</v>
      </c>
      <c r="F152">
        <f t="shared" si="401"/>
        <v>227343.01329645424</v>
      </c>
      <c r="G152">
        <f t="shared" si="401"/>
        <v>345949.60000085674</v>
      </c>
      <c r="H152">
        <f t="shared" ref="H152:J154" si="402">(H151+8000)*1.00798-(0.00125*(H151+8000))</f>
        <v>474833.33741091134</v>
      </c>
      <c r="I152">
        <f t="shared" si="402"/>
        <v>614937.55704152293</v>
      </c>
      <c r="J152">
        <f t="shared" si="402"/>
        <v>766784.95069020591</v>
      </c>
      <c r="K152">
        <f t="shared" ref="K152:N155" si="403">(K151+8000)*1.00798-(0.00104*(K151+8000))</f>
        <v>933227.33132999041</v>
      </c>
      <c r="L152">
        <f t="shared" si="403"/>
        <v>1114425.4482160851</v>
      </c>
      <c r="M152">
        <f t="shared" si="403"/>
        <v>1311303.271426759</v>
      </c>
      <c r="N152">
        <f t="shared" si="403"/>
        <v>1525217.6207493804</v>
      </c>
      <c r="O152">
        <f t="shared" ref="O152:O162" si="404">(O151+8000)*1.00798-(0.000833*(O151+8000))</f>
        <v>1760836.6594258095</v>
      </c>
      <c r="P152">
        <f t="shared" ref="P152:P162" si="405">(P151+8000)*1.00798-(0.000833*(P151+8000))</f>
        <v>2018511.717214779</v>
      </c>
      <c r="Q152">
        <f t="shared" ref="Q152:Q162" si="406">(Q151+8000)*1.00798-(0.000833*(Q151+8000))</f>
        <v>2299175.7384551908</v>
      </c>
      <c r="R152">
        <f t="shared" ref="R152:R162" si="407">(R151+8000)*1.00798-(0.000833*(R151+8000))</f>
        <v>2604879.7266283496</v>
      </c>
      <c r="S152">
        <f t="shared" ref="S152:S162" si="408">(S151+8000)*1.00798-(0.000833*(S151+8000))</f>
        <v>2937857.6693370244</v>
      </c>
      <c r="T152">
        <f t="shared" ref="T152:T162" si="409">(T151+8000)*1.00798-(0.000833*(T151+8000))</f>
        <v>3300542.8635769472</v>
      </c>
      <c r="U152">
        <f t="shared" ref="U152:U162" si="410">(U151+8000)*1.00798-(0.00125*(U151+8000))</f>
        <v>3692529.4187632008</v>
      </c>
      <c r="V152">
        <f t="shared" ref="V152:V162" si="411">(V151+8000)*1.00798-(0.00125*(V151+8000))</f>
        <v>4102332.6176266368</v>
      </c>
      <c r="W152">
        <f t="shared" ref="W152:W162" si="412">(W151+8000)*1.00798-(0.00125*(W151+8000))</f>
        <v>4546484.4627343034</v>
      </c>
      <c r="X152">
        <f t="shared" ref="X152:X162" si="413">(X151+8000)*1.00798-(0.00125*(X151+8000))</f>
        <v>5027863.9689452415</v>
      </c>
      <c r="Y152">
        <f t="shared" ref="Y152:Y162" si="414">(Y151+8000)*1.00798-(0.00125*(Y151+8000))</f>
        <v>5549591.4627119638</v>
      </c>
      <c r="Z152">
        <f t="shared" ref="Z152:Z162" si="415">(Z151+8000)*1.00798-(0.00125*(Z151+8000))</f>
        <v>6115048.8081952753</v>
      </c>
      <c r="AA152">
        <f t="shared" ref="AA152:AA162" si="416">(AA151+8000)*1.00798-(0.00125*(AA151+8000))</f>
        <v>6727901.3286798429</v>
      </c>
      <c r="AB152">
        <f t="shared" ref="AB152:AB162" si="417">(AB151+8000)*1.00798-(0.00125*(AB151+8000))</f>
        <v>7392121.5653862273</v>
      </c>
      <c r="AC152">
        <f t="shared" ref="AC152:AC162" si="418">(AC151+8000)*1.00798-(0.00125*(AC151+8000))</f>
        <v>8112015.0276851933</v>
      </c>
      <c r="AD152">
        <f t="shared" ref="AD152:AD162" si="419">(AD151+8000)*1.00798-(0.00125*(AD151+8000))</f>
        <v>8892248.1016285345</v>
      </c>
      <c r="AE152">
        <f t="shared" ref="AE152:AE162" si="420">(AE151+8000)*1.00798-(0.00125*(AE151+8000))</f>
        <v>9737878.2977008764</v>
      </c>
      <c r="AI152">
        <f t="shared" si="399"/>
        <v>16192.029443200001</v>
      </c>
      <c r="AJ152">
        <f t="shared" ref="AJ152:AJ162" si="421">(AJ151+8000)*1.00798-0</f>
        <v>118940.6445990225</v>
      </c>
      <c r="AK152">
        <f t="shared" ref="AK152:AK162" si="422">(AK151+8000)*1.00798-0</f>
        <v>231972.00588070229</v>
      </c>
      <c r="AL152">
        <f t="shared" ref="AL152:AL162" si="423">(AL151+8000)*1.00798-0</f>
        <v>356315.17696689314</v>
      </c>
      <c r="AM152">
        <f t="shared" ref="AM152:AM162" si="424">(AM151+8000)*1.00798-0</f>
        <v>493102.20687127142</v>
      </c>
      <c r="AN152">
        <f t="shared" ref="AN152:AN162" si="425">(AN151+8000)*1.00798-0</f>
        <v>643578.43637881405</v>
      </c>
      <c r="AO152">
        <f t="shared" ref="AO152:AO162" si="426">(AO151+8000)*1.00798-0</f>
        <v>809113.83591658762</v>
      </c>
      <c r="AP152">
        <f t="shared" ref="AP152:AP162" si="427">(AP151+8000)*1.00798-0</f>
        <v>991215.47808164975</v>
      </c>
      <c r="AQ152">
        <f t="shared" ref="AQ152:AQ162" si="428">(AQ151+8000)*1.00798-0</f>
        <v>1191541.258378844</v>
      </c>
      <c r="AR152">
        <f t="shared" ref="AR152:AR162" si="429">(AR151+8000)*1.00798-0</f>
        <v>1411914.9890852615</v>
      </c>
      <c r="AS152">
        <f t="shared" ref="AS152:AS162" si="430">(AS151+8000)*1.00798-0</f>
        <v>1654343.0036594041</v>
      </c>
      <c r="AT152">
        <f t="shared" ref="AT152:AT162" si="431">(AT151+8000)*1.00798-0</f>
        <v>1921032.4228654352</v>
      </c>
      <c r="AU152">
        <f t="shared" ref="AU152:AU162" si="432">(AU151+8000)*1.00798-0</f>
        <v>2214411.2489115396</v>
      </c>
      <c r="AV152">
        <f t="shared" ref="AV152:AV162" si="433">(AV151+8000)*1.00798-0</f>
        <v>2537150.4705440863</v>
      </c>
      <c r="AW152">
        <f t="shared" ref="AW152:AW162" si="434">(AW151+8000)*1.00798-0</f>
        <v>2892188.3803474805</v>
      </c>
      <c r="AX152">
        <f t="shared" ref="AX152:AX162" si="435">(AX151+8000)*1.00798-0</f>
        <v>3282757.3256400316</v>
      </c>
      <c r="AY152">
        <f t="shared" ref="AY152:AY162" si="436">(AY151+8000)*1.00798-0</f>
        <v>3712413.1365121976</v>
      </c>
      <c r="AZ152">
        <f t="shared" ref="AZ152:AZ162" si="437">(AZ151+8000)*1.00798-0</f>
        <v>4185067.4989268593</v>
      </c>
      <c r="BA152">
        <f t="shared" ref="BA152:BA162" si="438">(BA151+8000)*1.00798-0</f>
        <v>4705023.5676138485</v>
      </c>
      <c r="BB152">
        <f t="shared" ref="BB152:BB162" si="439">(BB151+8000)*1.00798-0</f>
        <v>5277015.1429867297</v>
      </c>
      <c r="BC152">
        <f t="shared" ref="BC152:BC162" si="440">(BC151+8000)*1.00798-0</f>
        <v>5906249.7687576013</v>
      </c>
      <c r="BD152">
        <f t="shared" ref="BD152:BD162" si="441">(BD151+8000)*1.00798-0</f>
        <v>6598456.1426205356</v>
      </c>
      <c r="BE152">
        <f t="shared" ref="BE152:BE162" si="442">(BE151+8000)*1.00798-0</f>
        <v>7359936.2716415152</v>
      </c>
      <c r="BF152">
        <f t="shared" ref="BF152:BF162" si="443">(BF151+8000)*1.00798-0</f>
        <v>8197622.8471896145</v>
      </c>
      <c r="BG152">
        <f t="shared" ref="BG152:BG162" si="444">(BG151+8000)*1.00798-0</f>
        <v>9119142.3617640603</v>
      </c>
      <c r="BH152">
        <f t="shared" ref="BH152:BH162" si="445">(BH151+8000)*1.00798-0</f>
        <v>10132884.542347407</v>
      </c>
      <c r="BI152">
        <f t="shared" ref="BI152:BI162" si="446">(BI151+8000)*1.00798-0</f>
        <v>11248078.732422106</v>
      </c>
      <c r="BJ152">
        <f t="shared" ref="BJ152:BJ162" si="447">(BJ151+8000)*1.00798-0</f>
        <v>12474877.918050058</v>
      </c>
    </row>
    <row r="153" spans="1:62" x14ac:dyDescent="0.3">
      <c r="A153">
        <f>0.0175/12</f>
        <v>1.4583333333333334E-3</v>
      </c>
      <c r="B153">
        <v>1.75</v>
      </c>
      <c r="D153">
        <f t="shared" si="396"/>
        <v>24314.322550142468</v>
      </c>
      <c r="E153">
        <f t="shared" si="401"/>
        <v>126453.7460656965</v>
      </c>
      <c r="F153">
        <f t="shared" si="401"/>
        <v>236877.44974314715</v>
      </c>
      <c r="G153">
        <f t="shared" si="401"/>
        <v>356257.35139286233</v>
      </c>
      <c r="H153">
        <f t="shared" si="402"/>
        <v>486082.80577168684</v>
      </c>
      <c r="I153">
        <f t="shared" si="402"/>
        <v>627129.92680041236</v>
      </c>
      <c r="J153">
        <f t="shared" si="402"/>
        <v>779999.25340835098</v>
      </c>
      <c r="K153">
        <f t="shared" si="403"/>
        <v>947759.4490094207</v>
      </c>
      <c r="L153">
        <f t="shared" si="403"/>
        <v>1130215.0808267049</v>
      </c>
      <c r="M153">
        <f t="shared" si="403"/>
        <v>1328459.2361304609</v>
      </c>
      <c r="N153">
        <f t="shared" si="403"/>
        <v>1543858.1510373813</v>
      </c>
      <c r="O153">
        <f t="shared" si="404"/>
        <v>1781478.5350307261</v>
      </c>
      <c r="P153">
        <f t="shared" si="405"/>
        <v>2040995.1964577131</v>
      </c>
      <c r="Q153">
        <f t="shared" si="406"/>
        <v>2323665.1234579301</v>
      </c>
      <c r="R153">
        <f t="shared" si="407"/>
        <v>2631553.9780345629</v>
      </c>
      <c r="S153">
        <f t="shared" si="408"/>
        <v>2966911.7140997765</v>
      </c>
      <c r="T153">
        <f t="shared" si="409"/>
        <v>3332189.0194229321</v>
      </c>
      <c r="U153">
        <f t="shared" si="410"/>
        <v>3725433.9817514773</v>
      </c>
      <c r="V153">
        <f t="shared" si="411"/>
        <v>4137995.1561432644</v>
      </c>
      <c r="W153">
        <f t="shared" si="412"/>
        <v>4585136.1431685053</v>
      </c>
      <c r="X153">
        <f t="shared" si="413"/>
        <v>5069755.3334562434</v>
      </c>
      <c r="Y153">
        <f t="shared" si="414"/>
        <v>5594994.0532560162</v>
      </c>
      <c r="Z153">
        <f t="shared" si="415"/>
        <v>6164256.9266744303</v>
      </c>
      <c r="AA153">
        <f t="shared" si="416"/>
        <v>6781233.9446218591</v>
      </c>
      <c r="AB153">
        <f t="shared" si="417"/>
        <v>7449924.3835212775</v>
      </c>
      <c r="AC153">
        <f t="shared" si="418"/>
        <v>8174662.7288215151</v>
      </c>
      <c r="AD153">
        <f t="shared" si="419"/>
        <v>8960146.771352496</v>
      </c>
      <c r="AE153">
        <f t="shared" si="420"/>
        <v>9811468.0586444028</v>
      </c>
      <c r="AI153">
        <f t="shared" si="399"/>
        <v>24385.081838156741</v>
      </c>
      <c r="AJ153">
        <f t="shared" si="421"/>
        <v>127953.63094292271</v>
      </c>
      <c r="AK153">
        <f t="shared" si="422"/>
        <v>241886.9824876303</v>
      </c>
      <c r="AL153">
        <f t="shared" si="423"/>
        <v>367222.41207908897</v>
      </c>
      <c r="AM153">
        <f t="shared" si="424"/>
        <v>505101.00248210423</v>
      </c>
      <c r="AN153">
        <f t="shared" si="425"/>
        <v>656778.03230111708</v>
      </c>
      <c r="AO153">
        <f t="shared" si="426"/>
        <v>823634.40432720212</v>
      </c>
      <c r="AP153">
        <f t="shared" si="427"/>
        <v>1007189.2175967414</v>
      </c>
      <c r="AQ153">
        <f t="shared" si="428"/>
        <v>1209113.5976207072</v>
      </c>
      <c r="AR153">
        <f t="shared" si="429"/>
        <v>1431245.9106981619</v>
      </c>
      <c r="AS153">
        <f t="shared" si="430"/>
        <v>1675608.5008286063</v>
      </c>
      <c r="AT153">
        <f t="shared" si="431"/>
        <v>1944426.1015999017</v>
      </c>
      <c r="AU153">
        <f t="shared" si="432"/>
        <v>2240146.0906778537</v>
      </c>
      <c r="AV153">
        <f t="shared" si="433"/>
        <v>2565460.7712990283</v>
      </c>
      <c r="AW153">
        <f t="shared" si="434"/>
        <v>2923331.8836226538</v>
      </c>
      <c r="AX153">
        <f t="shared" si="435"/>
        <v>3317017.5690986393</v>
      </c>
      <c r="AY153">
        <f t="shared" si="436"/>
        <v>3750102.0333415652</v>
      </c>
      <c r="AZ153">
        <f t="shared" si="437"/>
        <v>4226528.177568296</v>
      </c>
      <c r="BA153">
        <f t="shared" si="438"/>
        <v>4750633.4956834074</v>
      </c>
      <c r="BB153">
        <f t="shared" si="439"/>
        <v>5327189.5638277642</v>
      </c>
      <c r="BC153">
        <f t="shared" si="440"/>
        <v>5961445.4819122879</v>
      </c>
      <c r="BD153">
        <f t="shared" si="441"/>
        <v>6659175.6626386484</v>
      </c>
      <c r="BE153">
        <f t="shared" si="442"/>
        <v>7426732.403089215</v>
      </c>
      <c r="BF153">
        <f t="shared" si="443"/>
        <v>8271103.7175101889</v>
      </c>
      <c r="BG153">
        <f t="shared" si="444"/>
        <v>9199976.9578109384</v>
      </c>
      <c r="BH153">
        <f t="shared" si="445"/>
        <v>10221808.800995341</v>
      </c>
      <c r="BI153">
        <f t="shared" si="446"/>
        <v>11345902.240706835</v>
      </c>
      <c r="BJ153">
        <f t="shared" si="447"/>
        <v>12582491.283836098</v>
      </c>
    </row>
    <row r="154" spans="1:62" x14ac:dyDescent="0.3">
      <c r="A154">
        <f>0.015/12</f>
        <v>1.25E-3</v>
      </c>
      <c r="B154">
        <v>1.5</v>
      </c>
      <c r="D154">
        <f t="shared" si="396"/>
        <v>32525.0119331694</v>
      </c>
      <c r="E154">
        <f t="shared" si="401"/>
        <v>135330.38449004485</v>
      </c>
      <c r="F154">
        <f t="shared" si="401"/>
        <v>246474.05071547249</v>
      </c>
      <c r="G154">
        <f t="shared" si="401"/>
        <v>366632.3093239438</v>
      </c>
      <c r="H154">
        <f t="shared" si="402"/>
        <v>497407.98305453028</v>
      </c>
      <c r="I154">
        <f t="shared" si="402"/>
        <v>639404.35120777914</v>
      </c>
      <c r="J154">
        <f t="shared" si="402"/>
        <v>793302.48838378931</v>
      </c>
      <c r="K154">
        <f t="shared" si="403"/>
        <v>962392.41958554613</v>
      </c>
      <c r="L154">
        <f t="shared" si="403"/>
        <v>1146114.2934876424</v>
      </c>
      <c r="M154">
        <f t="shared" si="403"/>
        <v>1345734.2632292064</v>
      </c>
      <c r="N154">
        <f t="shared" si="403"/>
        <v>1562628.046605581</v>
      </c>
      <c r="O154">
        <f t="shared" si="404"/>
        <v>1802267.9381205908</v>
      </c>
      <c r="P154">
        <f t="shared" si="405"/>
        <v>2063639.3651267968</v>
      </c>
      <c r="Q154">
        <f t="shared" si="406"/>
        <v>2348329.5340952841</v>
      </c>
      <c r="R154">
        <f t="shared" si="407"/>
        <v>2658418.870315576</v>
      </c>
      <c r="S154">
        <f t="shared" si="408"/>
        <v>2996173.4081204482</v>
      </c>
      <c r="T154">
        <f t="shared" si="409"/>
        <v>3364061.3503447482</v>
      </c>
      <c r="U154">
        <f t="shared" si="410"/>
        <v>3758559.9924486647</v>
      </c>
      <c r="V154">
        <f t="shared" si="411"/>
        <v>4173897.7035441091</v>
      </c>
      <c r="W154">
        <f t="shared" si="412"/>
        <v>4624047.9494120292</v>
      </c>
      <c r="X154">
        <f t="shared" si="413"/>
        <v>5111928.6268504038</v>
      </c>
      <c r="Y154">
        <f t="shared" si="414"/>
        <v>5640702.2032344304</v>
      </c>
      <c r="Z154">
        <f t="shared" si="415"/>
        <v>6213796.2157909498</v>
      </c>
      <c r="AA154">
        <f t="shared" si="416"/>
        <v>6834925.4890691647</v>
      </c>
      <c r="AB154">
        <f t="shared" si="417"/>
        <v>7508116.2146223765</v>
      </c>
      <c r="AC154">
        <f t="shared" si="418"/>
        <v>8237732.0489864843</v>
      </c>
      <c r="AD154">
        <f t="shared" si="419"/>
        <v>9028502.3991237003</v>
      </c>
      <c r="AE154">
        <f t="shared" si="420"/>
        <v>9885553.0786790811</v>
      </c>
      <c r="AI154">
        <f t="shared" si="399"/>
        <v>32643.514791225236</v>
      </c>
      <c r="AJ154">
        <f t="shared" si="421"/>
        <v>137038.54091784728</v>
      </c>
      <c r="AK154">
        <f t="shared" si="422"/>
        <v>251881.08060788162</v>
      </c>
      <c r="AL154">
        <f t="shared" si="423"/>
        <v>378216.68692748016</v>
      </c>
      <c r="AM154">
        <f t="shared" si="424"/>
        <v>517195.54848191148</v>
      </c>
      <c r="AN154">
        <f t="shared" si="425"/>
        <v>670082.96099888009</v>
      </c>
      <c r="AO154">
        <f t="shared" si="426"/>
        <v>838270.84687373333</v>
      </c>
      <c r="AP154">
        <f t="shared" si="427"/>
        <v>1023290.4275531635</v>
      </c>
      <c r="AQ154">
        <f t="shared" si="428"/>
        <v>1226826.1641297205</v>
      </c>
      <c r="AR154">
        <f t="shared" si="429"/>
        <v>1450731.0930655333</v>
      </c>
      <c r="AS154">
        <f t="shared" si="430"/>
        <v>1697043.6966652188</v>
      </c>
      <c r="AT154">
        <f t="shared" si="431"/>
        <v>1968006.4618906691</v>
      </c>
      <c r="AU154">
        <f t="shared" si="432"/>
        <v>2266086.2964814631</v>
      </c>
      <c r="AV154">
        <f t="shared" si="433"/>
        <v>2593996.9882539948</v>
      </c>
      <c r="AW154">
        <f t="shared" si="434"/>
        <v>2954723.9120539627</v>
      </c>
      <c r="AX154">
        <f t="shared" si="435"/>
        <v>3351551.2093000468</v>
      </c>
      <c r="AY154">
        <f t="shared" si="436"/>
        <v>3788091.6875676312</v>
      </c>
      <c r="AZ154">
        <f t="shared" si="437"/>
        <v>4268319.7124252915</v>
      </c>
      <c r="BA154">
        <f t="shared" si="438"/>
        <v>4796607.3909789613</v>
      </c>
      <c r="BB154">
        <f t="shared" si="439"/>
        <v>5377764.3765471103</v>
      </c>
      <c r="BC154">
        <f t="shared" si="440"/>
        <v>6017081.6568579488</v>
      </c>
      <c r="BD154">
        <f t="shared" si="441"/>
        <v>6720379.7244265052</v>
      </c>
      <c r="BE154">
        <f t="shared" si="442"/>
        <v>7494061.5676658675</v>
      </c>
      <c r="BF154">
        <f t="shared" si="443"/>
        <v>8345170.9651759211</v>
      </c>
      <c r="BG154">
        <f t="shared" si="444"/>
        <v>9281456.613934271</v>
      </c>
      <c r="BH154">
        <f t="shared" si="445"/>
        <v>10311442.675227284</v>
      </c>
      <c r="BI154">
        <f t="shared" si="446"/>
        <v>11444506.380587677</v>
      </c>
      <c r="BJ154">
        <f t="shared" si="447"/>
        <v>12690963.404281111</v>
      </c>
    </row>
    <row r="155" spans="1:62" x14ac:dyDescent="0.3">
      <c r="A155">
        <f>0.0125/12</f>
        <v>1.0416666666666667E-3</v>
      </c>
      <c r="B155">
        <v>1.25</v>
      </c>
      <c r="D155">
        <f t="shared" si="396"/>
        <v>40789.235010973673</v>
      </c>
      <c r="E155">
        <f t="shared" si="401"/>
        <v>144264.89859691996</v>
      </c>
      <c r="F155">
        <f t="shared" si="401"/>
        <v>256133.22152613741</v>
      </c>
      <c r="G155">
        <f t="shared" si="401"/>
        <v>377074.91198073595</v>
      </c>
      <c r="H155">
        <f t="shared" ref="H155:I162" si="448">(H154+8000)*1.00798-(0.00125*(H154+8000))</f>
        <v>508809.37878048728</v>
      </c>
      <c r="I155">
        <f t="shared" si="448"/>
        <v>651761.38249140757</v>
      </c>
      <c r="J155">
        <f t="shared" ref="J155:J162" si="449">(J154+8000)*1.00798-(0.00104*(J154+8000))</f>
        <v>806863.52765317285</v>
      </c>
      <c r="K155">
        <f t="shared" si="403"/>
        <v>977126.94297746988</v>
      </c>
      <c r="L155">
        <f t="shared" si="403"/>
        <v>1162123.8466844468</v>
      </c>
      <c r="M155">
        <f t="shared" si="403"/>
        <v>1363129.1790160171</v>
      </c>
      <c r="N155">
        <f t="shared" si="403"/>
        <v>1581528.2052490239</v>
      </c>
      <c r="O155">
        <f t="shared" si="404"/>
        <v>1823205.9230743388</v>
      </c>
      <c r="P155">
        <f t="shared" si="405"/>
        <v>2086445.3716693583</v>
      </c>
      <c r="Q155">
        <f t="shared" si="406"/>
        <v>2373170.2212754632</v>
      </c>
      <c r="R155">
        <f t="shared" si="407"/>
        <v>2685475.7659817217</v>
      </c>
      <c r="S155">
        <f t="shared" si="408"/>
        <v>3025644.2354682852</v>
      </c>
      <c r="T155">
        <f t="shared" si="409"/>
        <v>3396161.4728156626</v>
      </c>
      <c r="U155">
        <f t="shared" si="410"/>
        <v>3791908.9411978447</v>
      </c>
      <c r="V155">
        <f t="shared" si="411"/>
        <v>4210041.8750889618</v>
      </c>
      <c r="W155">
        <f t="shared" si="412"/>
        <v>4663221.6321115727</v>
      </c>
      <c r="X155">
        <f t="shared" si="413"/>
        <v>5154385.7465091078</v>
      </c>
      <c r="Y155">
        <f t="shared" si="414"/>
        <v>5686717.9690621989</v>
      </c>
      <c r="Z155">
        <f t="shared" si="415"/>
        <v>6263668.904323223</v>
      </c>
      <c r="AA155">
        <f t="shared" si="416"/>
        <v>6888978.3776106006</v>
      </c>
      <c r="AB155">
        <f t="shared" si="417"/>
        <v>7566699.6767467856</v>
      </c>
      <c r="AC155">
        <f t="shared" si="418"/>
        <v>8301225.8256761637</v>
      </c>
      <c r="AD155">
        <f t="shared" si="419"/>
        <v>9097318.0602698028</v>
      </c>
      <c r="AE155">
        <f t="shared" si="420"/>
        <v>9960136.6908985917</v>
      </c>
      <c r="AI155">
        <f t="shared" si="399"/>
        <v>40967.850039259218</v>
      </c>
      <c r="AJ155">
        <f t="shared" si="421"/>
        <v>146195.94847437172</v>
      </c>
      <c r="AK155">
        <f t="shared" si="422"/>
        <v>261954.93163113255</v>
      </c>
      <c r="AL155">
        <f t="shared" si="423"/>
        <v>389298.6960891615</v>
      </c>
      <c r="AM155">
        <f t="shared" si="424"/>
        <v>529386.60895879718</v>
      </c>
      <c r="AN155">
        <f t="shared" si="425"/>
        <v>683494.06302765128</v>
      </c>
      <c r="AO155">
        <f t="shared" si="426"/>
        <v>853024.0882317858</v>
      </c>
      <c r="AP155">
        <f t="shared" si="427"/>
        <v>1039520.1251650378</v>
      </c>
      <c r="AQ155">
        <f t="shared" si="428"/>
        <v>1244680.0769194758</v>
      </c>
      <c r="AR155">
        <f t="shared" si="429"/>
        <v>1470371.7671881965</v>
      </c>
      <c r="AS155">
        <f t="shared" si="430"/>
        <v>1718649.9453646075</v>
      </c>
      <c r="AT155">
        <f t="shared" si="431"/>
        <v>1991774.9934565567</v>
      </c>
      <c r="AU155">
        <f t="shared" si="432"/>
        <v>2292233.5051273853</v>
      </c>
      <c r="AV155">
        <f t="shared" si="433"/>
        <v>2622760.9242202621</v>
      </c>
      <c r="AW155">
        <f t="shared" si="434"/>
        <v>2986366.4488721536</v>
      </c>
      <c r="AX155">
        <f t="shared" si="435"/>
        <v>3386360.4279502616</v>
      </c>
      <c r="AY155">
        <f t="shared" si="436"/>
        <v>3826384.4992344212</v>
      </c>
      <c r="AZ155">
        <f t="shared" si="437"/>
        <v>4310444.7437304454</v>
      </c>
      <c r="BA155">
        <f t="shared" si="438"/>
        <v>4842948.1579589741</v>
      </c>
      <c r="BB155">
        <f t="shared" si="439"/>
        <v>5428742.776271957</v>
      </c>
      <c r="BC155">
        <f t="shared" si="440"/>
        <v>6073161.808479676</v>
      </c>
      <c r="BD155">
        <f t="shared" si="441"/>
        <v>6782072.1946274294</v>
      </c>
      <c r="BE155">
        <f t="shared" si="442"/>
        <v>7561928.0189758418</v>
      </c>
      <c r="BF155">
        <f t="shared" si="443"/>
        <v>8419829.2694780249</v>
      </c>
      <c r="BG155">
        <f t="shared" si="444"/>
        <v>9363586.4777134676</v>
      </c>
      <c r="BH155">
        <f t="shared" si="445"/>
        <v>10401791.827775599</v>
      </c>
      <c r="BI155">
        <f t="shared" si="446"/>
        <v>11543897.381504767</v>
      </c>
      <c r="BJ155">
        <f t="shared" si="447"/>
        <v>12800301.132247277</v>
      </c>
    </row>
    <row r="156" spans="1:62" x14ac:dyDescent="0.3">
      <c r="A156">
        <f>0.01/12</f>
        <v>8.3333333333333339E-4</v>
      </c>
      <c r="B156">
        <v>1</v>
      </c>
      <c r="D156">
        <f t="shared" si="396"/>
        <v>49107.340823245228</v>
      </c>
      <c r="E156">
        <f t="shared" si="401"/>
        <v>153257.66573577188</v>
      </c>
      <c r="F156">
        <f t="shared" si="401"/>
        <v>265855.37013048783</v>
      </c>
      <c r="G156">
        <f t="shared" si="401"/>
        <v>387585.6004068504</v>
      </c>
      <c r="H156">
        <f t="shared" si="448"/>
        <v>520287.50589968002</v>
      </c>
      <c r="I156">
        <f t="shared" si="448"/>
        <v>664201.57659557473</v>
      </c>
      <c r="J156">
        <f t="shared" si="449"/>
        <v>820518.68053508596</v>
      </c>
      <c r="K156">
        <f t="shared" ref="K156:M162" si="450">(K155+8000)*1.00798-(0.00104*(K155+8000))</f>
        <v>991963.72396173363</v>
      </c>
      <c r="L156">
        <f t="shared" si="450"/>
        <v>1178244.5061804368</v>
      </c>
      <c r="M156">
        <f t="shared" si="450"/>
        <v>1380644.8155183883</v>
      </c>
      <c r="N156">
        <f t="shared" ref="N156:N162" si="451">(N155+8000)*1.00798-(0.000833*(N155+8000))</f>
        <v>1600888.5633319386</v>
      </c>
      <c r="O156">
        <f t="shared" si="404"/>
        <v>1844293.5518065512</v>
      </c>
      <c r="P156">
        <f t="shared" si="405"/>
        <v>2109414.3727406794</v>
      </c>
      <c r="Q156">
        <f t="shared" si="406"/>
        <v>2398188.4448469188</v>
      </c>
      <c r="R156">
        <f t="shared" si="407"/>
        <v>2712726.0372811933</v>
      </c>
      <c r="S156">
        <f t="shared" si="408"/>
        <v>3055325.6908191773</v>
      </c>
      <c r="T156">
        <f t="shared" si="409"/>
        <v>3428491.0148618766</v>
      </c>
      <c r="U156">
        <f t="shared" si="410"/>
        <v>3825482.3283721064</v>
      </c>
      <c r="V156">
        <f t="shared" si="411"/>
        <v>4246429.2969083106</v>
      </c>
      <c r="W156">
        <f t="shared" si="412"/>
        <v>4702658.9536956837</v>
      </c>
      <c r="X156">
        <f t="shared" si="413"/>
        <v>5197128.602583115</v>
      </c>
      <c r="Y156">
        <f t="shared" si="414"/>
        <v>5733043.4209939884</v>
      </c>
      <c r="Z156">
        <f t="shared" si="415"/>
        <v>6313877.2360493187</v>
      </c>
      <c r="AA156">
        <f t="shared" si="416"/>
        <v>6943395.042091921</v>
      </c>
      <c r="AB156">
        <f t="shared" si="417"/>
        <v>7625677.4055712922</v>
      </c>
      <c r="AC156">
        <f t="shared" si="418"/>
        <v>8365146.9154829653</v>
      </c>
      <c r="AD156">
        <f t="shared" si="419"/>
        <v>9166596.8508154191</v>
      </c>
      <c r="AE156">
        <f t="shared" si="420"/>
        <v>10035222.250828341</v>
      </c>
      <c r="AI156">
        <f t="shared" si="399"/>
        <v>49358.613482572509</v>
      </c>
      <c r="AJ156">
        <f t="shared" si="421"/>
        <v>155426.43214319722</v>
      </c>
      <c r="AK156">
        <f t="shared" si="422"/>
        <v>272109.17198554904</v>
      </c>
      <c r="AL156">
        <f t="shared" si="423"/>
        <v>400469.13968395302</v>
      </c>
      <c r="AM156">
        <f t="shared" si="424"/>
        <v>541674.95409828844</v>
      </c>
      <c r="AN156">
        <f t="shared" si="425"/>
        <v>697012.18565061199</v>
      </c>
      <c r="AO156">
        <f t="shared" si="426"/>
        <v>867895.06045587559</v>
      </c>
      <c r="AP156">
        <f t="shared" si="427"/>
        <v>1055879.3357638549</v>
      </c>
      <c r="AQ156">
        <f t="shared" si="428"/>
        <v>1262676.4639332932</v>
      </c>
      <c r="AR156">
        <f t="shared" si="429"/>
        <v>1490169.1738903585</v>
      </c>
      <c r="AS156">
        <f t="shared" si="430"/>
        <v>1740428.6119286173</v>
      </c>
      <c r="AT156">
        <f t="shared" si="431"/>
        <v>2015733.1979043402</v>
      </c>
      <c r="AU156">
        <f t="shared" si="432"/>
        <v>2318589.3684983021</v>
      </c>
      <c r="AV156">
        <f t="shared" si="433"/>
        <v>2651754.3963955399</v>
      </c>
      <c r="AW156">
        <f t="shared" si="434"/>
        <v>3018261.4931341535</v>
      </c>
      <c r="AX156">
        <f t="shared" si="435"/>
        <v>3421447.4241653052</v>
      </c>
      <c r="AY156">
        <f t="shared" si="436"/>
        <v>3864982.887538312</v>
      </c>
      <c r="AZ156">
        <f t="shared" si="437"/>
        <v>4352905.9327854151</v>
      </c>
      <c r="BA156">
        <f t="shared" si="438"/>
        <v>4889658.7242594874</v>
      </c>
      <c r="BB156">
        <f t="shared" si="439"/>
        <v>5480127.9836266078</v>
      </c>
      <c r="BC156">
        <f t="shared" si="440"/>
        <v>6129689.4797113445</v>
      </c>
      <c r="BD156">
        <f t="shared" si="441"/>
        <v>6844256.9707405567</v>
      </c>
      <c r="BE156">
        <f t="shared" si="442"/>
        <v>7630336.0445672702</v>
      </c>
      <c r="BF156">
        <f t="shared" si="443"/>
        <v>8495083.3470484596</v>
      </c>
      <c r="BG156">
        <f t="shared" si="444"/>
        <v>9446371.7378056217</v>
      </c>
      <c r="BH156">
        <f t="shared" si="445"/>
        <v>10492861.96656125</v>
      </c>
      <c r="BI156">
        <f t="shared" si="446"/>
        <v>11644081.522609176</v>
      </c>
      <c r="BJ156">
        <f t="shared" si="447"/>
        <v>12910511.375282612</v>
      </c>
    </row>
    <row r="157" spans="1:62" x14ac:dyDescent="0.3">
      <c r="D157">
        <f t="shared" si="396"/>
        <v>57479.680685412794</v>
      </c>
      <c r="E157">
        <f t="shared" si="401"/>
        <v>162309.06571636911</v>
      </c>
      <c r="F157">
        <f t="shared" si="401"/>
        <v>275640.90714373864</v>
      </c>
      <c r="G157">
        <f t="shared" si="401"/>
        <v>398164.81852150313</v>
      </c>
      <c r="H157">
        <f t="shared" si="448"/>
        <v>531842.88081438502</v>
      </c>
      <c r="I157">
        <f t="shared" si="448"/>
        <v>676725.49320606305</v>
      </c>
      <c r="J157">
        <f t="shared" si="449"/>
        <v>834268.60017799959</v>
      </c>
      <c r="K157">
        <f t="shared" si="450"/>
        <v>1006903.4722060282</v>
      </c>
      <c r="L157">
        <f t="shared" si="450"/>
        <v>1194477.0430533292</v>
      </c>
      <c r="M157">
        <f t="shared" si="450"/>
        <v>1398282.0105380861</v>
      </c>
      <c r="N157">
        <f t="shared" si="451"/>
        <v>1620387.2898940721</v>
      </c>
      <c r="O157">
        <f t="shared" si="404"/>
        <v>1865531.8938213128</v>
      </c>
      <c r="P157">
        <f t="shared" si="405"/>
        <v>2132547.5332626575</v>
      </c>
      <c r="Q157">
        <f t="shared" si="406"/>
        <v>2423385.47366224</v>
      </c>
      <c r="R157">
        <f t="shared" si="407"/>
        <v>2740171.0662696422</v>
      </c>
      <c r="S157">
        <f t="shared" si="408"/>
        <v>3085219.2795314621</v>
      </c>
      <c r="T157">
        <f t="shared" si="409"/>
        <v>3461051.6161450949</v>
      </c>
      <c r="U157">
        <f t="shared" si="410"/>
        <v>3859281.6644420512</v>
      </c>
      <c r="V157">
        <f t="shared" si="411"/>
        <v>4283061.6060765041</v>
      </c>
      <c r="W157">
        <f t="shared" si="412"/>
        <v>4742361.6884540562</v>
      </c>
      <c r="X157">
        <f t="shared" si="413"/>
        <v>5240159.1180785</v>
      </c>
      <c r="Y157">
        <f t="shared" si="414"/>
        <v>5779680.6432172777</v>
      </c>
      <c r="Z157">
        <f t="shared" si="415"/>
        <v>6364423.4698479306</v>
      </c>
      <c r="AA157">
        <f t="shared" si="416"/>
        <v>6998177.930725201</v>
      </c>
      <c r="AB157">
        <f t="shared" si="417"/>
        <v>7685052.0545107881</v>
      </c>
      <c r="AC157">
        <f t="shared" si="418"/>
        <v>8429498.1942241658</v>
      </c>
      <c r="AD157">
        <f t="shared" si="419"/>
        <v>9236341.8876214083</v>
      </c>
      <c r="AE157">
        <f t="shared" si="420"/>
        <v>10110813.136576416</v>
      </c>
      <c r="AI157">
        <f t="shared" si="399"/>
        <v>57816.33521816344</v>
      </c>
      <c r="AJ157">
        <f t="shared" si="421"/>
        <v>164730.57507169995</v>
      </c>
      <c r="AK157">
        <f t="shared" si="422"/>
        <v>282344.44317799376</v>
      </c>
      <c r="AL157">
        <f t="shared" si="423"/>
        <v>411728.72341863101</v>
      </c>
      <c r="AM157">
        <f t="shared" si="424"/>
        <v>554061.36023199279</v>
      </c>
      <c r="AN157">
        <f t="shared" si="425"/>
        <v>710638.18289210391</v>
      </c>
      <c r="AO157">
        <f t="shared" si="426"/>
        <v>882884.70303831354</v>
      </c>
      <c r="AP157">
        <f t="shared" si="427"/>
        <v>1072369.0928632505</v>
      </c>
      <c r="AQ157">
        <f t="shared" si="428"/>
        <v>1280816.462115481</v>
      </c>
      <c r="AR157">
        <f t="shared" si="429"/>
        <v>1510124.5638980037</v>
      </c>
      <c r="AS157">
        <f t="shared" si="430"/>
        <v>1762381.0722518079</v>
      </c>
      <c r="AT157">
        <f t="shared" si="431"/>
        <v>2039882.588823617</v>
      </c>
      <c r="AU157">
        <f t="shared" si="432"/>
        <v>2345155.5516589186</v>
      </c>
      <c r="AV157">
        <f t="shared" si="433"/>
        <v>2680979.2364787767</v>
      </c>
      <c r="AW157">
        <f t="shared" si="434"/>
        <v>3050411.0598493642</v>
      </c>
      <c r="AX157">
        <f t="shared" si="435"/>
        <v>3456814.4146101447</v>
      </c>
      <c r="AY157">
        <f t="shared" si="436"/>
        <v>3903889.290980868</v>
      </c>
      <c r="AZ157">
        <f t="shared" si="437"/>
        <v>4395705.9621290434</v>
      </c>
      <c r="BA157">
        <f t="shared" si="438"/>
        <v>4936742.0408790782</v>
      </c>
      <c r="BB157">
        <f t="shared" si="439"/>
        <v>5531923.2449359484</v>
      </c>
      <c r="BC157">
        <f t="shared" si="440"/>
        <v>6186668.2417594418</v>
      </c>
      <c r="BD157">
        <f t="shared" si="441"/>
        <v>6906937.9813670674</v>
      </c>
      <c r="BE157">
        <f t="shared" si="442"/>
        <v>7699289.9662029175</v>
      </c>
      <c r="BF157">
        <f t="shared" si="443"/>
        <v>8570937.9521579072</v>
      </c>
      <c r="BG157">
        <f t="shared" si="444"/>
        <v>9529817.6242733113</v>
      </c>
      <c r="BH157">
        <f t="shared" si="445"/>
        <v>10584658.84505441</v>
      </c>
      <c r="BI157">
        <f t="shared" si="446"/>
        <v>11745065.133159598</v>
      </c>
      <c r="BJ157">
        <f t="shared" si="447"/>
        <v>13021601.096057368</v>
      </c>
    </row>
    <row r="158" spans="1:62" x14ac:dyDescent="0.3">
      <c r="D158">
        <f t="shared" si="396"/>
        <v>65906.608203481694</v>
      </c>
      <c r="E158">
        <f t="shared" ref="E158:F162" si="452">(E157+8000)*1.00798-(0.00146*(E157+8000))</f>
        <v>171419.48082483985</v>
      </c>
      <c r="F158">
        <f t="shared" si="452"/>
        <v>285490.24585831584</v>
      </c>
      <c r="G158">
        <f>(G157+8000)*1.00798-(0.00125*(G157+8000))</f>
        <v>408898.30775015289</v>
      </c>
      <c r="H158">
        <f t="shared" si="448"/>
        <v>543476.02340226586</v>
      </c>
      <c r="I158">
        <f t="shared" si="448"/>
        <v>689333.69577533985</v>
      </c>
      <c r="J158">
        <f t="shared" si="449"/>
        <v>848113.94426323508</v>
      </c>
      <c r="K158">
        <f t="shared" si="450"/>
        <v>1021946.9023031382</v>
      </c>
      <c r="L158">
        <f t="shared" si="450"/>
        <v>1210822.2337321194</v>
      </c>
      <c r="M158">
        <f t="shared" si="450"/>
        <v>1416041.6076912205</v>
      </c>
      <c r="N158">
        <f t="shared" si="451"/>
        <v>1640025.3738549452</v>
      </c>
      <c r="O158">
        <f t="shared" si="404"/>
        <v>1886922.0262664538</v>
      </c>
      <c r="P158">
        <f t="shared" si="405"/>
        <v>2155846.0264828862</v>
      </c>
      <c r="Q158">
        <f t="shared" si="406"/>
        <v>2448762.585642504</v>
      </c>
      <c r="R158">
        <f t="shared" si="407"/>
        <v>2767812.2448802716</v>
      </c>
      <c r="S158">
        <f t="shared" si="408"/>
        <v>3115326.5177222737</v>
      </c>
      <c r="T158">
        <f t="shared" si="409"/>
        <v>3493844.928045684</v>
      </c>
      <c r="U158">
        <f t="shared" si="410"/>
        <v>3893308.4700437468</v>
      </c>
      <c r="V158">
        <f t="shared" si="411"/>
        <v>4319940.4506853996</v>
      </c>
      <c r="W158">
        <f t="shared" si="412"/>
        <v>4782331.6226173528</v>
      </c>
      <c r="X158">
        <f t="shared" si="413"/>
        <v>5283479.2289431691</v>
      </c>
      <c r="Y158">
        <f t="shared" si="414"/>
        <v>5826631.7339461306</v>
      </c>
      <c r="Z158">
        <f t="shared" si="415"/>
        <v>6415309.8798000077</v>
      </c>
      <c r="AA158">
        <f t="shared" si="416"/>
        <v>7053329.5081989821</v>
      </c>
      <c r="AB158">
        <f t="shared" si="417"/>
        <v>7744826.2948376462</v>
      </c>
      <c r="AC158">
        <f t="shared" si="418"/>
        <v>8494282.5570712965</v>
      </c>
      <c r="AD158">
        <f t="shared" si="419"/>
        <v>9306556.3085251004</v>
      </c>
      <c r="AE158">
        <f t="shared" si="420"/>
        <v>10186912.748985577</v>
      </c>
      <c r="AI158">
        <f t="shared" si="399"/>
        <v>66341.549573204393</v>
      </c>
      <c r="AJ158">
        <f t="shared" si="421"/>
        <v>174108.96506077214</v>
      </c>
      <c r="AK158">
        <f t="shared" si="422"/>
        <v>292661.3918345542</v>
      </c>
      <c r="AL158">
        <f t="shared" si="423"/>
        <v>423078.15863151173</v>
      </c>
      <c r="AM158">
        <f t="shared" si="424"/>
        <v>566546.60988664418</v>
      </c>
      <c r="AN158">
        <f t="shared" si="425"/>
        <v>724372.91559158301</v>
      </c>
      <c r="AO158">
        <f t="shared" si="426"/>
        <v>897993.96296855935</v>
      </c>
      <c r="AP158">
        <f t="shared" si="427"/>
        <v>1088990.4382242993</v>
      </c>
      <c r="AQ158">
        <f t="shared" si="428"/>
        <v>1299101.2174831626</v>
      </c>
      <c r="AR158">
        <f t="shared" si="429"/>
        <v>1530239.1979179098</v>
      </c>
      <c r="AS158">
        <f t="shared" si="430"/>
        <v>1784508.7132083776</v>
      </c>
      <c r="AT158">
        <f t="shared" si="431"/>
        <v>2064224.6918824296</v>
      </c>
      <c r="AU158">
        <f t="shared" si="432"/>
        <v>2371933.7329611569</v>
      </c>
      <c r="AV158">
        <f t="shared" si="433"/>
        <v>2710437.2907858775</v>
      </c>
      <c r="AW158">
        <f t="shared" si="434"/>
        <v>3082817.1801069626</v>
      </c>
      <c r="AX158">
        <f t="shared" si="435"/>
        <v>3492463.633638734</v>
      </c>
      <c r="AY158">
        <f t="shared" si="436"/>
        <v>3943106.1675228956</v>
      </c>
      <c r="AZ158">
        <f t="shared" si="437"/>
        <v>4438847.5357068339</v>
      </c>
      <c r="BA158">
        <f t="shared" si="438"/>
        <v>4984201.082365294</v>
      </c>
      <c r="BB158">
        <f t="shared" si="439"/>
        <v>5584131.8324305378</v>
      </c>
      <c r="BC158">
        <f t="shared" si="440"/>
        <v>6244101.6943286825</v>
      </c>
      <c r="BD158">
        <f t="shared" si="441"/>
        <v>6970119.1864583772</v>
      </c>
      <c r="BE158">
        <f t="shared" si="442"/>
        <v>7768794.1401332179</v>
      </c>
      <c r="BF158">
        <f t="shared" si="443"/>
        <v>8647397.877016129</v>
      </c>
      <c r="BG158">
        <f t="shared" si="444"/>
        <v>9613929.4089150131</v>
      </c>
      <c r="BH158">
        <f t="shared" si="445"/>
        <v>10677188.262637945</v>
      </c>
      <c r="BI158">
        <f t="shared" si="446"/>
        <v>11846854.592922213</v>
      </c>
      <c r="BJ158">
        <f t="shared" si="447"/>
        <v>13133577.312803907</v>
      </c>
    </row>
    <row r="159" spans="1:62" x14ac:dyDescent="0.3">
      <c r="D159">
        <f t="shared" si="396"/>
        <v>74388.479288968403</v>
      </c>
      <c r="E159">
        <f t="shared" si="452"/>
        <v>180589.29583981782</v>
      </c>
      <c r="F159">
        <f t="shared" si="452"/>
        <v>295403.80226131208</v>
      </c>
      <c r="G159">
        <f>(G158+8000)*1.00798-(0.00125*(G158+8000))</f>
        <v>419704.03336131148</v>
      </c>
      <c r="H159">
        <f t="shared" si="448"/>
        <v>555187.45703976322</v>
      </c>
      <c r="I159">
        <f t="shared" si="448"/>
        <v>702026.75154790794</v>
      </c>
      <c r="J159">
        <f t="shared" si="449"/>
        <v>862055.37503642205</v>
      </c>
      <c r="K159">
        <f t="shared" si="450"/>
        <v>1037094.733805122</v>
      </c>
      <c r="L159">
        <f t="shared" si="450"/>
        <v>1227280.8600342204</v>
      </c>
      <c r="M159">
        <f t="shared" si="450"/>
        <v>1433924.4564485976</v>
      </c>
      <c r="N159">
        <f t="shared" si="451"/>
        <v>1659803.8112018865</v>
      </c>
      <c r="O159">
        <f t="shared" si="404"/>
        <v>1908465.0339881803</v>
      </c>
      <c r="P159">
        <f t="shared" si="405"/>
        <v>2179311.0340341595</v>
      </c>
      <c r="Q159">
        <f t="shared" si="406"/>
        <v>2474321.0678420914</v>
      </c>
      <c r="R159">
        <f t="shared" si="407"/>
        <v>2795650.9749944312</v>
      </c>
      <c r="S159">
        <f t="shared" si="408"/>
        <v>3145648.9323444352</v>
      </c>
      <c r="T159">
        <f t="shared" si="409"/>
        <v>3526872.6137464265</v>
      </c>
      <c r="U159">
        <f t="shared" si="410"/>
        <v>3927564.2760471413</v>
      </c>
      <c r="V159">
        <f t="shared" si="411"/>
        <v>4357067.4899185123</v>
      </c>
      <c r="W159">
        <f t="shared" si="412"/>
        <v>4822570.5544375675</v>
      </c>
      <c r="X159">
        <f t="shared" si="413"/>
        <v>5327090.8841539575</v>
      </c>
      <c r="Y159">
        <f t="shared" si="414"/>
        <v>5873898.8055155883</v>
      </c>
      <c r="Z159">
        <f t="shared" si="415"/>
        <v>6466538.7552910624</v>
      </c>
      <c r="AA159">
        <f t="shared" si="416"/>
        <v>7108852.2557891626</v>
      </c>
      <c r="AB159">
        <f t="shared" si="417"/>
        <v>7805002.8158019036</v>
      </c>
      <c r="AC159">
        <f t="shared" si="418"/>
        <v>8559502.9186803866</v>
      </c>
      <c r="AD159">
        <f t="shared" si="419"/>
        <v>9377243.272481475</v>
      </c>
      <c r="AE159">
        <f t="shared" si="420"/>
        <v>10263524.511786252</v>
      </c>
      <c r="AI159">
        <f t="shared" si="399"/>
        <v>74934.795138798567</v>
      </c>
      <c r="AJ159">
        <f t="shared" si="421"/>
        <v>183562.19460195713</v>
      </c>
      <c r="AK159">
        <f t="shared" si="422"/>
        <v>303060.669741394</v>
      </c>
      <c r="AL159">
        <f t="shared" si="423"/>
        <v>434518.16233739123</v>
      </c>
      <c r="AM159">
        <f t="shared" si="424"/>
        <v>579131.49183353968</v>
      </c>
      <c r="AN159">
        <f t="shared" si="425"/>
        <v>738217.25145800388</v>
      </c>
      <c r="AO159">
        <f t="shared" si="426"/>
        <v>913223.79479304852</v>
      </c>
      <c r="AP159">
        <f t="shared" si="427"/>
        <v>1105744.4219213293</v>
      </c>
      <c r="AQ159">
        <f t="shared" si="428"/>
        <v>1317531.8851986784</v>
      </c>
      <c r="AR159">
        <f t="shared" si="429"/>
        <v>1550514.346717295</v>
      </c>
      <c r="AS159">
        <f t="shared" si="430"/>
        <v>1806812.9327397805</v>
      </c>
      <c r="AT159">
        <f t="shared" si="431"/>
        <v>2088761.0449236517</v>
      </c>
      <c r="AU159">
        <f t="shared" si="432"/>
        <v>2398925.6041501872</v>
      </c>
      <c r="AV159">
        <f t="shared" si="433"/>
        <v>2740130.4203663492</v>
      </c>
      <c r="AW159">
        <f t="shared" si="434"/>
        <v>3115481.9012042163</v>
      </c>
      <c r="AX159">
        <f t="shared" si="435"/>
        <v>3528397.3334351713</v>
      </c>
      <c r="AY159">
        <f t="shared" si="436"/>
        <v>3982635.9947397285</v>
      </c>
      <c r="AZ159">
        <f t="shared" si="437"/>
        <v>4482333.3790417751</v>
      </c>
      <c r="BA159">
        <f t="shared" si="438"/>
        <v>5032038.8470025696</v>
      </c>
      <c r="BB159">
        <f t="shared" si="439"/>
        <v>5636757.0444533341</v>
      </c>
      <c r="BC159">
        <f t="shared" si="440"/>
        <v>6301993.4658494256</v>
      </c>
      <c r="BD159">
        <f t="shared" si="441"/>
        <v>7033804.5775663154</v>
      </c>
      <c r="BE159">
        <f t="shared" si="442"/>
        <v>7838852.9573714817</v>
      </c>
      <c r="BF159">
        <f t="shared" si="443"/>
        <v>8724467.9520747177</v>
      </c>
      <c r="BG159">
        <f t="shared" si="444"/>
        <v>9698712.4055981562</v>
      </c>
      <c r="BH159">
        <f t="shared" si="445"/>
        <v>10770456.064973798</v>
      </c>
      <c r="BI159">
        <f t="shared" si="446"/>
        <v>11949456.332573732</v>
      </c>
      <c r="BJ159">
        <f t="shared" si="447"/>
        <v>13246447.099760083</v>
      </c>
    </row>
    <row r="160" spans="1:62" x14ac:dyDescent="0.3">
      <c r="D160">
        <f t="shared" si="396"/>
        <v>82925.652173932482</v>
      </c>
      <c r="E160">
        <f t="shared" si="452"/>
        <v>189818.89804869343</v>
      </c>
      <c r="F160">
        <f t="shared" si="452"/>
        <v>305381.99505205586</v>
      </c>
      <c r="G160">
        <f>(G159+8000)*1.00798-(0.00125*(G159+8000))</f>
        <v>430582.4815058331</v>
      </c>
      <c r="H160">
        <f t="shared" si="448"/>
        <v>566977.70862564084</v>
      </c>
      <c r="I160">
        <f t="shared" si="448"/>
        <v>714805.23158582544</v>
      </c>
      <c r="J160">
        <f t="shared" si="449"/>
        <v>876093.55933917488</v>
      </c>
      <c r="K160">
        <f t="shared" si="450"/>
        <v>1052347.6912577297</v>
      </c>
      <c r="L160">
        <f t="shared" si="450"/>
        <v>1243853.7092028579</v>
      </c>
      <c r="M160">
        <f t="shared" si="450"/>
        <v>1451931.4121763511</v>
      </c>
      <c r="N160">
        <f t="shared" si="451"/>
        <v>1679723.6050405467</v>
      </c>
      <c r="O160">
        <f t="shared" si="404"/>
        <v>1930162.0095860942</v>
      </c>
      <c r="P160">
        <f t="shared" si="405"/>
        <v>2202943.7459944021</v>
      </c>
      <c r="Q160">
        <f t="shared" si="406"/>
        <v>2500062.2165139588</v>
      </c>
      <c r="R160">
        <f t="shared" si="407"/>
        <v>2823688.6685127169</v>
      </c>
      <c r="S160">
        <f t="shared" si="408"/>
        <v>3176188.0612639012</v>
      </c>
      <c r="T160">
        <f t="shared" si="409"/>
        <v>3560136.3483168725</v>
      </c>
      <c r="U160">
        <f t="shared" si="410"/>
        <v>3962050.623624939</v>
      </c>
      <c r="V160">
        <f t="shared" si="411"/>
        <v>4394444.3941256646</v>
      </c>
      <c r="W160">
        <f t="shared" si="412"/>
        <v>4863080.2942689331</v>
      </c>
      <c r="X160">
        <f t="shared" si="413"/>
        <v>5370996.0458043134</v>
      </c>
      <c r="Y160">
        <f t="shared" si="414"/>
        <v>5921483.9844767088</v>
      </c>
      <c r="Z160">
        <f t="shared" si="415"/>
        <v>6518112.4011141723</v>
      </c>
      <c r="AA160">
        <f t="shared" si="416"/>
        <v>7164748.6714706244</v>
      </c>
      <c r="AB160">
        <f t="shared" si="417"/>
        <v>7865584.3247522516</v>
      </c>
      <c r="AC160">
        <f t="shared" si="418"/>
        <v>8625162.213323107</v>
      </c>
      <c r="AD160">
        <f t="shared" si="419"/>
        <v>9448405.9597052764</v>
      </c>
      <c r="AE160">
        <f t="shared" si="420"/>
        <v>10340651.871750575</v>
      </c>
      <c r="AI160">
        <f t="shared" si="399"/>
        <v>83596.614804006182</v>
      </c>
      <c r="AJ160">
        <f t="shared" si="421"/>
        <v>193090.86091488076</v>
      </c>
      <c r="AK160">
        <f t="shared" si="422"/>
        <v>313542.93388593034</v>
      </c>
      <c r="AL160">
        <f t="shared" si="423"/>
        <v>446049.45727284363</v>
      </c>
      <c r="AM160">
        <f t="shared" si="424"/>
        <v>591816.80113837135</v>
      </c>
      <c r="AN160">
        <f t="shared" si="425"/>
        <v>752172.06512463884</v>
      </c>
      <c r="AO160">
        <f t="shared" si="426"/>
        <v>928575.16067549714</v>
      </c>
      <c r="AP160">
        <f t="shared" si="427"/>
        <v>1122632.1024082617</v>
      </c>
      <c r="AQ160">
        <f t="shared" si="428"/>
        <v>1336109.6296425639</v>
      </c>
      <c r="AR160">
        <f t="shared" si="429"/>
        <v>1570951.2912040991</v>
      </c>
      <c r="AS160">
        <f t="shared" si="430"/>
        <v>1829295.1399430442</v>
      </c>
      <c r="AT160">
        <f t="shared" si="431"/>
        <v>2113493.1980621428</v>
      </c>
      <c r="AU160">
        <f t="shared" si="432"/>
        <v>2426132.8704713061</v>
      </c>
      <c r="AV160">
        <f t="shared" si="433"/>
        <v>2770060.5011208728</v>
      </c>
      <c r="AW160">
        <f t="shared" si="434"/>
        <v>3148407.2867758265</v>
      </c>
      <c r="AX160">
        <f t="shared" si="435"/>
        <v>3564617.7841559844</v>
      </c>
      <c r="AY160">
        <f t="shared" si="436"/>
        <v>4022481.2699777521</v>
      </c>
      <c r="AZ160">
        <f t="shared" si="437"/>
        <v>4526166.2394065289</v>
      </c>
      <c r="BA160">
        <f t="shared" si="438"/>
        <v>5080258.3570016501</v>
      </c>
      <c r="BB160">
        <f t="shared" si="439"/>
        <v>5689802.2056680722</v>
      </c>
      <c r="BC160">
        <f t="shared" si="440"/>
        <v>6360347.213706905</v>
      </c>
      <c r="BD160">
        <f t="shared" si="441"/>
        <v>7097998.1780952951</v>
      </c>
      <c r="BE160">
        <f t="shared" si="442"/>
        <v>7909470.8439713065</v>
      </c>
      <c r="BF160">
        <f t="shared" si="443"/>
        <v>8802153.0463322755</v>
      </c>
      <c r="BG160">
        <f t="shared" si="444"/>
        <v>9784171.9705948308</v>
      </c>
      <c r="BH160">
        <f t="shared" si="445"/>
        <v>10864468.14437229</v>
      </c>
      <c r="BI160">
        <f t="shared" si="446"/>
        <v>12052876.834107673</v>
      </c>
      <c r="BJ160">
        <f t="shared" si="447"/>
        <v>13360217.58761617</v>
      </c>
    </row>
    <row r="161" spans="4:62" x14ac:dyDescent="0.3">
      <c r="D161">
        <f t="shared" si="396"/>
        <v>91518.487426106542</v>
      </c>
      <c r="E161">
        <f t="shared" si="452"/>
        <v>199108.67726397092</v>
      </c>
      <c r="F161">
        <f t="shared" si="452"/>
        <v>315425.2456597953</v>
      </c>
      <c r="G161">
        <f>(G160+8000)*1.00798-(0.00125*(G160+8000))</f>
        <v>441534.14160636743</v>
      </c>
      <c r="H161">
        <f t="shared" si="448"/>
        <v>578847.30860469153</v>
      </c>
      <c r="I161">
        <f t="shared" si="448"/>
        <v>727669.7107943981</v>
      </c>
      <c r="J161">
        <f t="shared" si="449"/>
        <v>890229.16864098888</v>
      </c>
      <c r="K161">
        <f t="shared" si="450"/>
        <v>1067706.5042350583</v>
      </c>
      <c r="L161">
        <f t="shared" si="450"/>
        <v>1260541.5739447258</v>
      </c>
      <c r="M161">
        <f t="shared" si="450"/>
        <v>1470063.336176855</v>
      </c>
      <c r="N161">
        <f t="shared" si="451"/>
        <v>1699785.7656457718</v>
      </c>
      <c r="O161">
        <f t="shared" si="404"/>
        <v>1952014.0534686062</v>
      </c>
      <c r="P161">
        <f t="shared" si="405"/>
        <v>2226745.3609470245</v>
      </c>
      <c r="Q161">
        <f t="shared" si="406"/>
        <v>2525987.3371753842</v>
      </c>
      <c r="R161">
        <f t="shared" si="407"/>
        <v>2851926.7474265774</v>
      </c>
      <c r="S161">
        <f t="shared" si="408"/>
        <v>3206945.4533377546</v>
      </c>
      <c r="T161">
        <f t="shared" si="409"/>
        <v>3593637.8187982934</v>
      </c>
      <c r="U161">
        <f t="shared" si="410"/>
        <v>3996769.0643219356</v>
      </c>
      <c r="V161">
        <f t="shared" si="411"/>
        <v>4432072.8448981307</v>
      </c>
      <c r="W161">
        <f t="shared" si="412"/>
        <v>4903862.6646493636</v>
      </c>
      <c r="X161">
        <f t="shared" si="413"/>
        <v>5415196.6891925773</v>
      </c>
      <c r="Y161">
        <f t="shared" si="414"/>
        <v>5969389.4116922375</v>
      </c>
      <c r="Z161">
        <f t="shared" si="415"/>
        <v>6570033.1375736706</v>
      </c>
      <c r="AA161">
        <f t="shared" si="416"/>
        <v>7221021.2700296221</v>
      </c>
      <c r="AB161">
        <f t="shared" si="417"/>
        <v>7926573.547257835</v>
      </c>
      <c r="AC161">
        <f t="shared" si="418"/>
        <v>8691263.3950187732</v>
      </c>
      <c r="AD161">
        <f t="shared" si="419"/>
        <v>9520047.5718140937</v>
      </c>
      <c r="AE161">
        <f t="shared" si="420"/>
        <v>10418298.298847456</v>
      </c>
      <c r="AI161">
        <f t="shared" si="399"/>
        <v>92327.555790142156</v>
      </c>
      <c r="AJ161">
        <f t="shared" si="421"/>
        <v>202695.56598498151</v>
      </c>
      <c r="AK161">
        <f t="shared" si="422"/>
        <v>324108.84649834008</v>
      </c>
      <c r="AL161">
        <f t="shared" si="423"/>
        <v>457672.77194188099</v>
      </c>
      <c r="AM161">
        <f t="shared" si="424"/>
        <v>604603.33921145566</v>
      </c>
      <c r="AN161">
        <f t="shared" si="425"/>
        <v>766238.23820433358</v>
      </c>
      <c r="AO161">
        <f t="shared" si="426"/>
        <v>944049.03045768768</v>
      </c>
      <c r="AP161">
        <f t="shared" si="427"/>
        <v>1139654.5465854798</v>
      </c>
      <c r="AQ161">
        <f t="shared" si="428"/>
        <v>1354835.6244871116</v>
      </c>
      <c r="AR161">
        <f t="shared" si="429"/>
        <v>1591551.3225079079</v>
      </c>
      <c r="AS161">
        <f t="shared" si="430"/>
        <v>1851956.7551597899</v>
      </c>
      <c r="AT161">
        <f t="shared" si="431"/>
        <v>2138422.7137826788</v>
      </c>
      <c r="AU161">
        <f t="shared" si="432"/>
        <v>2453557.2507776674</v>
      </c>
      <c r="AV161">
        <f t="shared" si="433"/>
        <v>2800229.4239198174</v>
      </c>
      <c r="AW161">
        <f t="shared" si="434"/>
        <v>3181595.4169242978</v>
      </c>
      <c r="AX161">
        <f t="shared" si="435"/>
        <v>3601127.2740735495</v>
      </c>
      <c r="AY161">
        <f t="shared" si="436"/>
        <v>4062644.510512175</v>
      </c>
      <c r="AZ161">
        <f t="shared" si="437"/>
        <v>4570348.8859969936</v>
      </c>
      <c r="BA161">
        <f t="shared" si="438"/>
        <v>5128862.6586905234</v>
      </c>
      <c r="BB161">
        <f t="shared" si="439"/>
        <v>5743270.6672693044</v>
      </c>
      <c r="BC161">
        <f t="shared" si="440"/>
        <v>6419166.6244722866</v>
      </c>
      <c r="BD161">
        <f t="shared" si="441"/>
        <v>7162704.0435564965</v>
      </c>
      <c r="BE161">
        <f t="shared" si="442"/>
        <v>7980652.2613061983</v>
      </c>
      <c r="BF161">
        <f t="shared" si="443"/>
        <v>8880458.067642007</v>
      </c>
      <c r="BG161">
        <f t="shared" si="444"/>
        <v>9870313.5029201787</v>
      </c>
      <c r="BH161">
        <f t="shared" si="445"/>
        <v>10959230.440164382</v>
      </c>
      <c r="BI161">
        <f t="shared" si="446"/>
        <v>12157122.631243853</v>
      </c>
      <c r="BJ161">
        <f t="shared" si="447"/>
        <v>13474895.963965349</v>
      </c>
    </row>
    <row r="162" spans="4:62" x14ac:dyDescent="0.3">
      <c r="D162">
        <f t="shared" si="396"/>
        <v>100167.34796412477</v>
      </c>
      <c r="E162">
        <f t="shared" si="452"/>
        <v>208459.02583973203</v>
      </c>
      <c r="F162">
        <f t="shared" si="452"/>
        <v>325533.97826149722</v>
      </c>
      <c r="G162">
        <f>(G161+8000)*1.00798-(0.00125*(G161+8000))</f>
        <v>452559.50637937832</v>
      </c>
      <c r="H162">
        <f t="shared" si="448"/>
        <v>590796.79099160118</v>
      </c>
      <c r="I162">
        <f t="shared" si="448"/>
        <v>740620.76794804446</v>
      </c>
      <c r="J162">
        <f t="shared" si="449"/>
        <v>904462.87907135743</v>
      </c>
      <c r="K162">
        <f t="shared" si="450"/>
        <v>1083171.9073744498</v>
      </c>
      <c r="L162">
        <f t="shared" si="450"/>
        <v>1277345.2524679024</v>
      </c>
      <c r="M162">
        <f t="shared" si="450"/>
        <v>1488321.0957299226</v>
      </c>
      <c r="N162">
        <f t="shared" si="451"/>
        <v>1719991.3105128424</v>
      </c>
      <c r="O162">
        <f t="shared" si="404"/>
        <v>1974022.2739087464</v>
      </c>
      <c r="P162">
        <f t="shared" si="405"/>
        <v>2250717.0860417131</v>
      </c>
      <c r="Q162">
        <f t="shared" si="406"/>
        <v>2552097.7446741769</v>
      </c>
      <c r="R162">
        <f t="shared" si="407"/>
        <v>2880366.6438904353</v>
      </c>
      <c r="S162">
        <f t="shared" si="408"/>
        <v>3237922.66849276</v>
      </c>
      <c r="T162">
        <f t="shared" si="409"/>
        <v>3627378.7242892454</v>
      </c>
      <c r="U162">
        <f t="shared" si="410"/>
        <v>4031721.1601248225</v>
      </c>
      <c r="V162">
        <f t="shared" si="411"/>
        <v>4469954.5351442955</v>
      </c>
      <c r="W162" s="3">
        <f t="shared" si="412"/>
        <v>4944919.5003824541</v>
      </c>
      <c r="X162">
        <f t="shared" si="413"/>
        <v>5459694.8029108439</v>
      </c>
      <c r="Y162">
        <f t="shared" si="414"/>
        <v>6017617.2424329268</v>
      </c>
      <c r="Z162">
        <f t="shared" si="415"/>
        <v>6622303.3005895428</v>
      </c>
      <c r="AA162">
        <f t="shared" si="416"/>
        <v>7277672.5831769221</v>
      </c>
      <c r="AB162" s="3">
        <f t="shared" si="417"/>
        <v>7987973.2272308813</v>
      </c>
      <c r="AC162">
        <f t="shared" si="418"/>
        <v>8757809.4376672506</v>
      </c>
      <c r="AD162">
        <f t="shared" si="419"/>
        <v>9592171.3319724035</v>
      </c>
      <c r="AE162">
        <f t="shared" si="420"/>
        <v>10496467.2863987</v>
      </c>
      <c r="AI162">
        <f t="shared" si="399"/>
        <v>101128.1696853475</v>
      </c>
      <c r="AJ162">
        <f t="shared" si="421"/>
        <v>212376.91660154168</v>
      </c>
      <c r="AK162">
        <f t="shared" si="422"/>
        <v>334759.07509339688</v>
      </c>
      <c r="AL162">
        <f t="shared" si="423"/>
        <v>469388.84066197724</v>
      </c>
      <c r="AM162">
        <f t="shared" si="424"/>
        <v>617491.91385836317</v>
      </c>
      <c r="AN162">
        <f t="shared" si="425"/>
        <v>780416.65934520424</v>
      </c>
      <c r="AO162">
        <f t="shared" si="426"/>
        <v>959646.38172074012</v>
      </c>
      <c r="AP162">
        <f t="shared" si="427"/>
        <v>1156812.8298672319</v>
      </c>
      <c r="AQ162">
        <f t="shared" si="428"/>
        <v>1373711.0527705189</v>
      </c>
      <c r="AR162">
        <f t="shared" si="429"/>
        <v>1612315.7420615212</v>
      </c>
      <c r="AS162">
        <f t="shared" si="430"/>
        <v>1874799.2100659653</v>
      </c>
      <c r="AT162">
        <f t="shared" si="431"/>
        <v>2163551.1670386647</v>
      </c>
      <c r="AU162">
        <f t="shared" si="432"/>
        <v>2481200.4776388733</v>
      </c>
      <c r="AV162">
        <f t="shared" si="433"/>
        <v>2830639.094722698</v>
      </c>
      <c r="AW162">
        <f t="shared" si="434"/>
        <v>3215048.3883513538</v>
      </c>
      <c r="AX162">
        <f t="shared" si="435"/>
        <v>3637928.1097206566</v>
      </c>
      <c r="AY162">
        <f t="shared" si="436"/>
        <v>4103128.2537060627</v>
      </c>
      <c r="AZ162">
        <f t="shared" si="437"/>
        <v>4614884.1101072505</v>
      </c>
      <c r="BA162">
        <f t="shared" si="438"/>
        <v>5177854.8227068745</v>
      </c>
      <c r="BB162" s="3">
        <f t="shared" si="439"/>
        <v>5797165.8071941137</v>
      </c>
      <c r="BC162">
        <f t="shared" si="440"/>
        <v>6478455.4141355762</v>
      </c>
      <c r="BD162">
        <f t="shared" si="441"/>
        <v>7227926.2618240779</v>
      </c>
      <c r="BE162">
        <f t="shared" si="442"/>
        <v>8052401.7063514227</v>
      </c>
      <c r="BF162">
        <f t="shared" si="443"/>
        <v>8959387.9630217906</v>
      </c>
      <c r="BG162" s="3">
        <f t="shared" si="444"/>
        <v>9957142.4446734823</v>
      </c>
      <c r="BH162">
        <f t="shared" si="445"/>
        <v>11054748.939076895</v>
      </c>
      <c r="BI162">
        <f t="shared" si="446"/>
        <v>12262200.30984118</v>
      </c>
      <c r="BJ162">
        <f t="shared" si="447"/>
        <v>13590489.473757794</v>
      </c>
    </row>
    <row r="170" spans="4:62" x14ac:dyDescent="0.3">
      <c r="AD170" s="4"/>
      <c r="AE170" s="4"/>
      <c r="AF170" s="4"/>
      <c r="AG170" s="4"/>
      <c r="AH170" s="4"/>
      <c r="AL170" s="4"/>
      <c r="AM170" s="4"/>
      <c r="AN170" s="4"/>
      <c r="AO170" s="4"/>
      <c r="AP170" s="4"/>
      <c r="AQ170" s="4"/>
      <c r="AR170" s="4"/>
      <c r="AS170"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3B5F5-02EF-4244-B858-F11B6EA0D728}">
  <dimension ref="A1:W35"/>
  <sheetViews>
    <sheetView tabSelected="1" topLeftCell="D1" zoomScaleNormal="100" workbookViewId="0"/>
  </sheetViews>
  <sheetFormatPr defaultRowHeight="14.4" x14ac:dyDescent="0.3"/>
  <cols>
    <col min="1" max="2" width="8.88671875" style="7"/>
    <col min="3" max="10" width="11.44140625" style="7" bestFit="1" customWidth="1"/>
    <col min="11" max="11" width="5" style="7" customWidth="1"/>
    <col min="12" max="12" width="5" style="8" customWidth="1"/>
    <col min="13" max="13" width="5" style="7" customWidth="1"/>
    <col min="14" max="15" width="8.88671875" style="7"/>
    <col min="16" max="23" width="11.44140625" style="7" bestFit="1" customWidth="1"/>
    <col min="24" max="16384" width="8.88671875" style="7"/>
  </cols>
  <sheetData>
    <row r="1" spans="1:23" ht="15" thickBot="1" x14ac:dyDescent="0.35"/>
    <row r="2" spans="1:23" ht="15" thickBot="1" x14ac:dyDescent="0.35">
      <c r="A2" s="19"/>
      <c r="B2" s="20"/>
      <c r="C2" s="20"/>
      <c r="D2" s="21" t="s">
        <v>93</v>
      </c>
      <c r="E2" s="20"/>
      <c r="F2" s="20"/>
      <c r="G2" s="20"/>
      <c r="H2" s="20"/>
      <c r="I2" s="20"/>
      <c r="J2" s="22"/>
      <c r="N2" s="19"/>
      <c r="O2" s="20"/>
      <c r="P2" s="20"/>
      <c r="Q2" s="21" t="s">
        <v>94</v>
      </c>
      <c r="R2" s="20"/>
      <c r="S2" s="20"/>
      <c r="T2" s="20"/>
      <c r="U2" s="20"/>
      <c r="V2" s="20"/>
      <c r="W2" s="22"/>
    </row>
    <row r="3" spans="1:23" x14ac:dyDescent="0.3">
      <c r="A3" s="14"/>
      <c r="J3" s="15"/>
      <c r="N3" s="14"/>
      <c r="W3" s="15"/>
    </row>
    <row r="4" spans="1:23" x14ac:dyDescent="0.3">
      <c r="A4" s="14"/>
      <c r="C4" s="4">
        <v>0</v>
      </c>
      <c r="D4" s="4">
        <v>0.04</v>
      </c>
      <c r="E4" s="4">
        <v>0.05</v>
      </c>
      <c r="F4" s="4">
        <v>0.06</v>
      </c>
      <c r="G4" s="4">
        <v>7.0000000000000007E-2</v>
      </c>
      <c r="H4" s="4">
        <v>0.08</v>
      </c>
      <c r="I4" s="4">
        <v>0.09</v>
      </c>
      <c r="J4" s="26">
        <v>0.1</v>
      </c>
      <c r="N4" s="14"/>
      <c r="P4" s="4">
        <v>0</v>
      </c>
      <c r="Q4" s="4">
        <v>0.04</v>
      </c>
      <c r="R4" s="4">
        <v>0.05</v>
      </c>
      <c r="S4" s="4">
        <v>0.06</v>
      </c>
      <c r="T4" s="4">
        <v>7.0000000000000007E-2</v>
      </c>
      <c r="U4" s="4">
        <v>0.08</v>
      </c>
      <c r="V4" s="4">
        <v>0.09</v>
      </c>
      <c r="W4" s="26">
        <v>0.1</v>
      </c>
    </row>
    <row r="5" spans="1:23" x14ac:dyDescent="0.3">
      <c r="A5" s="14" t="s">
        <v>71</v>
      </c>
      <c r="B5" s="7" t="s">
        <v>91</v>
      </c>
      <c r="C5" s="7">
        <f>'4K'!W26</f>
        <v>841337.09985175123</v>
      </c>
      <c r="D5" s="7">
        <f>'4K'!W48</f>
        <v>1253895.8340115126</v>
      </c>
      <c r="E5" s="7">
        <f>'4K'!W67</f>
        <v>1395513.6200299542</v>
      </c>
      <c r="F5" s="7">
        <f>'4K'!W86</f>
        <v>1556225.6897477931</v>
      </c>
      <c r="G5" s="7">
        <f>'4K'!W105</f>
        <v>1744181.3747452151</v>
      </c>
      <c r="H5" s="7">
        <f>'4K'!W124</f>
        <v>1952983.8232899986</v>
      </c>
      <c r="I5" s="7">
        <f>'4K'!W143</f>
        <v>2188892.0160244312</v>
      </c>
      <c r="J5" s="15">
        <f>'4K'!W162</f>
        <v>2459369.9976428458</v>
      </c>
      <c r="N5" s="14" t="s">
        <v>71</v>
      </c>
      <c r="O5" s="7" t="s">
        <v>91</v>
      </c>
      <c r="P5" s="7">
        <f>'4K'!AB26</f>
        <v>1024630.8740954902</v>
      </c>
      <c r="Q5" s="7">
        <f>'4K'!AB48</f>
        <v>1671606.5431855191</v>
      </c>
      <c r="R5" s="7">
        <f>'4K'!AB67</f>
        <v>1914228.3688010387</v>
      </c>
      <c r="S5" s="7">
        <f>'4K'!AB86</f>
        <v>2201484.4379715314</v>
      </c>
      <c r="T5" s="7">
        <f>'4K'!AB105</f>
        <v>2546458.5968352603</v>
      </c>
      <c r="U5" s="7">
        <f>'4K'!AB124</f>
        <v>2946509.6807840983</v>
      </c>
      <c r="V5" s="7">
        <f>'4K'!AB143</f>
        <v>3415776.7677947199</v>
      </c>
      <c r="W5" s="15">
        <f>'4K'!AB162</f>
        <v>3974411.1494315495</v>
      </c>
    </row>
    <row r="6" spans="1:23" x14ac:dyDescent="0.3">
      <c r="A6" s="14" t="s">
        <v>71</v>
      </c>
      <c r="B6" s="7" t="s">
        <v>92</v>
      </c>
      <c r="C6" s="7">
        <f>'4K'!BB26</f>
        <v>960000</v>
      </c>
      <c r="D6" s="7">
        <f>'4K'!BB48</f>
        <v>1461371.4163409907</v>
      </c>
      <c r="E6" s="7">
        <f>'4K'!BB67</f>
        <v>1628896.2514153488</v>
      </c>
      <c r="F6" s="7">
        <f>'4K'!BB86</f>
        <v>1823219.8245237481</v>
      </c>
      <c r="G6" s="7">
        <f>'4K'!BB105</f>
        <v>2043369.6208382619</v>
      </c>
      <c r="H6" s="7">
        <f>'4K'!BB124</f>
        <v>2292681.1054514684</v>
      </c>
      <c r="I6" s="7">
        <f>'4K'!BB143</f>
        <v>2574873.7970581697</v>
      </c>
      <c r="J6" s="15">
        <f>'4K'!BB162</f>
        <v>2898582.9035970569</v>
      </c>
      <c r="N6" s="14" t="s">
        <v>71</v>
      </c>
      <c r="O6" s="7" t="s">
        <v>92</v>
      </c>
      <c r="P6" s="7">
        <f>'4K'!BG26</f>
        <v>1200000</v>
      </c>
      <c r="Q6" s="7">
        <f>'4K'!BG48</f>
        <v>2044282.4317699093</v>
      </c>
      <c r="R6" s="7">
        <f>'4K'!BG67</f>
        <v>2350742.6195686627</v>
      </c>
      <c r="S6" s="7">
        <f>'4K'!BG86</f>
        <v>2719554.0734938597</v>
      </c>
      <c r="T6" s="7">
        <f>'4K'!BG105</f>
        <v>3153380.1558603388</v>
      </c>
      <c r="U6" s="7">
        <f>'4K'!BG124</f>
        <v>3663612.2519548424</v>
      </c>
      <c r="V6" s="7">
        <f>'4K'!BG143</f>
        <v>4263506.3636158071</v>
      </c>
      <c r="W6" s="15">
        <f>'4K'!BG162</f>
        <v>4978571.2223367412</v>
      </c>
    </row>
    <row r="7" spans="1:23" x14ac:dyDescent="0.3">
      <c r="A7" s="14" t="s">
        <v>72</v>
      </c>
      <c r="B7" s="7" t="s">
        <v>91</v>
      </c>
      <c r="C7" s="7">
        <v>1058563.4410000001</v>
      </c>
      <c r="D7" s="7">
        <v>1579769.1159999999</v>
      </c>
      <c r="E7" s="7">
        <v>1757476.831</v>
      </c>
      <c r="F7" s="7">
        <v>1959422.635</v>
      </c>
      <c r="G7" s="7">
        <v>2194169.247</v>
      </c>
      <c r="H7" s="7">
        <v>2455885.8689999999</v>
      </c>
      <c r="I7" s="7">
        <v>2751908.3829999999</v>
      </c>
      <c r="J7" s="15">
        <v>3090574.6880000001</v>
      </c>
      <c r="N7" s="14" t="s">
        <v>72</v>
      </c>
      <c r="O7" s="7" t="s">
        <v>91</v>
      </c>
      <c r="P7" s="7">
        <v>1299437.28</v>
      </c>
      <c r="Q7" s="7">
        <v>2103511.835</v>
      </c>
      <c r="R7" s="7">
        <v>2408278.852</v>
      </c>
      <c r="S7" s="7">
        <v>2769419.5669999998</v>
      </c>
      <c r="T7" s="7">
        <v>3201228.537</v>
      </c>
      <c r="U7" s="7">
        <v>3703131.469</v>
      </c>
      <c r="V7" s="7">
        <v>4292279.83</v>
      </c>
      <c r="W7" s="15">
        <v>4992483.267</v>
      </c>
    </row>
    <row r="8" spans="1:23" x14ac:dyDescent="0.3">
      <c r="A8" s="14" t="s">
        <v>72</v>
      </c>
      <c r="B8" s="7" t="s">
        <v>92</v>
      </c>
      <c r="C8" s="7">
        <v>1200000</v>
      </c>
      <c r="D8" s="7">
        <v>1826714.27</v>
      </c>
      <c r="E8" s="7">
        <v>2036120.314</v>
      </c>
      <c r="F8" s="7">
        <v>2279024.781</v>
      </c>
      <c r="G8" s="7">
        <v>2554212.0260000001</v>
      </c>
      <c r="H8" s="7">
        <v>2865851.3820000002</v>
      </c>
      <c r="I8" s="7">
        <v>3218592.2459999998</v>
      </c>
      <c r="J8" s="15">
        <v>3623228.6290000002</v>
      </c>
      <c r="N8" s="14" t="s">
        <v>72</v>
      </c>
      <c r="O8" s="7" t="s">
        <v>92</v>
      </c>
      <c r="P8" s="7">
        <v>1500000</v>
      </c>
      <c r="Q8" s="7">
        <v>2555353.04</v>
      </c>
      <c r="R8" s="7">
        <v>2938428.2740000002</v>
      </c>
      <c r="S8" s="7">
        <v>3399442.5920000002</v>
      </c>
      <c r="T8" s="7">
        <v>3941725.1949999998</v>
      </c>
      <c r="U8" s="7">
        <v>4579515.3150000004</v>
      </c>
      <c r="V8" s="7">
        <v>5329382.9550000001</v>
      </c>
      <c r="W8" s="15">
        <v>6223214.0279999999</v>
      </c>
    </row>
    <row r="9" spans="1:23" x14ac:dyDescent="0.3">
      <c r="A9" s="14" t="s">
        <v>73</v>
      </c>
      <c r="B9" s="7" t="s">
        <v>91</v>
      </c>
      <c r="C9" s="7">
        <v>1281655.6980000001</v>
      </c>
      <c r="D9" s="7">
        <v>1932387.889</v>
      </c>
      <c r="E9" s="7">
        <v>2149269.5389999999</v>
      </c>
      <c r="F9" s="7">
        <v>2399295.4709999999</v>
      </c>
      <c r="G9" s="7">
        <v>2681548.4819999998</v>
      </c>
      <c r="H9" s="7">
        <v>3001240.3470000001</v>
      </c>
      <c r="I9" s="7">
        <v>3362149.412</v>
      </c>
      <c r="J9" s="15">
        <v>3775580.1639999999</v>
      </c>
      <c r="N9" s="14" t="s">
        <v>73</v>
      </c>
      <c r="O9" s="7" t="s">
        <v>91</v>
      </c>
      <c r="P9" s="7">
        <v>1570149.307</v>
      </c>
      <c r="Q9" s="7">
        <v>2625793.2209999999</v>
      </c>
      <c r="R9" s="7">
        <v>3007090.9070000001</v>
      </c>
      <c r="S9" s="7">
        <v>3463452.2459999998</v>
      </c>
      <c r="T9" s="7">
        <v>3998242.6979999999</v>
      </c>
      <c r="U9" s="7">
        <v>4626513.7659999998</v>
      </c>
      <c r="V9" s="7">
        <v>5363008.193</v>
      </c>
      <c r="W9" s="15">
        <v>6245601.1330000004</v>
      </c>
    </row>
    <row r="10" spans="1:23" x14ac:dyDescent="0.3">
      <c r="A10" s="14" t="s">
        <v>73</v>
      </c>
      <c r="B10" s="7" t="s">
        <v>92</v>
      </c>
      <c r="C10" s="7">
        <v>1440000</v>
      </c>
      <c r="D10" s="7">
        <v>2192057.125</v>
      </c>
      <c r="E10" s="7">
        <v>2443344.3769999999</v>
      </c>
      <c r="F10" s="7">
        <v>2734829.7370000002</v>
      </c>
      <c r="G10" s="7">
        <v>3065054.4309999999</v>
      </c>
      <c r="H10" s="7">
        <v>3439021.6579999998</v>
      </c>
      <c r="I10" s="7">
        <v>3862310.696</v>
      </c>
      <c r="J10" s="15">
        <v>4347874.3550000004</v>
      </c>
      <c r="N10" s="14" t="s">
        <v>73</v>
      </c>
      <c r="O10" s="7" t="s">
        <v>92</v>
      </c>
      <c r="P10" s="7">
        <v>1800000</v>
      </c>
      <c r="Q10" s="7">
        <v>3066423.648</v>
      </c>
      <c r="R10" s="7">
        <v>3526113.929</v>
      </c>
      <c r="S10" s="7">
        <v>4079331.11</v>
      </c>
      <c r="T10" s="7">
        <v>4730070.2340000002</v>
      </c>
      <c r="U10" s="7">
        <v>5495418.3779999996</v>
      </c>
      <c r="V10" s="7">
        <v>6395259.5449999999</v>
      </c>
      <c r="W10" s="15">
        <v>7467856.8339999998</v>
      </c>
    </row>
    <row r="11" spans="1:23" x14ac:dyDescent="0.3">
      <c r="A11" s="14" t="s">
        <v>74</v>
      </c>
      <c r="B11" s="7" t="s">
        <v>91</v>
      </c>
      <c r="C11" s="7">
        <v>1481988.818</v>
      </c>
      <c r="D11" s="7">
        <v>2253950.6880000001</v>
      </c>
      <c r="E11" s="7">
        <v>2504523.3930000002</v>
      </c>
      <c r="F11" s="7">
        <v>2792767.97</v>
      </c>
      <c r="G11" s="7">
        <v>3129717.5040000002</v>
      </c>
      <c r="H11" s="7">
        <v>3502274.716</v>
      </c>
      <c r="I11" s="7">
        <v>3923054.6839999999</v>
      </c>
      <c r="J11" s="15">
        <v>4405472.9919999996</v>
      </c>
      <c r="N11" s="14" t="s">
        <v>74</v>
      </c>
      <c r="O11" s="7" t="s">
        <v>91</v>
      </c>
      <c r="P11" s="7">
        <v>1819212.193</v>
      </c>
      <c r="Q11" s="7">
        <v>3062844.3160000001</v>
      </c>
      <c r="R11" s="7">
        <v>3504682.085</v>
      </c>
      <c r="S11" s="7">
        <v>4032531.35</v>
      </c>
      <c r="T11" s="7">
        <v>4666277.574</v>
      </c>
      <c r="U11" s="7">
        <v>5398756.949</v>
      </c>
      <c r="V11" s="7">
        <v>6265460.443</v>
      </c>
      <c r="W11" s="15">
        <v>7316011.3899999997</v>
      </c>
    </row>
    <row r="12" spans="1:23" x14ac:dyDescent="0.3">
      <c r="A12" s="14" t="s">
        <v>74</v>
      </c>
      <c r="B12" s="7" t="s">
        <v>92</v>
      </c>
      <c r="C12" s="7">
        <v>1680000</v>
      </c>
      <c r="D12" s="7">
        <v>2557399.9789999998</v>
      </c>
      <c r="E12" s="7">
        <v>2850568.44</v>
      </c>
      <c r="F12" s="7">
        <v>3190634.693</v>
      </c>
      <c r="G12" s="7">
        <v>3575896.8360000001</v>
      </c>
      <c r="H12" s="7">
        <v>4012191.9350000001</v>
      </c>
      <c r="I12" s="7">
        <v>4506029.1449999996</v>
      </c>
      <c r="J12" s="15">
        <v>5072520.0810000002</v>
      </c>
      <c r="N12" s="14" t="s">
        <v>74</v>
      </c>
      <c r="O12" s="7" t="s">
        <v>92</v>
      </c>
      <c r="P12" s="7">
        <v>2100000</v>
      </c>
      <c r="Q12" s="7">
        <v>3577494.2560000001</v>
      </c>
      <c r="R12" s="7">
        <v>4113799.5839999998</v>
      </c>
      <c r="S12" s="7">
        <v>4759219.6289999997</v>
      </c>
      <c r="T12" s="7">
        <v>5518415.273</v>
      </c>
      <c r="U12" s="7">
        <v>6411321.4409999996</v>
      </c>
      <c r="V12" s="7">
        <v>7461136.1359999999</v>
      </c>
      <c r="W12" s="15">
        <v>8712499.6390000004</v>
      </c>
    </row>
    <row r="13" spans="1:23" x14ac:dyDescent="0.3">
      <c r="A13" s="14" t="s">
        <v>75</v>
      </c>
      <c r="B13" s="7" t="s">
        <v>91</v>
      </c>
      <c r="C13" s="7">
        <v>1693701.5060000001</v>
      </c>
      <c r="D13" s="7">
        <v>2527630.5860000001</v>
      </c>
      <c r="E13" s="7">
        <v>2811962.929</v>
      </c>
      <c r="F13" s="7">
        <v>3135076.216</v>
      </c>
      <c r="G13" s="7">
        <v>3510670.7949999999</v>
      </c>
      <c r="H13" s="7">
        <v>3929417.39</v>
      </c>
      <c r="I13" s="7">
        <v>4403053.4129999997</v>
      </c>
      <c r="J13" s="15">
        <v>4944919.5</v>
      </c>
      <c r="N13" s="14" t="s">
        <v>75</v>
      </c>
      <c r="O13" s="7" t="s">
        <v>91</v>
      </c>
      <c r="P13" s="7">
        <v>2079099.649</v>
      </c>
      <c r="Q13" s="7">
        <v>3365618.9369999999</v>
      </c>
      <c r="R13" s="7">
        <v>3853246.1639999999</v>
      </c>
      <c r="S13" s="7">
        <v>4431071.307</v>
      </c>
      <c r="T13" s="7">
        <v>5121965.66</v>
      </c>
      <c r="U13" s="7">
        <v>5925010.3509999998</v>
      </c>
      <c r="V13" s="7">
        <v>6867647.7280000001</v>
      </c>
      <c r="W13" s="15">
        <v>7987973.227</v>
      </c>
    </row>
    <row r="14" spans="1:23" ht="15" thickBot="1" x14ac:dyDescent="0.35">
      <c r="A14" s="16" t="s">
        <v>75</v>
      </c>
      <c r="B14" s="17" t="s">
        <v>92</v>
      </c>
      <c r="C14" s="17">
        <v>1920000</v>
      </c>
      <c r="D14" s="17">
        <v>2922742.8330000001</v>
      </c>
      <c r="E14" s="17">
        <v>3257792.503</v>
      </c>
      <c r="F14" s="17">
        <v>3646439.6490000002</v>
      </c>
      <c r="G14" s="17">
        <v>4086739.2420000001</v>
      </c>
      <c r="H14" s="17">
        <v>4585362.2110000001</v>
      </c>
      <c r="I14" s="17">
        <v>5149747.5939999996</v>
      </c>
      <c r="J14" s="18">
        <v>5797165.807</v>
      </c>
      <c r="N14" s="16" t="s">
        <v>75</v>
      </c>
      <c r="O14" s="17" t="s">
        <v>92</v>
      </c>
      <c r="P14" s="17">
        <v>2400000</v>
      </c>
      <c r="Q14" s="17">
        <v>4088564.8640000001</v>
      </c>
      <c r="R14" s="17">
        <v>4701485.2390000001</v>
      </c>
      <c r="S14" s="17">
        <v>5439108.1469999999</v>
      </c>
      <c r="T14" s="17">
        <v>6306760.3119999999</v>
      </c>
      <c r="U14" s="17">
        <v>7327224.5039999997</v>
      </c>
      <c r="V14" s="17">
        <v>8527012.727</v>
      </c>
      <c r="W14" s="18">
        <v>9957142.4450000003</v>
      </c>
    </row>
    <row r="18" spans="1:23" ht="15" thickBot="1" x14ac:dyDescent="0.35"/>
    <row r="19" spans="1:23" ht="15" thickBot="1" x14ac:dyDescent="0.35">
      <c r="A19" s="10"/>
      <c r="B19" s="11"/>
      <c r="C19" s="11"/>
      <c r="D19" s="11"/>
      <c r="E19" s="11"/>
      <c r="F19" s="12" t="s">
        <v>95</v>
      </c>
      <c r="G19" s="11"/>
      <c r="H19" s="11"/>
      <c r="I19" s="11"/>
      <c r="J19" s="13"/>
      <c r="N19" s="19"/>
      <c r="O19" s="20"/>
      <c r="P19" s="20"/>
      <c r="Q19" s="20"/>
      <c r="R19" s="20"/>
      <c r="S19" s="21" t="s">
        <v>95</v>
      </c>
      <c r="T19" s="20"/>
      <c r="U19" s="20"/>
      <c r="V19" s="20"/>
      <c r="W19" s="22"/>
    </row>
    <row r="20" spans="1:23" x14ac:dyDescent="0.3">
      <c r="A20" s="10"/>
      <c r="B20" s="11"/>
      <c r="C20" s="11"/>
      <c r="D20" s="11"/>
      <c r="E20" s="11"/>
      <c r="F20" s="11"/>
      <c r="G20" s="11"/>
      <c r="H20" s="11"/>
      <c r="I20" s="11"/>
      <c r="J20" s="13"/>
      <c r="N20" s="14"/>
      <c r="W20" s="15"/>
    </row>
    <row r="21" spans="1:23" x14ac:dyDescent="0.3">
      <c r="A21" s="14"/>
      <c r="C21" s="4">
        <v>0</v>
      </c>
      <c r="D21" s="4">
        <v>0.04</v>
      </c>
      <c r="E21" s="4">
        <v>0.05</v>
      </c>
      <c r="F21" s="4">
        <v>0.06</v>
      </c>
      <c r="G21" s="4">
        <v>7.0000000000000007E-2</v>
      </c>
      <c r="H21" s="4">
        <v>0.08</v>
      </c>
      <c r="I21" s="4">
        <v>0.09</v>
      </c>
      <c r="J21" s="26">
        <v>0.1</v>
      </c>
      <c r="N21" s="14"/>
      <c r="P21" s="4">
        <v>0</v>
      </c>
      <c r="Q21" s="4">
        <v>0.04</v>
      </c>
      <c r="R21" s="4">
        <v>0.05</v>
      </c>
      <c r="S21" s="4">
        <v>0.06</v>
      </c>
      <c r="T21" s="4">
        <v>7.0000000000000007E-2</v>
      </c>
      <c r="U21" s="4">
        <v>0.08</v>
      </c>
      <c r="V21" s="4">
        <v>0.09</v>
      </c>
      <c r="W21" s="26">
        <v>0.1</v>
      </c>
    </row>
    <row r="22" spans="1:23" x14ac:dyDescent="0.3">
      <c r="A22" s="14"/>
      <c r="B22" s="7" t="s">
        <v>71</v>
      </c>
      <c r="C22" s="7">
        <f t="shared" ref="C22:J22" si="0">C6-C5</f>
        <v>118662.90014824877</v>
      </c>
      <c r="D22" s="7">
        <f t="shared" si="0"/>
        <v>207475.58232947811</v>
      </c>
      <c r="E22" s="7">
        <f t="shared" si="0"/>
        <v>233382.6313853946</v>
      </c>
      <c r="F22" s="7">
        <f t="shared" si="0"/>
        <v>266994.134775955</v>
      </c>
      <c r="G22" s="7">
        <f t="shared" si="0"/>
        <v>299188.24609304685</v>
      </c>
      <c r="H22" s="7">
        <f t="shared" si="0"/>
        <v>339697.2821614698</v>
      </c>
      <c r="I22" s="7">
        <f t="shared" si="0"/>
        <v>385981.78103373852</v>
      </c>
      <c r="J22" s="15">
        <f t="shared" si="0"/>
        <v>439212.90595421102</v>
      </c>
      <c r="N22" s="14"/>
      <c r="O22" s="7" t="s">
        <v>71</v>
      </c>
      <c r="P22" s="7">
        <f t="shared" ref="P22:W22" si="1">P6-P5</f>
        <v>175369.1259045098</v>
      </c>
      <c r="Q22" s="7">
        <f t="shared" si="1"/>
        <v>372675.88858439028</v>
      </c>
      <c r="R22" s="7">
        <f t="shared" si="1"/>
        <v>436514.25076762401</v>
      </c>
      <c r="S22" s="7">
        <f t="shared" si="1"/>
        <v>518069.63552232832</v>
      </c>
      <c r="T22" s="7">
        <f t="shared" si="1"/>
        <v>606921.55902507855</v>
      </c>
      <c r="U22" s="7">
        <f t="shared" si="1"/>
        <v>717102.57117074402</v>
      </c>
      <c r="V22" s="7">
        <f t="shared" si="1"/>
        <v>847729.59582108725</v>
      </c>
      <c r="W22" s="15">
        <f t="shared" si="1"/>
        <v>1004160.0729051917</v>
      </c>
    </row>
    <row r="23" spans="1:23" x14ac:dyDescent="0.3">
      <c r="A23" s="14"/>
      <c r="B23" s="7" t="s">
        <v>72</v>
      </c>
      <c r="C23" s="7">
        <f t="shared" ref="C23:J23" si="2">C8-C7</f>
        <v>141436.55899999989</v>
      </c>
      <c r="D23" s="7">
        <f t="shared" si="2"/>
        <v>246945.1540000001</v>
      </c>
      <c r="E23" s="7">
        <f t="shared" si="2"/>
        <v>278643.48300000001</v>
      </c>
      <c r="F23" s="7">
        <f t="shared" si="2"/>
        <v>319602.14599999995</v>
      </c>
      <c r="G23" s="7">
        <f t="shared" si="2"/>
        <v>360042.7790000001</v>
      </c>
      <c r="H23" s="7">
        <f t="shared" si="2"/>
        <v>409965.51300000027</v>
      </c>
      <c r="I23" s="7">
        <f t="shared" si="2"/>
        <v>466683.8629999999</v>
      </c>
      <c r="J23" s="15">
        <f t="shared" si="2"/>
        <v>532653.94100000011</v>
      </c>
      <c r="N23" s="14"/>
      <c r="O23" s="7" t="s">
        <v>72</v>
      </c>
      <c r="P23" s="7">
        <f t="shared" ref="P23:W23" si="3">P8-P7</f>
        <v>200562.71999999997</v>
      </c>
      <c r="Q23" s="7">
        <f t="shared" si="3"/>
        <v>451841.20500000007</v>
      </c>
      <c r="R23" s="7">
        <f t="shared" si="3"/>
        <v>530149.42200000025</v>
      </c>
      <c r="S23" s="7">
        <f t="shared" si="3"/>
        <v>630023.02500000037</v>
      </c>
      <c r="T23" s="7">
        <f t="shared" si="3"/>
        <v>740496.65799999982</v>
      </c>
      <c r="U23" s="7">
        <f t="shared" si="3"/>
        <v>876383.84600000037</v>
      </c>
      <c r="V23" s="7">
        <f t="shared" si="3"/>
        <v>1037103.125</v>
      </c>
      <c r="W23" s="15">
        <f t="shared" si="3"/>
        <v>1230730.7609999999</v>
      </c>
    </row>
    <row r="24" spans="1:23" x14ac:dyDescent="0.3">
      <c r="A24" s="14" t="s">
        <v>97</v>
      </c>
      <c r="B24" s="7" t="s">
        <v>73</v>
      </c>
      <c r="C24" s="7">
        <f t="shared" ref="C24:J24" si="4">C10-C9</f>
        <v>158344.30199999991</v>
      </c>
      <c r="D24" s="7">
        <f t="shared" si="4"/>
        <v>259669.23600000003</v>
      </c>
      <c r="E24" s="7">
        <f t="shared" si="4"/>
        <v>294074.83799999999</v>
      </c>
      <c r="F24" s="7">
        <f t="shared" si="4"/>
        <v>335534.26600000029</v>
      </c>
      <c r="G24" s="7">
        <f t="shared" si="4"/>
        <v>383505.94900000002</v>
      </c>
      <c r="H24" s="7">
        <f t="shared" si="4"/>
        <v>437781.31099999975</v>
      </c>
      <c r="I24" s="7">
        <f t="shared" si="4"/>
        <v>500161.28399999999</v>
      </c>
      <c r="J24" s="15">
        <f t="shared" si="4"/>
        <v>572294.19100000057</v>
      </c>
      <c r="N24" s="14" t="s">
        <v>96</v>
      </c>
      <c r="O24" s="7" t="s">
        <v>73</v>
      </c>
      <c r="P24" s="7">
        <f t="shared" ref="P24:W24" si="5">P10-P9</f>
        <v>229850.69299999997</v>
      </c>
      <c r="Q24" s="7">
        <f t="shared" si="5"/>
        <v>440630.42700000014</v>
      </c>
      <c r="R24" s="7">
        <f t="shared" si="5"/>
        <v>519023.02199999988</v>
      </c>
      <c r="S24" s="7">
        <f t="shared" si="5"/>
        <v>615878.86400000006</v>
      </c>
      <c r="T24" s="7">
        <f t="shared" si="5"/>
        <v>731827.53600000031</v>
      </c>
      <c r="U24" s="7">
        <f t="shared" si="5"/>
        <v>868904.61199999973</v>
      </c>
      <c r="V24" s="7">
        <f t="shared" si="5"/>
        <v>1032251.352</v>
      </c>
      <c r="W24" s="15">
        <f t="shared" si="5"/>
        <v>1222255.7009999994</v>
      </c>
    </row>
    <row r="25" spans="1:23" x14ac:dyDescent="0.3">
      <c r="A25" s="14"/>
      <c r="B25" s="7" t="s">
        <v>74</v>
      </c>
      <c r="C25" s="7">
        <f t="shared" ref="C25:J25" si="6">C12-C11</f>
        <v>198011.18200000003</v>
      </c>
      <c r="D25" s="7">
        <f t="shared" si="6"/>
        <v>303449.29099999974</v>
      </c>
      <c r="E25" s="7">
        <f t="shared" si="6"/>
        <v>346045.04699999979</v>
      </c>
      <c r="F25" s="7">
        <f t="shared" si="6"/>
        <v>397866.72299999977</v>
      </c>
      <c r="G25" s="7">
        <f t="shared" si="6"/>
        <v>446179.33199999994</v>
      </c>
      <c r="H25" s="7">
        <f t="shared" si="6"/>
        <v>509917.21900000004</v>
      </c>
      <c r="I25" s="7">
        <f t="shared" si="6"/>
        <v>582974.46099999966</v>
      </c>
      <c r="J25" s="15">
        <f t="shared" si="6"/>
        <v>667047.08900000062</v>
      </c>
      <c r="N25" s="14"/>
      <c r="O25" s="7" t="s">
        <v>74</v>
      </c>
      <c r="P25" s="7">
        <f t="shared" ref="P25:W25" si="7">P12-P11</f>
        <v>280787.80700000003</v>
      </c>
      <c r="Q25" s="7">
        <f t="shared" si="7"/>
        <v>514649.93999999994</v>
      </c>
      <c r="R25" s="7">
        <f t="shared" si="7"/>
        <v>609117.49899999984</v>
      </c>
      <c r="S25" s="7">
        <f t="shared" si="7"/>
        <v>726688.27899999963</v>
      </c>
      <c r="T25" s="7">
        <f t="shared" si="7"/>
        <v>852137.69900000002</v>
      </c>
      <c r="U25" s="7">
        <f t="shared" si="7"/>
        <v>1012564.4919999996</v>
      </c>
      <c r="V25" s="7">
        <f t="shared" si="7"/>
        <v>1195675.693</v>
      </c>
      <c r="W25" s="15">
        <f t="shared" si="7"/>
        <v>1396488.2490000008</v>
      </c>
    </row>
    <row r="26" spans="1:23" ht="15" thickBot="1" x14ac:dyDescent="0.35">
      <c r="A26" s="16"/>
      <c r="B26" s="17" t="s">
        <v>75</v>
      </c>
      <c r="C26" s="17">
        <f t="shared" ref="C26:J26" si="8">C14-C13</f>
        <v>226298.49399999995</v>
      </c>
      <c r="D26" s="17">
        <f t="shared" si="8"/>
        <v>395112.24699999997</v>
      </c>
      <c r="E26" s="17">
        <f t="shared" si="8"/>
        <v>445829.57400000002</v>
      </c>
      <c r="F26" s="17">
        <f t="shared" si="8"/>
        <v>511363.43300000019</v>
      </c>
      <c r="G26" s="17">
        <f t="shared" si="8"/>
        <v>576068.44700000016</v>
      </c>
      <c r="H26" s="17">
        <f t="shared" si="8"/>
        <v>655944.821</v>
      </c>
      <c r="I26" s="17">
        <f t="shared" si="8"/>
        <v>746694.18099999987</v>
      </c>
      <c r="J26" s="18">
        <f t="shared" si="8"/>
        <v>852246.30700000003</v>
      </c>
      <c r="N26" s="16"/>
      <c r="O26" s="17" t="s">
        <v>75</v>
      </c>
      <c r="P26" s="17">
        <f t="shared" ref="P26:W26" si="9">P14-P13</f>
        <v>320900.35100000002</v>
      </c>
      <c r="Q26" s="17">
        <f t="shared" si="9"/>
        <v>722945.92700000014</v>
      </c>
      <c r="R26" s="17">
        <f t="shared" si="9"/>
        <v>848239.07500000019</v>
      </c>
      <c r="S26" s="17">
        <f t="shared" si="9"/>
        <v>1008036.8399999999</v>
      </c>
      <c r="T26" s="17">
        <f t="shared" si="9"/>
        <v>1184794.6519999998</v>
      </c>
      <c r="U26" s="17">
        <f t="shared" si="9"/>
        <v>1402214.1529999999</v>
      </c>
      <c r="V26" s="17">
        <f t="shared" si="9"/>
        <v>1659364.9989999998</v>
      </c>
      <c r="W26" s="18">
        <f t="shared" si="9"/>
        <v>1969169.2180000003</v>
      </c>
    </row>
    <row r="29" spans="1:23" ht="15" thickBot="1" x14ac:dyDescent="0.35"/>
    <row r="30" spans="1:23" ht="15" thickBot="1" x14ac:dyDescent="0.35">
      <c r="A30" s="19"/>
      <c r="B30" s="20"/>
      <c r="C30" s="20"/>
      <c r="D30" s="20"/>
      <c r="E30" s="20"/>
      <c r="F30" s="21" t="s">
        <v>98</v>
      </c>
      <c r="G30" s="20"/>
      <c r="H30" s="20"/>
      <c r="I30" s="20"/>
      <c r="J30" s="22"/>
      <c r="N30" s="19"/>
      <c r="O30" s="20"/>
      <c r="P30" s="20"/>
      <c r="Q30" s="20"/>
      <c r="R30" s="20"/>
      <c r="S30" s="21" t="s">
        <v>99</v>
      </c>
      <c r="T30" s="20"/>
      <c r="U30" s="20"/>
      <c r="V30" s="20"/>
      <c r="W30" s="22"/>
    </row>
    <row r="31" spans="1:23" x14ac:dyDescent="0.3">
      <c r="A31" s="14"/>
      <c r="B31" s="7" t="s">
        <v>71</v>
      </c>
      <c r="C31" s="1">
        <f t="shared" ref="C31:J31" si="10">C22/C6</f>
        <v>0.1236071876544258</v>
      </c>
      <c r="D31" s="1">
        <f t="shared" si="10"/>
        <v>0.14197320408042427</v>
      </c>
      <c r="E31" s="1">
        <f t="shared" si="10"/>
        <v>0.14327654765158204</v>
      </c>
      <c r="F31" s="1">
        <f t="shared" si="10"/>
        <v>0.14644100024839177</v>
      </c>
      <c r="G31" s="1">
        <f t="shared" si="10"/>
        <v>0.14641905362687604</v>
      </c>
      <c r="H31" s="1">
        <f t="shared" si="10"/>
        <v>0.14816595354397424</v>
      </c>
      <c r="I31" s="1">
        <f t="shared" si="10"/>
        <v>0.1499031841773093</v>
      </c>
      <c r="J31" s="23">
        <f t="shared" si="10"/>
        <v>0.15152677034324621</v>
      </c>
      <c r="K31" s="1"/>
      <c r="L31" s="9"/>
      <c r="N31" s="14"/>
      <c r="O31" s="7" t="s">
        <v>71</v>
      </c>
      <c r="P31" s="1">
        <f t="shared" ref="P31:W31" si="11">P22/P6</f>
        <v>0.14614093825375815</v>
      </c>
      <c r="Q31" s="1">
        <f t="shared" si="11"/>
        <v>0.18230156596402047</v>
      </c>
      <c r="R31" s="1">
        <f t="shared" si="11"/>
        <v>0.18569206476875802</v>
      </c>
      <c r="S31" s="1">
        <f t="shared" si="11"/>
        <v>0.19049800868888589</v>
      </c>
      <c r="T31" s="1">
        <f t="shared" si="11"/>
        <v>0.19246698115263927</v>
      </c>
      <c r="U31" s="1">
        <f t="shared" si="11"/>
        <v>0.19573648133426513</v>
      </c>
      <c r="V31" s="1">
        <f t="shared" si="11"/>
        <v>0.19883389950006836</v>
      </c>
      <c r="W31" s="23">
        <f t="shared" si="11"/>
        <v>0.20169643619839173</v>
      </c>
    </row>
    <row r="32" spans="1:23" x14ac:dyDescent="0.3">
      <c r="A32" s="14"/>
      <c r="B32" s="7" t="s">
        <v>72</v>
      </c>
      <c r="C32" s="1">
        <f t="shared" ref="C32:J32" si="12">C23/C8</f>
        <v>0.11786379916666657</v>
      </c>
      <c r="D32" s="1">
        <f t="shared" si="12"/>
        <v>0.13518542995780072</v>
      </c>
      <c r="E32" s="1">
        <f t="shared" si="12"/>
        <v>0.13685020530667916</v>
      </c>
      <c r="F32" s="1">
        <f t="shared" si="12"/>
        <v>0.14023636279187959</v>
      </c>
      <c r="G32" s="1">
        <f t="shared" si="12"/>
        <v>0.14096041179629154</v>
      </c>
      <c r="H32" s="1">
        <f t="shared" si="12"/>
        <v>0.14305190966109918</v>
      </c>
      <c r="I32" s="1">
        <f t="shared" si="12"/>
        <v>0.14499626772542717</v>
      </c>
      <c r="J32" s="23">
        <f t="shared" si="12"/>
        <v>0.14701085565969679</v>
      </c>
      <c r="K32" s="1"/>
      <c r="L32" s="9"/>
      <c r="N32" s="14"/>
      <c r="O32" s="7" t="s">
        <v>72</v>
      </c>
      <c r="P32" s="1">
        <f t="shared" ref="P32:W32" si="13">P23/P8</f>
        <v>0.13370847999999999</v>
      </c>
      <c r="Q32" s="1">
        <f t="shared" si="13"/>
        <v>0.17682144029695407</v>
      </c>
      <c r="R32" s="1">
        <f t="shared" si="13"/>
        <v>0.18041938497900534</v>
      </c>
      <c r="S32" s="1">
        <f t="shared" si="13"/>
        <v>0.18533127356898174</v>
      </c>
      <c r="T32" s="1">
        <f t="shared" si="13"/>
        <v>0.18786105610287221</v>
      </c>
      <c r="U32" s="1">
        <f t="shared" si="13"/>
        <v>0.19137043676422344</v>
      </c>
      <c r="V32" s="1">
        <f t="shared" si="13"/>
        <v>0.19460097608992333</v>
      </c>
      <c r="W32" s="23">
        <f t="shared" si="13"/>
        <v>0.19776449202334906</v>
      </c>
    </row>
    <row r="33" spans="1:23" x14ac:dyDescent="0.3">
      <c r="A33" s="14" t="s">
        <v>96</v>
      </c>
      <c r="B33" s="7" t="s">
        <v>73</v>
      </c>
      <c r="C33" s="1">
        <f t="shared" ref="C33:J33" si="14">C24/C10</f>
        <v>0.10996132083333326</v>
      </c>
      <c r="D33" s="1">
        <f t="shared" si="14"/>
        <v>0.1184591555751541</v>
      </c>
      <c r="E33" s="1">
        <f t="shared" si="14"/>
        <v>0.12035750701711255</v>
      </c>
      <c r="F33" s="1">
        <f t="shared" si="14"/>
        <v>0.12268927072881257</v>
      </c>
      <c r="G33" s="1">
        <f t="shared" si="14"/>
        <v>0.12512206801980935</v>
      </c>
      <c r="H33" s="1">
        <f t="shared" si="14"/>
        <v>0.12729821284539283</v>
      </c>
      <c r="I33" s="1">
        <f t="shared" si="14"/>
        <v>0.1294979413536026</v>
      </c>
      <c r="J33" s="23">
        <f t="shared" si="14"/>
        <v>0.13162620266196734</v>
      </c>
      <c r="K33" s="1"/>
      <c r="L33" s="9"/>
      <c r="N33" s="14" t="s">
        <v>96</v>
      </c>
      <c r="O33" s="7" t="s">
        <v>73</v>
      </c>
      <c r="P33" s="1">
        <f t="shared" ref="P33:W33" si="15">P24/P10</f>
        <v>0.12769482944444444</v>
      </c>
      <c r="Q33" s="1">
        <f t="shared" si="15"/>
        <v>0.14369522205041388</v>
      </c>
      <c r="R33" s="1">
        <f t="shared" si="15"/>
        <v>0.14719405908339267</v>
      </c>
      <c r="S33" s="1">
        <f t="shared" si="15"/>
        <v>0.15097545342427476</v>
      </c>
      <c r="T33" s="1">
        <f t="shared" si="15"/>
        <v>0.1547181119509779</v>
      </c>
      <c r="U33" s="1">
        <f t="shared" si="15"/>
        <v>0.158114369504334</v>
      </c>
      <c r="V33" s="1">
        <f t="shared" si="15"/>
        <v>0.16140882863886957</v>
      </c>
      <c r="W33" s="23">
        <f t="shared" si="15"/>
        <v>0.16366887156101573</v>
      </c>
    </row>
    <row r="34" spans="1:23" x14ac:dyDescent="0.3">
      <c r="A34" s="14"/>
      <c r="B34" s="7" t="s">
        <v>74</v>
      </c>
      <c r="C34" s="1">
        <f t="shared" ref="C34:J34" si="16">C25/C12</f>
        <v>0.11786379880952383</v>
      </c>
      <c r="D34" s="1">
        <f t="shared" si="16"/>
        <v>0.11865538965033352</v>
      </c>
      <c r="E34" s="1">
        <f t="shared" si="16"/>
        <v>0.12139510216425457</v>
      </c>
      <c r="F34" s="1">
        <f t="shared" si="16"/>
        <v>0.1246983002701274</v>
      </c>
      <c r="G34" s="1">
        <f t="shared" si="16"/>
        <v>0.12477410631876515</v>
      </c>
      <c r="H34" s="1">
        <f t="shared" si="16"/>
        <v>0.12709193061074234</v>
      </c>
      <c r="I34" s="1">
        <f t="shared" si="16"/>
        <v>0.12937654023984341</v>
      </c>
      <c r="J34" s="23">
        <f t="shared" si="16"/>
        <v>0.1315021090795758</v>
      </c>
      <c r="K34" s="1"/>
      <c r="L34" s="9"/>
      <c r="N34" s="14"/>
      <c r="O34" s="7" t="s">
        <v>74</v>
      </c>
      <c r="P34" s="1">
        <f t="shared" ref="P34:W34" si="17">P25/P12</f>
        <v>0.13370847952380954</v>
      </c>
      <c r="Q34" s="1">
        <f t="shared" si="17"/>
        <v>0.14385765655300606</v>
      </c>
      <c r="R34" s="1">
        <f t="shared" si="17"/>
        <v>0.14806688720789171</v>
      </c>
      <c r="S34" s="1">
        <f t="shared" si="17"/>
        <v>0.1526906374675317</v>
      </c>
      <c r="T34" s="1">
        <f t="shared" si="17"/>
        <v>0.15441710288989338</v>
      </c>
      <c r="U34" s="1">
        <f t="shared" si="17"/>
        <v>0.15793382086955007</v>
      </c>
      <c r="V34" s="1">
        <f t="shared" si="17"/>
        <v>0.16025383684273792</v>
      </c>
      <c r="W34" s="23">
        <f t="shared" si="17"/>
        <v>0.16028560193550681</v>
      </c>
    </row>
    <row r="35" spans="1:23" ht="15" thickBot="1" x14ac:dyDescent="0.35">
      <c r="A35" s="16"/>
      <c r="B35" s="17" t="s">
        <v>75</v>
      </c>
      <c r="C35" s="24">
        <f t="shared" ref="C35:J35" si="18">C26/C14</f>
        <v>0.11786379895833331</v>
      </c>
      <c r="D35" s="24">
        <f t="shared" si="18"/>
        <v>0.13518543011683434</v>
      </c>
      <c r="E35" s="24">
        <f t="shared" si="18"/>
        <v>0.1368502056498225</v>
      </c>
      <c r="F35" s="24">
        <f t="shared" si="18"/>
        <v>0.14023636265041067</v>
      </c>
      <c r="G35" s="24">
        <f t="shared" si="18"/>
        <v>0.140960411929311</v>
      </c>
      <c r="H35" s="24">
        <f t="shared" si="18"/>
        <v>0.14305190971095566</v>
      </c>
      <c r="I35" s="24">
        <f t="shared" si="18"/>
        <v>0.14499626775300162</v>
      </c>
      <c r="J35" s="25">
        <f t="shared" si="18"/>
        <v>0.14701085588597865</v>
      </c>
      <c r="K35" s="1"/>
      <c r="L35" s="9"/>
      <c r="N35" s="16"/>
      <c r="O35" s="17" t="s">
        <v>75</v>
      </c>
      <c r="P35" s="24">
        <f t="shared" ref="P35:W35" si="19">P26/P14</f>
        <v>0.13370847958333335</v>
      </c>
      <c r="Q35" s="24">
        <f t="shared" si="19"/>
        <v>0.17682144005236947</v>
      </c>
      <c r="R35" s="24">
        <f t="shared" si="19"/>
        <v>0.18041938491344059</v>
      </c>
      <c r="S35" s="24">
        <f t="shared" si="19"/>
        <v>0.18533127357579637</v>
      </c>
      <c r="T35" s="24">
        <f t="shared" si="19"/>
        <v>0.18786105597602418</v>
      </c>
      <c r="U35" s="24">
        <f t="shared" si="19"/>
        <v>0.19137043668233697</v>
      </c>
      <c r="V35" s="24">
        <f t="shared" si="19"/>
        <v>0.19460097599547066</v>
      </c>
      <c r="W35" s="25">
        <f t="shared" si="19"/>
        <v>0.19776449205954894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4K</vt:lpstr>
      <vt:lpstr>5K</vt:lpstr>
      <vt:lpstr>6k</vt:lpstr>
      <vt:lpstr>7K</vt:lpstr>
      <vt:lpstr>8K</vt:lpstr>
      <vt:lpstr>Final Tally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dc:creator>
  <cp:lastModifiedBy>Balin Evans</cp:lastModifiedBy>
  <dcterms:created xsi:type="dcterms:W3CDTF">2023-04-17T03:09:24Z</dcterms:created>
  <dcterms:modified xsi:type="dcterms:W3CDTF">2026-01-12T19:31:44Z</dcterms:modified>
</cp:coreProperties>
</file>